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86658db1191d81ea/Anshan/Manuscript/Lithos重投/"/>
    </mc:Choice>
  </mc:AlternateContent>
  <xr:revisionPtr revIDLastSave="0" documentId="8_{C284AB63-554E-4450-B6CC-1E42DBE0026E}" xr6:coauthVersionLast="47" xr6:coauthVersionMax="47" xr10:uidLastSave="{00000000-0000-0000-0000-000000000000}"/>
  <bookViews>
    <workbookView xWindow="34560" yWindow="-5960" windowWidth="67800" windowHeight="28300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</sheets>
  <definedNames>
    <definedName name="OLE_LINK58" localSheetId="6">'Table S7'!$A$134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</calcChain>
</file>

<file path=xl/sharedStrings.xml><?xml version="1.0" encoding="utf-8"?>
<sst xmlns="http://schemas.openxmlformats.org/spreadsheetml/2006/main" count="3015" uniqueCount="920">
  <si>
    <r>
      <rPr>
        <b/>
        <sz val="10"/>
        <rFont val="Arial"/>
        <family val="2"/>
      </rPr>
      <t>Table S1</t>
    </r>
    <r>
      <rPr>
        <sz val="10"/>
        <rFont val="Arial"/>
        <family val="2"/>
      </rPr>
      <t xml:space="preserve"> Whole-rock major element concentrations of the analyzed samples from the Anshan Complex.</t>
    </r>
    <phoneticPr fontId="28" type="noConversion"/>
  </si>
  <si>
    <t>sample name</t>
  </si>
  <si>
    <t>geological unit</t>
    <phoneticPr fontId="28" type="noConversion"/>
  </si>
  <si>
    <t>lithology</t>
    <phoneticPr fontId="28" type="noConversion"/>
  </si>
  <si>
    <r>
      <rPr>
        <b/>
        <sz val="10"/>
        <rFont val="Arial"/>
        <family val="2"/>
      </rPr>
      <t>SiO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</si>
  <si>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TiO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</si>
  <si>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Al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 Bold"/>
      </rPr>
      <t>3</t>
    </r>
    <r>
      <rPr>
        <b/>
        <sz val="10"/>
        <rFont val="Arial"/>
        <family val="2"/>
      </rPr>
      <t xml:space="preserve"> (%)</t>
    </r>
  </si>
  <si>
    <r>
      <t>TFe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 Bold"/>
      </rPr>
      <t>3</t>
    </r>
    <r>
      <rPr>
        <b/>
        <sz val="10"/>
        <rFont val="Arial"/>
        <family val="2"/>
      </rPr>
      <t xml:space="preserve"> (%)</t>
    </r>
  </si>
  <si>
    <t>MnO (%)</t>
  </si>
  <si>
    <t>MgO (%)</t>
  </si>
  <si>
    <t>CaO (%)</t>
  </si>
  <si>
    <r>
      <t>Na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>O (%)</t>
    </r>
  </si>
  <si>
    <r>
      <t>K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>O (%)</t>
    </r>
  </si>
  <si>
    <r>
      <t>P</t>
    </r>
    <r>
      <rPr>
        <b/>
        <vertAlign val="subscript"/>
        <sz val="10"/>
        <rFont val="Arial Bold"/>
      </rPr>
      <t>2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 Bold"/>
      </rPr>
      <t>5</t>
    </r>
    <r>
      <rPr>
        <b/>
        <sz val="10"/>
        <rFont val="Arial"/>
        <family val="2"/>
      </rPr>
      <t xml:space="preserve"> (%)</t>
    </r>
  </si>
  <si>
    <t>LOI (%)</t>
  </si>
  <si>
    <t>SUM (%)</t>
  </si>
  <si>
    <t>21JH169</t>
  </si>
  <si>
    <t>Baijiafen Complex</t>
    <phoneticPr fontId="28" type="noConversion"/>
  </si>
  <si>
    <t>trondhjemitic gneiss</t>
    <phoneticPr fontId="28" type="noConversion"/>
  </si>
  <si>
    <t>21JH170</t>
  </si>
  <si>
    <t>trondhjemitic gneiss</t>
  </si>
  <si>
    <t>21JH171</t>
  </si>
  <si>
    <t>21JH171 (duplicate)</t>
    <phoneticPr fontId="28" type="noConversion"/>
  </si>
  <si>
    <t>21JH172</t>
  </si>
  <si>
    <t>Chentaigou granite</t>
    <phoneticPr fontId="28" type="noConversion"/>
  </si>
  <si>
    <t>granite</t>
  </si>
  <si>
    <t>21JH173</t>
  </si>
  <si>
    <t>21JH177</t>
  </si>
  <si>
    <t>Tiejiashan granite</t>
    <phoneticPr fontId="28" type="noConversion"/>
  </si>
  <si>
    <t>21JH178</t>
  </si>
  <si>
    <t>Dongshan Complex</t>
    <phoneticPr fontId="28" type="noConversion"/>
  </si>
  <si>
    <t>tremolite schist </t>
    <phoneticPr fontId="28" type="noConversion"/>
  </si>
  <si>
    <t>21JH179</t>
  </si>
  <si>
    <t>granitic gneiss</t>
    <phoneticPr fontId="28" type="noConversion"/>
  </si>
  <si>
    <t>21JH181</t>
  </si>
  <si>
    <t>pegmatitic monzogranite</t>
    <phoneticPr fontId="28" type="noConversion"/>
  </si>
  <si>
    <t>21JH182</t>
  </si>
  <si>
    <t>Shengousi Complex</t>
    <phoneticPr fontId="28" type="noConversion"/>
  </si>
  <si>
    <t>21JH183</t>
  </si>
  <si>
    <t>21JH184</t>
  </si>
  <si>
    <t>Guodishan Complex</t>
    <phoneticPr fontId="28" type="noConversion"/>
  </si>
  <si>
    <t>21JH185</t>
  </si>
  <si>
    <t>21JH186</t>
  </si>
  <si>
    <t>Lishan trondhjemite</t>
    <phoneticPr fontId="28" type="noConversion"/>
  </si>
  <si>
    <t>trondhjemite</t>
  </si>
  <si>
    <r>
      <rPr>
        <b/>
        <sz val="10"/>
        <rFont val="Arial"/>
        <family val="2"/>
      </rPr>
      <t>Table S2</t>
    </r>
    <r>
      <rPr>
        <sz val="10"/>
        <rFont val="Arial"/>
        <family val="2"/>
      </rPr>
      <t xml:space="preserve"> Whole-rock trace element concentrations (ppm) of the analyzed samples from the Anshan Complex.</t>
    </r>
    <phoneticPr fontId="28" type="noConversion"/>
  </si>
  <si>
    <t>Li</t>
  </si>
  <si>
    <t>Be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</si>
  <si>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</si>
  <si>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</si>
  <si>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</si>
  <si>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</si>
  <si>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</si>
  <si>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</si>
  <si>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</si>
  <si>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</si>
  <si>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</si>
  <si>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</si>
  <si>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</si>
  <si>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</si>
  <si>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</si>
  <si>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Sn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</si>
  <si>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</si>
  <si>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</si>
  <si>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</si>
  <si>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</si>
  <si>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</si>
  <si>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</si>
  <si>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</si>
  <si>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</si>
  <si>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</si>
  <si>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</si>
  <si>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</si>
  <si>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</si>
  <si>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</si>
  <si>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</si>
  <si>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</si>
  <si>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</si>
  <si>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</si>
  <si>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</si>
  <si>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</si>
  <si>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Tl</t>
  </si>
  <si>
    <t>Pb</t>
  </si>
  <si>
    <t>Th</t>
  </si>
  <si>
    <t>U</t>
  </si>
  <si>
    <t>granitic gneiss</t>
  </si>
  <si>
    <t>pegmatitic monzogranite</t>
  </si>
  <si>
    <t>21JH173 (duplicate)</t>
  </si>
  <si>
    <t>21JH186 (duplicate)</t>
  </si>
  <si>
    <r>
      <rPr>
        <b/>
        <sz val="10"/>
        <rFont val="Arial"/>
        <family val="2"/>
      </rPr>
      <t>Table S3</t>
    </r>
    <r>
      <rPr>
        <sz val="10"/>
        <rFont val="Arial"/>
        <family val="2"/>
      </rPr>
      <t xml:space="preserve"> Zircon LA-ICPMS data of U-Th-Pb dating and trace element concentrations (ppm) for the analyzed samples from the Anshan Complex.</t>
    </r>
    <phoneticPr fontId="28" type="noConversion"/>
  </si>
  <si>
    <t>spot name</t>
  </si>
  <si>
    <t>notes</t>
  </si>
  <si>
    <t>Pb (total, ppm)</t>
  </si>
  <si>
    <t>Th (ppm)</t>
  </si>
  <si>
    <t>U (ppm)</t>
  </si>
  <si>
    <t>Th/U</t>
    <phoneticPr fontId="28" type="noConversion"/>
  </si>
  <si>
    <t>common Pb (ppm)</t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</si>
  <si>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206</t>
    </r>
    <r>
      <rPr>
        <b/>
        <sz val="10"/>
        <color rgb="FF000000"/>
        <rFont val="Arial"/>
        <family val="2"/>
      </rPr>
      <t>Pb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</si>
  <si>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206</t>
    </r>
    <r>
      <rPr>
        <b/>
        <sz val="10"/>
        <color rgb="FF000000"/>
        <rFont val="Arial"/>
        <family val="2"/>
      </rPr>
      <t>Pb (1s)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</si>
  <si>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235</t>
    </r>
    <r>
      <rPr>
        <b/>
        <sz val="10"/>
        <color rgb="FF000000"/>
        <rFont val="Arial"/>
        <family val="2"/>
      </rPr>
      <t>U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</si>
  <si>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235</t>
    </r>
    <r>
      <rPr>
        <b/>
        <sz val="10"/>
        <color rgb="FF000000"/>
        <rFont val="Arial"/>
        <family val="2"/>
      </rPr>
      <t>U (1s)</t>
    </r>
  </si>
  <si>
    <r>
      <t>206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238</t>
    </r>
    <r>
      <rPr>
        <b/>
        <sz val="10"/>
        <color rgb="FF000000"/>
        <rFont val="Arial"/>
        <family val="2"/>
      </rPr>
      <t>U</t>
    </r>
  </si>
  <si>
    <r>
      <t>206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238</t>
    </r>
    <r>
      <rPr>
        <b/>
        <sz val="10"/>
        <color rgb="FF000000"/>
        <rFont val="Arial"/>
        <family val="2"/>
      </rPr>
      <t>U (1s)</t>
    </r>
  </si>
  <si>
    <r>
      <t xml:space="preserve">rho </t>
    </r>
    <r>
      <rPr>
        <b/>
        <vertAlign val="superscript"/>
        <sz val="10"/>
        <color rgb="FF000000"/>
        <rFont val="Arial Bold"/>
      </rPr>
      <t>206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238</t>
    </r>
    <r>
      <rPr>
        <b/>
        <sz val="10"/>
        <color rgb="FF000000"/>
        <rFont val="Arial"/>
        <family val="2"/>
      </rPr>
      <t xml:space="preserve">U vs </t>
    </r>
    <r>
      <rPr>
        <b/>
        <vertAlign val="superscript"/>
        <sz val="10"/>
        <color rgb="FF000000"/>
        <rFont val="Arial Bold"/>
      </rP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235</t>
    </r>
    <r>
      <rPr>
        <b/>
        <sz val="10"/>
        <color rgb="FF000000"/>
        <rFont val="Arial"/>
        <family val="2"/>
      </rPr>
      <t>U</t>
    </r>
  </si>
  <si>
    <r>
      <t>208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232</t>
    </r>
    <r>
      <rPr>
        <b/>
        <sz val="10"/>
        <color rgb="FF000000"/>
        <rFont val="Arial"/>
        <family val="2"/>
      </rPr>
      <t>Th</t>
    </r>
  </si>
  <si>
    <r>
      <t>208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232</t>
    </r>
    <r>
      <rPr>
        <b/>
        <sz val="10"/>
        <color rgb="FF000000"/>
        <rFont val="Arial"/>
        <family val="2"/>
      </rPr>
      <t>Th (1s)</t>
    </r>
  </si>
  <si>
    <r>
      <t>238</t>
    </r>
    <r>
      <rPr>
        <b/>
        <sz val="10"/>
        <color rgb="FF000000"/>
        <rFont val="Arial"/>
        <family val="2"/>
      </rPr>
      <t>U/</t>
    </r>
    <r>
      <rPr>
        <b/>
        <vertAlign val="superscript"/>
        <sz val="10"/>
        <color rgb="FF000000"/>
        <rFont val="Arial Bold"/>
      </rPr>
      <t>232</t>
    </r>
    <r>
      <rPr>
        <b/>
        <sz val="10"/>
        <color rgb="FF000000"/>
        <rFont val="Arial"/>
        <family val="2"/>
      </rPr>
      <t>Th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</si>
  <si>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206</t>
    </r>
    <r>
      <rPr>
        <b/>
        <sz val="10"/>
        <color rgb="FF000000"/>
        <rFont val="Arial"/>
        <family val="2"/>
      </rPr>
      <t>Pb age (Ma)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</si>
  <si>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206</t>
    </r>
    <r>
      <rPr>
        <b/>
        <sz val="10"/>
        <color rgb="FF000000"/>
        <rFont val="Arial"/>
        <family val="2"/>
      </rPr>
      <t>Pb age (1s)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</si>
  <si>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235</t>
    </r>
    <r>
      <rPr>
        <b/>
        <sz val="10"/>
        <color rgb="FF000000"/>
        <rFont val="Arial"/>
        <family val="2"/>
      </rPr>
      <t>U age (Ma)</t>
    </r>
  </si>
  <si>
    <r>
      <t>207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235</t>
    </r>
    <r>
      <rPr>
        <b/>
        <sz val="10"/>
        <color rgb="FF000000"/>
        <rFont val="Arial"/>
        <family val="2"/>
      </rPr>
      <t>U age (1s)</t>
    </r>
  </si>
  <si>
    <r>
      <t>206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238</t>
    </r>
    <r>
      <rPr>
        <b/>
        <sz val="10"/>
        <color rgb="FF000000"/>
        <rFont val="Arial"/>
        <family val="2"/>
      </rPr>
      <t>U age (Ma)</t>
    </r>
  </si>
  <si>
    <r>
      <t>206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238</t>
    </r>
    <r>
      <rPr>
        <b/>
        <sz val="10"/>
        <color rgb="FF000000"/>
        <rFont val="Arial"/>
        <family val="2"/>
      </rPr>
      <t>U age (1s)</t>
    </r>
  </si>
  <si>
    <r>
      <t>208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232</t>
    </r>
    <r>
      <rPr>
        <b/>
        <sz val="10"/>
        <color rgb="FF000000"/>
        <rFont val="Arial"/>
        <family val="2"/>
      </rPr>
      <t>Th age (Ma)</t>
    </r>
  </si>
  <si>
    <r>
      <t>208</t>
    </r>
    <r>
      <rPr>
        <b/>
        <sz val="10"/>
        <color rgb="FF000000"/>
        <rFont val="Arial"/>
        <family val="2"/>
      </rPr>
      <t>Pb/</t>
    </r>
    <r>
      <rPr>
        <b/>
        <vertAlign val="superscript"/>
        <sz val="10"/>
        <color rgb="FF000000"/>
        <rFont val="Arial Bold"/>
      </rPr>
      <t>232</t>
    </r>
    <r>
      <rPr>
        <b/>
        <sz val="10"/>
        <color rgb="FF000000"/>
        <rFont val="Arial"/>
        <family val="2"/>
      </rPr>
      <t>Th age (1s)</t>
    </r>
  </si>
  <si>
    <t>concordance</t>
  </si>
  <si>
    <r>
      <t>SiO</t>
    </r>
    <r>
      <rPr>
        <b/>
        <vertAlign val="subscript"/>
        <sz val="10"/>
        <color rgb="FF000000"/>
        <rFont val="Arial Bold"/>
      </rPr>
      <t>2</t>
    </r>
    <r>
      <rPr>
        <b/>
        <sz val="10"/>
        <color rgb="FF000000"/>
        <rFont val="Arial"/>
        <family val="2"/>
      </rPr>
      <t xml:space="preserve"> (%)</t>
    </r>
  </si>
  <si>
    <t>P</t>
  </si>
  <si>
    <t>Ti</t>
  </si>
  <si>
    <t>Hg</t>
  </si>
  <si>
    <t>21JH169-02</t>
  </si>
  <si>
    <t>21JH169-03</t>
  </si>
  <si>
    <t>21JH169-04</t>
  </si>
  <si>
    <t>21JH169-06</t>
  </si>
  <si>
    <t>21JH169-07</t>
  </si>
  <si>
    <t>21JH169-10</t>
  </si>
  <si>
    <t>CorComPb</t>
  </si>
  <si>
    <t>21JH169-11</t>
  </si>
  <si>
    <t>21JH169-12</t>
  </si>
  <si>
    <t>21JH169-14</t>
  </si>
  <si>
    <t>21JH169-16</t>
  </si>
  <si>
    <t>21JH169-18</t>
  </si>
  <si>
    <t>21JH169-19</t>
  </si>
  <si>
    <t>21JH169-20</t>
  </si>
  <si>
    <t>21JH169-01</t>
  </si>
  <si>
    <t/>
  </si>
  <si>
    <t>21JH169-08</t>
  </si>
  <si>
    <t>21JH169-13</t>
  </si>
  <si>
    <t>21JH169-15</t>
  </si>
  <si>
    <t>21JH169-17</t>
  </si>
  <si>
    <t>21JH169-05</t>
  </si>
  <si>
    <t>21JH169-09</t>
  </si>
  <si>
    <t>21JH170-01</t>
  </si>
  <si>
    <t>21JH170-03</t>
  </si>
  <si>
    <t>21JH170-04</t>
  </si>
  <si>
    <t>21JH170-05</t>
  </si>
  <si>
    <t>21JH170-06</t>
  </si>
  <si>
    <t>21JH170-07</t>
  </si>
  <si>
    <t>21JH170-09</t>
  </si>
  <si>
    <t>21JH170-10</t>
  </si>
  <si>
    <t>21JH170-11</t>
  </si>
  <si>
    <t>21JH170-14</t>
  </si>
  <si>
    <t>21JH170-16</t>
  </si>
  <si>
    <t>21JH170-17</t>
  </si>
  <si>
    <t>21JH170-18</t>
  </si>
  <si>
    <t>21JH170-20</t>
  </si>
  <si>
    <t>21JH170-02</t>
  </si>
  <si>
    <t>21JH170-08</t>
  </si>
  <si>
    <t>21JH170-12</t>
  </si>
  <si>
    <t>21JH170-13</t>
  </si>
  <si>
    <t>21JH170-15</t>
  </si>
  <si>
    <t>21JH170-19</t>
  </si>
  <si>
    <t>21JH171-01</t>
  </si>
  <si>
    <t>21JH171-04</t>
  </si>
  <si>
    <t>21JH171-05</t>
  </si>
  <si>
    <t>21JH171-06</t>
  </si>
  <si>
    <t>21JH171-07</t>
  </si>
  <si>
    <t>21JH171-08</t>
  </si>
  <si>
    <t>21JH171-09</t>
  </si>
  <si>
    <t>21JH171-11</t>
  </si>
  <si>
    <t>21JH171-12</t>
  </si>
  <si>
    <t>21JH171-13</t>
  </si>
  <si>
    <t>21JH171-14</t>
  </si>
  <si>
    <t>21JH171-15</t>
  </si>
  <si>
    <t>21JH171-16</t>
  </si>
  <si>
    <t>21JH171-17</t>
  </si>
  <si>
    <t>21JH171-18</t>
  </si>
  <si>
    <t>21JH171-19</t>
  </si>
  <si>
    <t>21JH171-02</t>
  </si>
  <si>
    <t>21JH171-03</t>
  </si>
  <si>
    <t>21JH171-10</t>
  </si>
  <si>
    <t>21JH171-20</t>
  </si>
  <si>
    <t>21JH172-02</t>
  </si>
  <si>
    <t>21JH172-03</t>
  </si>
  <si>
    <t>21JH172-04</t>
  </si>
  <si>
    <t>21JH172-05</t>
  </si>
  <si>
    <t>21JH172-08</t>
  </si>
  <si>
    <t>21JH172-09</t>
  </si>
  <si>
    <t>21JH172-10</t>
  </si>
  <si>
    <t>21JH172-13</t>
  </si>
  <si>
    <t>21JH172-14</t>
  </si>
  <si>
    <t>21JH172-15</t>
  </si>
  <si>
    <t>21JH172-16</t>
  </si>
  <si>
    <t>21JH172-17</t>
  </si>
  <si>
    <t>21JH172-18</t>
  </si>
  <si>
    <t>21JH172-19</t>
  </si>
  <si>
    <t>21JH172-20</t>
  </si>
  <si>
    <t>21JH172-01</t>
  </si>
  <si>
    <t>2CorComPb</t>
  </si>
  <si>
    <t>21JH172-06</t>
  </si>
  <si>
    <t>21JH172-07</t>
  </si>
  <si>
    <t>21JH172-11</t>
  </si>
  <si>
    <t>21JH172-12</t>
  </si>
  <si>
    <t>21JH173-01</t>
  </si>
  <si>
    <t>21JH173-03</t>
  </si>
  <si>
    <t>21JH173-05</t>
  </si>
  <si>
    <t>21JH173-07</t>
  </si>
  <si>
    <t>21JH173-08</t>
  </si>
  <si>
    <t>21JH173-09</t>
  </si>
  <si>
    <t>21JH173-10</t>
  </si>
  <si>
    <t>21JH173-12</t>
  </si>
  <si>
    <t>21JH173-13</t>
  </si>
  <si>
    <t>21JH173-15</t>
  </si>
  <si>
    <t>21JH173-16</t>
  </si>
  <si>
    <t>21JH173-18</t>
  </si>
  <si>
    <t>21JH173-04</t>
  </si>
  <si>
    <t>21JH173-14</t>
  </si>
  <si>
    <t>21JH173-11</t>
  </si>
  <si>
    <t>21JH173-17</t>
  </si>
  <si>
    <t>21JH173-19</t>
  </si>
  <si>
    <t>21JH173-20</t>
  </si>
  <si>
    <t>21JH173-02</t>
  </si>
  <si>
    <t>21JH173-06</t>
  </si>
  <si>
    <t>high ComPb</t>
  </si>
  <si>
    <t>21JH177-02</t>
  </si>
  <si>
    <t>21JH177-03</t>
  </si>
  <si>
    <t>21JH177-05</t>
  </si>
  <si>
    <t>21JH177-07</t>
  </si>
  <si>
    <t>21JH177-09</t>
  </si>
  <si>
    <t>21JH177-11</t>
  </si>
  <si>
    <t>21JH177-12</t>
  </si>
  <si>
    <t>21JH177-13</t>
  </si>
  <si>
    <t>21JH177-17</t>
  </si>
  <si>
    <t>21JH177-18</t>
  </si>
  <si>
    <t>21JH177-19</t>
  </si>
  <si>
    <t>21JH177-20</t>
  </si>
  <si>
    <t>21JH177-01</t>
  </si>
  <si>
    <t>21JH177-06</t>
  </si>
  <si>
    <t>21JH177-10</t>
  </si>
  <si>
    <t>21JH177-15</t>
  </si>
  <si>
    <t>21JH177-16</t>
  </si>
  <si>
    <t>21JH177-04</t>
  </si>
  <si>
    <t>21JH177-08</t>
  </si>
  <si>
    <t>21JH177-14</t>
  </si>
  <si>
    <t>21JH178-01</t>
  </si>
  <si>
    <t>21JH178-02</t>
  </si>
  <si>
    <t>21JH178-03</t>
  </si>
  <si>
    <t>21JH178-04</t>
  </si>
  <si>
    <t>21JH178-05</t>
  </si>
  <si>
    <t>21JH178-06</t>
  </si>
  <si>
    <t>21JH178-07</t>
  </si>
  <si>
    <t>21JH178-08</t>
  </si>
  <si>
    <t>21JH178-09</t>
  </si>
  <si>
    <t>21JH178-10</t>
  </si>
  <si>
    <t>21JH178-11</t>
  </si>
  <si>
    <t>21JH178-12</t>
  </si>
  <si>
    <t>21JH178-13</t>
  </si>
  <si>
    <t>21JH178-14</t>
  </si>
  <si>
    <t>21JH178-15</t>
  </si>
  <si>
    <t>21JH178-16</t>
  </si>
  <si>
    <t>21JH178-17</t>
  </si>
  <si>
    <t>21JH178-18</t>
  </si>
  <si>
    <t>21JH178-19</t>
  </si>
  <si>
    <t>21JH178-20</t>
  </si>
  <si>
    <t>21JH179-01</t>
  </si>
  <si>
    <t>21JH179-02</t>
  </si>
  <si>
    <t>21JH179-03</t>
  </si>
  <si>
    <t>21JH179-04</t>
  </si>
  <si>
    <t>21JH179-05</t>
  </si>
  <si>
    <t>21JH179-06</t>
  </si>
  <si>
    <t>21JH179-07</t>
  </si>
  <si>
    <t>21JH179-08</t>
  </si>
  <si>
    <t>21JH179-09</t>
  </si>
  <si>
    <t>21JH179-10</t>
  </si>
  <si>
    <t>21JH179-11</t>
  </si>
  <si>
    <t>21JH179-12</t>
  </si>
  <si>
    <t>21JH179-13</t>
  </si>
  <si>
    <t>21JH179-14</t>
  </si>
  <si>
    <t>21JH179-15</t>
  </si>
  <si>
    <t>21JH179-16</t>
  </si>
  <si>
    <t>21JH179-17</t>
  </si>
  <si>
    <t>21JH179-18</t>
  </si>
  <si>
    <t>21JH179-19</t>
  </si>
  <si>
    <t>21JH179-20</t>
  </si>
  <si>
    <t>21JH181-02</t>
  </si>
  <si>
    <t>21JH181-03</t>
  </si>
  <si>
    <t>21JH181-04</t>
  </si>
  <si>
    <t>21JH181-08</t>
  </si>
  <si>
    <t>21JH181-09</t>
  </si>
  <si>
    <t>21JH181-10</t>
  </si>
  <si>
    <t>21JH181-11</t>
  </si>
  <si>
    <t>21JH181-12</t>
  </si>
  <si>
    <t>21JH181-13</t>
  </si>
  <si>
    <t>21JH181-14</t>
  </si>
  <si>
    <t>21JH181-15</t>
  </si>
  <si>
    <t>21JH181-16</t>
  </si>
  <si>
    <t>21JH181-17</t>
  </si>
  <si>
    <t>21JH181-18</t>
  </si>
  <si>
    <t>21JH181-19</t>
  </si>
  <si>
    <t>21JH181-20</t>
  </si>
  <si>
    <t>21JH181-05</t>
  </si>
  <si>
    <t>21JH181-06</t>
  </si>
  <si>
    <t>21JH181-07</t>
  </si>
  <si>
    <t>21JH182-06</t>
  </si>
  <si>
    <t>21JH182-07</t>
  </si>
  <si>
    <t>21JH182-08</t>
  </si>
  <si>
    <t>21JH182-13</t>
  </si>
  <si>
    <t>21JH182-18</t>
  </si>
  <si>
    <t>21JH182-19</t>
  </si>
  <si>
    <t>21JH182-01</t>
  </si>
  <si>
    <t>21JH182-02</t>
  </si>
  <si>
    <t>21JH182-03</t>
  </si>
  <si>
    <t>21JH182-09</t>
  </si>
  <si>
    <t>21JH182-10</t>
  </si>
  <si>
    <t>21JH182-11</t>
  </si>
  <si>
    <t>21JH182-12</t>
  </si>
  <si>
    <t>21JH182-14</t>
  </si>
  <si>
    <t>21JH182-15</t>
  </si>
  <si>
    <t>21JH182-16</t>
  </si>
  <si>
    <t>21JH182-17</t>
  </si>
  <si>
    <t>21JH182-20</t>
  </si>
  <si>
    <t>21JH182-04</t>
  </si>
  <si>
    <t>21JH182-05</t>
  </si>
  <si>
    <t>21JH183-01</t>
  </si>
  <si>
    <t>21JH183-02</t>
  </si>
  <si>
    <t>21JH183-03</t>
  </si>
  <si>
    <t>21JH183-04</t>
  </si>
  <si>
    <t>21JH183-06</t>
  </si>
  <si>
    <t>21JH183-07</t>
  </si>
  <si>
    <t>21JH183-08</t>
  </si>
  <si>
    <t>21JH183-09</t>
  </si>
  <si>
    <t>21JH183-10</t>
  </si>
  <si>
    <t>21JH183-11</t>
  </si>
  <si>
    <t>21JH183-12</t>
  </si>
  <si>
    <t>21JH183-14</t>
  </si>
  <si>
    <t>21JH183-15</t>
  </si>
  <si>
    <t>21JH183-17</t>
  </si>
  <si>
    <t>21JH183-18</t>
  </si>
  <si>
    <t>21JH183-19</t>
  </si>
  <si>
    <t>21JH183-05</t>
  </si>
  <si>
    <t>21JH183-13</t>
  </si>
  <si>
    <t>21JH183-16</t>
  </si>
  <si>
    <t>21JH183-20</t>
  </si>
  <si>
    <t>21JH184-01</t>
  </si>
  <si>
    <t>21JH184-03</t>
  </si>
  <si>
    <t>21JH184-06</t>
  </si>
  <si>
    <t>21JH184-08</t>
  </si>
  <si>
    <t>21JH184-13</t>
  </si>
  <si>
    <t>21JH184-19</t>
  </si>
  <si>
    <t>21JH184-02</t>
  </si>
  <si>
    <t>21JH184-05</t>
  </si>
  <si>
    <t>21JH184-07</t>
  </si>
  <si>
    <t>21JH184-10</t>
  </si>
  <si>
    <t>21JH184-14</t>
  </si>
  <si>
    <t>21JH184-15</t>
  </si>
  <si>
    <t>21JH184-16</t>
  </si>
  <si>
    <t>21JH184-18</t>
  </si>
  <si>
    <t>21JH184-20</t>
  </si>
  <si>
    <t>21JH184-04</t>
  </si>
  <si>
    <t>21JH184-09</t>
  </si>
  <si>
    <t>21JH184-11</t>
  </si>
  <si>
    <t>21JH184-12</t>
  </si>
  <si>
    <t>21JH184-17</t>
  </si>
  <si>
    <t>21JH185-01</t>
  </si>
  <si>
    <t>21JH185-06</t>
  </si>
  <si>
    <t>21JH185-07</t>
  </si>
  <si>
    <t>21JH185-08</t>
  </si>
  <si>
    <t>21JH185-09</t>
  </si>
  <si>
    <t>21JH185-10</t>
  </si>
  <si>
    <t>21JH185-11</t>
  </si>
  <si>
    <t>21JH185-14</t>
  </si>
  <si>
    <t>21JH185-15</t>
  </si>
  <si>
    <t>21JH185-16</t>
  </si>
  <si>
    <t>21JH185-17</t>
  </si>
  <si>
    <t>21JH185-19</t>
  </si>
  <si>
    <t>21JH185-20</t>
  </si>
  <si>
    <t>21JH185-02</t>
  </si>
  <si>
    <t>21JH185-03</t>
  </si>
  <si>
    <t>21JH185-04</t>
  </si>
  <si>
    <t>21JH185-05</t>
  </si>
  <si>
    <t>21JH185-12</t>
  </si>
  <si>
    <t>21JH185-13</t>
  </si>
  <si>
    <t>21JH185-18</t>
  </si>
  <si>
    <t>21JH186-01</t>
  </si>
  <si>
    <t>21JH186-02</t>
  </si>
  <si>
    <t>21JH186-04</t>
  </si>
  <si>
    <t>21JH186-05</t>
  </si>
  <si>
    <t>21JH186-06</t>
  </si>
  <si>
    <t>21JH186-07</t>
  </si>
  <si>
    <t>21JH186-09</t>
  </si>
  <si>
    <t>21JH186-11</t>
  </si>
  <si>
    <t>21JH186-13</t>
  </si>
  <si>
    <t>21JH186-14</t>
  </si>
  <si>
    <t>21JH186-15</t>
  </si>
  <si>
    <t>21JH186-16</t>
  </si>
  <si>
    <t>21JH186-18</t>
  </si>
  <si>
    <t>21JH186-19</t>
  </si>
  <si>
    <t>21JH186-20</t>
  </si>
  <si>
    <t>21JH186-03</t>
  </si>
  <si>
    <t>21JH186-08</t>
  </si>
  <si>
    <t>21JH186-10</t>
  </si>
  <si>
    <t>21JH186-12</t>
  </si>
  <si>
    <t>21JH186-17</t>
  </si>
  <si>
    <t>Standards</t>
  </si>
  <si>
    <t>GJ-1</t>
  </si>
  <si>
    <t>PLE</t>
  </si>
  <si>
    <t>Tanz</t>
  </si>
  <si>
    <r>
      <rPr>
        <b/>
        <sz val="10"/>
        <rFont val="Arial"/>
        <family val="2"/>
      </rPr>
      <t>Table S4</t>
    </r>
    <r>
      <rPr>
        <sz val="10"/>
        <rFont val="Arial"/>
        <family val="2"/>
      </rPr>
      <t xml:space="preserve"> Titanite LA-ICPMS data of U-Pb dating and trace element concentrations (ppm) for the analyzed samples from the Anshan Complex.</t>
    </r>
    <phoneticPr fontId="28" type="noConversion"/>
  </si>
  <si>
    <r>
      <t>238</t>
    </r>
    <r>
      <rPr>
        <b/>
        <sz val="10"/>
        <rFont val="Arial"/>
        <family val="2"/>
      </rPr>
      <t>U/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>Pb</t>
    </r>
  </si>
  <si>
    <r>
      <t>238</t>
    </r>
    <r>
      <rPr>
        <b/>
        <sz val="10"/>
        <rFont val="Arial"/>
        <family val="2"/>
      </rPr>
      <t>U/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>Pb (2SE)</t>
    </r>
  </si>
  <si>
    <r>
      <t>207</t>
    </r>
    <r>
      <rPr>
        <b/>
        <sz val="10"/>
        <rFont val="Arial"/>
        <family val="2"/>
      </rPr>
      <t>Pb/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>Pb</t>
    </r>
  </si>
  <si>
    <r>
      <t>207</t>
    </r>
    <r>
      <rPr>
        <b/>
        <sz val="10"/>
        <rFont val="Arial"/>
        <family val="2"/>
      </rPr>
      <t>Pb/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>Pb (2SE)</t>
    </r>
  </si>
  <si>
    <r>
      <t xml:space="preserve">rho </t>
    </r>
    <r>
      <rPr>
        <b/>
        <vertAlign val="superscript"/>
        <sz val="10"/>
        <rFont val="Arial Bold"/>
      </rPr>
      <t>207</t>
    </r>
    <r>
      <rPr>
        <b/>
        <sz val="10"/>
        <rFont val="Arial"/>
        <family val="2"/>
      </rPr>
      <t>Pb/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 xml:space="preserve">Pb vs </t>
    </r>
    <r>
      <rPr>
        <b/>
        <vertAlign val="superscript"/>
        <sz val="10"/>
        <rFont val="Arial Bold"/>
      </rPr>
      <t>238</t>
    </r>
    <r>
      <rPr>
        <b/>
        <sz val="10"/>
        <rFont val="Arial"/>
        <family val="2"/>
      </rPr>
      <t>U/</t>
    </r>
    <r>
      <rPr>
        <b/>
        <vertAlign val="superscript"/>
        <sz val="10"/>
        <rFont val="Arial Bold"/>
      </rPr>
      <t>206</t>
    </r>
    <r>
      <rPr>
        <b/>
        <sz val="10"/>
        <rFont val="Arial"/>
        <family val="2"/>
      </rPr>
      <t>Pb</t>
    </r>
  </si>
  <si>
    <t>PbTotal</t>
  </si>
  <si>
    <t>BLR-1</t>
  </si>
  <si>
    <r>
      <rPr>
        <b/>
        <sz val="10"/>
        <rFont val="Arial"/>
        <family val="2"/>
      </rPr>
      <t>Table S5</t>
    </r>
    <r>
      <rPr>
        <sz val="10"/>
        <rFont val="Arial"/>
        <family val="2"/>
      </rPr>
      <t xml:space="preserve"> Apatite LA-ICPMS data of U-Pb dating and trace element concentrations (ppm) for the analyzed samples from the Anshan Complex.</t>
    </r>
    <phoneticPr fontId="28" type="noConversion"/>
  </si>
  <si>
    <t>Si</t>
  </si>
  <si>
    <t>21JH184-18X</t>
  </si>
  <si>
    <t>21JH182-21</t>
  </si>
  <si>
    <t>Sume</t>
  </si>
  <si>
    <t>Sume-01</t>
  </si>
  <si>
    <t>Sume-02</t>
  </si>
  <si>
    <t>Sume-03</t>
  </si>
  <si>
    <t>Sume-04</t>
  </si>
  <si>
    <t>Sume-05</t>
  </si>
  <si>
    <t>Sume-06</t>
  </si>
  <si>
    <t>Sume-07</t>
  </si>
  <si>
    <t>Sume-08</t>
  </si>
  <si>
    <t>Sume-09</t>
  </si>
  <si>
    <t>Sume-10</t>
  </si>
  <si>
    <t>Sume-11</t>
  </si>
  <si>
    <t>Sume-12</t>
  </si>
  <si>
    <t>Sume-13</t>
  </si>
  <si>
    <t>Sume-14</t>
  </si>
  <si>
    <t>Sume-15</t>
  </si>
  <si>
    <t>Sume-16</t>
  </si>
  <si>
    <t>Sume-17</t>
  </si>
  <si>
    <t>Sume-18</t>
  </si>
  <si>
    <t>Sume-19</t>
  </si>
  <si>
    <t>Sume-20</t>
  </si>
  <si>
    <t>Sume-21</t>
  </si>
  <si>
    <t>Sume-22</t>
  </si>
  <si>
    <t>Sume-23</t>
  </si>
  <si>
    <t>Sume-24</t>
  </si>
  <si>
    <t>Sume-25</t>
  </si>
  <si>
    <t>Sume-26</t>
  </si>
  <si>
    <t>Sume-27</t>
  </si>
  <si>
    <t>Sume-28</t>
  </si>
  <si>
    <t>Sume-29</t>
  </si>
  <si>
    <t>Sume-30</t>
  </si>
  <si>
    <t>Sume-31</t>
  </si>
  <si>
    <t>Sume-32</t>
  </si>
  <si>
    <t>Sume-33</t>
  </si>
  <si>
    <t>Sume-34</t>
  </si>
  <si>
    <t>Sume-35</t>
  </si>
  <si>
    <t>Sume-36</t>
  </si>
  <si>
    <t>Sume-37</t>
  </si>
  <si>
    <t>Sume-38</t>
  </si>
  <si>
    <t>Sume-39</t>
  </si>
  <si>
    <t>Sume-40</t>
  </si>
  <si>
    <t>Sume-41</t>
  </si>
  <si>
    <t>Sume-42</t>
  </si>
  <si>
    <t>Sume-43</t>
  </si>
  <si>
    <t>Sume-44</t>
  </si>
  <si>
    <t>Sume-45</t>
  </si>
  <si>
    <t>Sume-46</t>
  </si>
  <si>
    <t>Sume-47</t>
  </si>
  <si>
    <t>Sume-48</t>
  </si>
  <si>
    <t>Sume-49</t>
  </si>
  <si>
    <t>Sume-50</t>
  </si>
  <si>
    <t>Sume-51</t>
  </si>
  <si>
    <t>Sume-52</t>
  </si>
  <si>
    <t>Sume-53</t>
  </si>
  <si>
    <t>Sume-54</t>
  </si>
  <si>
    <t>Sume-55</t>
  </si>
  <si>
    <t>Sume-56</t>
  </si>
  <si>
    <t>Sume-57</t>
  </si>
  <si>
    <t>Sume-58</t>
  </si>
  <si>
    <r>
      <rPr>
        <b/>
        <sz val="10"/>
        <rFont val="Arial"/>
        <family val="2"/>
      </rPr>
      <t>Table S6</t>
    </r>
    <r>
      <rPr>
        <sz val="10"/>
        <rFont val="Arial"/>
        <family val="2"/>
      </rPr>
      <t xml:space="preserve"> Rutile LA-ICPMS data of U-Pb dating and trace element concentrations (ppm) for the analyzed samples from the Anshan Complex.</t>
    </r>
    <phoneticPr fontId="28" type="noConversion"/>
  </si>
  <si>
    <t>Fe</t>
  </si>
  <si>
    <t>21JH179-1</t>
  </si>
  <si>
    <t>21JH179-2</t>
  </si>
  <si>
    <t>21JH179-3</t>
  </si>
  <si>
    <t>21JH179-4</t>
  </si>
  <si>
    <t>21JH179-5</t>
  </si>
  <si>
    <t>21JH179-6</t>
  </si>
  <si>
    <t>21JH179-7</t>
  </si>
  <si>
    <t>21JH179-8</t>
  </si>
  <si>
    <t>21JH179-9</t>
  </si>
  <si>
    <t>21JH179-21</t>
  </si>
  <si>
    <t>21JH179-22</t>
  </si>
  <si>
    <t>21JH179-23</t>
  </si>
  <si>
    <t>21JH179-24</t>
  </si>
  <si>
    <t>21JH179-25</t>
  </si>
  <si>
    <t>21JH179-26</t>
  </si>
  <si>
    <t>21JH179-27</t>
  </si>
  <si>
    <t>21JH179-28</t>
  </si>
  <si>
    <t>21JH179-29</t>
  </si>
  <si>
    <t>21JH179-30</t>
  </si>
  <si>
    <t>21JH179-31</t>
  </si>
  <si>
    <t>21JH179-32</t>
  </si>
  <si>
    <t>21JH179-33</t>
  </si>
  <si>
    <t>21JH179-34</t>
  </si>
  <si>
    <t>21JH179-35</t>
  </si>
  <si>
    <t>21JH179-36</t>
  </si>
  <si>
    <t>R632</t>
  </si>
  <si>
    <t>R632-1</t>
  </si>
  <si>
    <t>R632-2</t>
  </si>
  <si>
    <t>R632-3</t>
  </si>
  <si>
    <t>R632-4</t>
  </si>
  <si>
    <t>R632-5</t>
  </si>
  <si>
    <t>R632-6</t>
  </si>
  <si>
    <t>R632-7</t>
  </si>
  <si>
    <t>R632-8</t>
  </si>
  <si>
    <t>R632-9</t>
  </si>
  <si>
    <t>R632-10</t>
  </si>
  <si>
    <t>R632-11</t>
  </si>
  <si>
    <t>R632-12</t>
  </si>
  <si>
    <t>R632-13</t>
  </si>
  <si>
    <t>R632-14</t>
  </si>
  <si>
    <t>ARM-1</t>
  </si>
  <si>
    <t>ARM-1-1</t>
  </si>
  <si>
    <t>ARM-1-2</t>
  </si>
  <si>
    <t>ARM-1-3</t>
  </si>
  <si>
    <t>ARM-1-4</t>
  </si>
  <si>
    <t>ARM-1-5</t>
  </si>
  <si>
    <t>ARM-1-6</t>
  </si>
  <si>
    <t>ARM-1-7</t>
  </si>
  <si>
    <t>RKV01</t>
  </si>
  <si>
    <t>RKV01-1</t>
  </si>
  <si>
    <t>RKV01-2</t>
  </si>
  <si>
    <t>RKV01-1-3</t>
  </si>
  <si>
    <t>RKV01-1-4</t>
  </si>
  <si>
    <t>RKV01-1-5</t>
  </si>
  <si>
    <t>RKV01-1-6</t>
  </si>
  <si>
    <t>RKV01-1-7</t>
  </si>
  <si>
    <t>RKV01-1-8</t>
  </si>
  <si>
    <t>RKV01-1-9</t>
  </si>
  <si>
    <t>RKV01-1-10</t>
  </si>
  <si>
    <t>RKV01-1-11</t>
  </si>
  <si>
    <t>RKV01-1-12</t>
  </si>
  <si>
    <t>RKV01-1-13</t>
  </si>
  <si>
    <t>RKV01-1-14</t>
  </si>
  <si>
    <r>
      <rPr>
        <b/>
        <sz val="10"/>
        <rFont val="Arial"/>
        <family val="2"/>
      </rPr>
      <t>Table S7</t>
    </r>
    <r>
      <rPr>
        <sz val="10"/>
        <rFont val="Arial"/>
        <family val="2"/>
      </rPr>
      <t xml:space="preserve"> Compilation of accessory-mineral U–Pb ages for the Archean Anshan Complex.</t>
    </r>
    <phoneticPr fontId="28" type="noConversion"/>
  </si>
  <si>
    <t>Sample ID</t>
    <phoneticPr fontId="29" type="noConversion"/>
  </si>
  <si>
    <t>Geological Unit / complex</t>
    <phoneticPr fontId="29" type="noConversion"/>
  </si>
  <si>
    <t>Lithology</t>
    <phoneticPr fontId="29" type="noConversion"/>
  </si>
  <si>
    <t>Formation age</t>
    <phoneticPr fontId="29" type="noConversion"/>
  </si>
  <si>
    <t>Inherited zircon (2SE)</t>
    <phoneticPr fontId="29" type="noConversion"/>
  </si>
  <si>
    <t>Metamorphic age/later events (2SE)</t>
    <phoneticPr fontId="29" type="noConversion"/>
  </si>
  <si>
    <t>Dated mineral</t>
    <phoneticPr fontId="29" type="noConversion"/>
  </si>
  <si>
    <t>Method</t>
    <phoneticPr fontId="29" type="noConversion"/>
  </si>
  <si>
    <t>Data source</t>
    <phoneticPr fontId="29" type="noConversion"/>
  </si>
  <si>
    <t>A9011</t>
    <phoneticPr fontId="29" type="noConversion"/>
  </si>
  <si>
    <t>Baijiafen</t>
    <phoneticPr fontId="29" type="noConversion"/>
  </si>
  <si>
    <t>mylonitized gneisses</t>
    <phoneticPr fontId="29" type="noConversion"/>
  </si>
  <si>
    <t>&gt; 3775 ± 10 Ma</t>
    <phoneticPr fontId="29" type="noConversion"/>
  </si>
  <si>
    <t>~3300 Ma</t>
    <phoneticPr fontId="29" type="noConversion"/>
  </si>
  <si>
    <t>zircon</t>
    <phoneticPr fontId="29" type="noConversion"/>
  </si>
  <si>
    <t>SIMS</t>
    <phoneticPr fontId="29" type="noConversion"/>
  </si>
  <si>
    <t>Liu et al., 1992</t>
    <phoneticPr fontId="29" type="noConversion"/>
  </si>
  <si>
    <t>AB87-7</t>
    <phoneticPr fontId="29" type="noConversion"/>
  </si>
  <si>
    <t>3804 ± 5 Ma</t>
    <phoneticPr fontId="29" type="noConversion"/>
  </si>
  <si>
    <t>A0518</t>
    <phoneticPr fontId="29" type="noConversion"/>
  </si>
  <si>
    <t>mylonitized trondhjemitic gneiss</t>
    <phoneticPr fontId="29" type="noConversion"/>
  </si>
  <si>
    <t>3800 ± 5 Ma</t>
    <phoneticPr fontId="29" type="noConversion"/>
  </si>
  <si>
    <t>3752 ± 8 Ma, ~3.5 Ga, and ~3.3 Ga</t>
    <phoneticPr fontId="29" type="noConversion"/>
  </si>
  <si>
    <t>Liu et al., 2008</t>
    <phoneticPr fontId="29" type="noConversion"/>
  </si>
  <si>
    <t>A0405</t>
    <phoneticPr fontId="29" type="noConversion"/>
  </si>
  <si>
    <t>mylonitized trondhjemitic rock</t>
    <phoneticPr fontId="29" type="noConversion"/>
  </si>
  <si>
    <t>3573 ± 21 Ma</t>
    <phoneticPr fontId="29" type="noConversion"/>
  </si>
  <si>
    <t>3790 ± 4 Ma</t>
    <phoneticPr fontId="29" type="noConversion"/>
  </si>
  <si>
    <t>A0403</t>
    <phoneticPr fontId="29" type="noConversion"/>
  </si>
  <si>
    <t>biotite schist</t>
    <phoneticPr fontId="29" type="noConversion"/>
  </si>
  <si>
    <t>3723 ± 17 Ma</t>
    <phoneticPr fontId="29" type="noConversion"/>
  </si>
  <si>
    <t>A0404</t>
    <phoneticPr fontId="29" type="noConversion"/>
  </si>
  <si>
    <t>trondhjemite veins</t>
    <phoneticPr fontId="29" type="noConversion"/>
  </si>
  <si>
    <t>3620 ± 23 Ma</t>
    <phoneticPr fontId="29" type="noConversion"/>
  </si>
  <si>
    <t>~3.3 Ga</t>
    <phoneticPr fontId="29" type="noConversion"/>
  </si>
  <si>
    <t>05FW031</t>
    <phoneticPr fontId="29" type="noConversion"/>
  </si>
  <si>
    <t>mica schist</t>
    <phoneticPr fontId="29" type="noConversion"/>
  </si>
  <si>
    <t>3306 ± 12 Ma</t>
    <phoneticPr fontId="29" type="noConversion"/>
  </si>
  <si>
    <t>Wu et al., 2008</t>
    <phoneticPr fontId="29" type="noConversion"/>
  </si>
  <si>
    <t>05FW030</t>
    <phoneticPr fontId="29" type="noConversion"/>
  </si>
  <si>
    <t>biotite-bearing trondhjemitic gneiss</t>
    <phoneticPr fontId="29" type="noConversion"/>
  </si>
  <si>
    <t>3304 ± 10 Ma</t>
    <phoneticPr fontId="29" type="noConversion"/>
  </si>
  <si>
    <t>3798 ± 30 Ma</t>
    <phoneticPr fontId="29" type="noConversion"/>
  </si>
  <si>
    <t>05FW032</t>
    <phoneticPr fontId="29" type="noConversion"/>
  </si>
  <si>
    <t>3320 ± 9 Ma</t>
    <phoneticPr fontId="29" type="noConversion"/>
  </si>
  <si>
    <t>05FW033</t>
    <phoneticPr fontId="29" type="noConversion"/>
  </si>
  <si>
    <t>trondhjemitic gneiss</t>
    <phoneticPr fontId="29" type="noConversion"/>
  </si>
  <si>
    <t>3140 ± 31 Ma</t>
    <phoneticPr fontId="29" type="noConversion"/>
  </si>
  <si>
    <t>3781 ± 5 Ma, 3629 ± 33 Ma, and 3307 ± 53 Ma</t>
    <phoneticPr fontId="29" type="noConversion"/>
  </si>
  <si>
    <t>05FW035</t>
    <phoneticPr fontId="29" type="noConversion"/>
  </si>
  <si>
    <t>3315 ± 4 Ma</t>
    <phoneticPr fontId="29" type="noConversion"/>
  </si>
  <si>
    <t>3799 ± 6 Ma</t>
    <phoneticPr fontId="29" type="noConversion"/>
  </si>
  <si>
    <t>01FW306</t>
    <phoneticPr fontId="29" type="noConversion"/>
  </si>
  <si>
    <t>3157 ± 7 Ma</t>
    <phoneticPr fontId="29" type="noConversion"/>
  </si>
  <si>
    <t>3783 ± 58 Ma and 3319 ± 10 Ma</t>
    <phoneticPr fontId="29" type="noConversion"/>
  </si>
  <si>
    <t>A9013</t>
    <phoneticPr fontId="29" type="noConversion"/>
  </si>
  <si>
    <t>Chentaigou</t>
    <phoneticPr fontId="29" type="noConversion"/>
  </si>
  <si>
    <t>granite</t>
    <phoneticPr fontId="29" type="noConversion"/>
  </si>
  <si>
    <t>3306 ± 13 Ma</t>
    <phoneticPr fontId="29" type="noConversion"/>
  </si>
  <si>
    <t>05FW027</t>
    <phoneticPr fontId="29" type="noConversion"/>
  </si>
  <si>
    <t>3128 ± 6 Ma</t>
    <phoneticPr fontId="29" type="noConversion"/>
  </si>
  <si>
    <t>3360 ± 10 Ma</t>
    <phoneticPr fontId="29" type="noConversion"/>
  </si>
  <si>
    <t>05FW028</t>
    <phoneticPr fontId="29" type="noConversion"/>
  </si>
  <si>
    <t>3138 ± 40 Ma</t>
    <phoneticPr fontId="29" type="noConversion"/>
  </si>
  <si>
    <t>3353 ± 17 Ma</t>
    <phoneticPr fontId="29" type="noConversion"/>
  </si>
  <si>
    <t>05FW029</t>
    <phoneticPr fontId="29" type="noConversion"/>
  </si>
  <si>
    <t>3119 ± 50 Ma</t>
    <phoneticPr fontId="29" type="noConversion"/>
  </si>
  <si>
    <t>3312 ± 48 Ma</t>
    <phoneticPr fontId="29" type="noConversion"/>
  </si>
  <si>
    <t>C075-2</t>
    <phoneticPr fontId="29" type="noConversion"/>
  </si>
  <si>
    <t>porphyritic monzogranite</t>
    <phoneticPr fontId="29" type="noConversion"/>
  </si>
  <si>
    <t>3136 ± 9 Ma</t>
    <phoneticPr fontId="29" type="noConversion"/>
  </si>
  <si>
    <t>Wang et al., 2020</t>
    <phoneticPr fontId="29" type="noConversion"/>
  </si>
  <si>
    <t>C345-1</t>
    <phoneticPr fontId="29" type="noConversion"/>
  </si>
  <si>
    <t>3144 ± 2 Ma</t>
    <phoneticPr fontId="29" type="noConversion"/>
  </si>
  <si>
    <t>C130-2</t>
    <phoneticPr fontId="29" type="noConversion"/>
  </si>
  <si>
    <t>fine-grained monzogranite</t>
    <phoneticPr fontId="29" type="noConversion"/>
  </si>
  <si>
    <t>C345-2</t>
    <phoneticPr fontId="29" type="noConversion"/>
  </si>
  <si>
    <t>3140 ± 3 Ma</t>
    <phoneticPr fontId="29" type="noConversion"/>
  </si>
  <si>
    <t>Ch28</t>
  </si>
  <si>
    <t>Dongshan</t>
  </si>
  <si>
    <t>banded trondhjemitic gneiss</t>
    <phoneticPr fontId="29" type="noConversion"/>
  </si>
  <si>
    <t>3811 ± 4 Ma</t>
  </si>
  <si>
    <t>3325 ± 5 Ma</t>
    <phoneticPr fontId="29" type="noConversion"/>
  </si>
  <si>
    <t>Song et al., 1996</t>
    <phoneticPr fontId="29" type="noConversion"/>
  </si>
  <si>
    <t>A9604</t>
  </si>
  <si>
    <t>meta-quartz diorite</t>
    <phoneticPr fontId="29" type="noConversion"/>
  </si>
  <si>
    <t>3792 ± 12 Ma</t>
    <phoneticPr fontId="29" type="noConversion"/>
  </si>
  <si>
    <t>~3.6 Ga and 3313 ± 4 Ma</t>
    <phoneticPr fontId="29" type="noConversion"/>
  </si>
  <si>
    <t>Wan et al., 2005</t>
    <phoneticPr fontId="29" type="noConversion"/>
  </si>
  <si>
    <t>3007 ± 22 Ma</t>
    <phoneticPr fontId="29" type="noConversion"/>
  </si>
  <si>
    <t>apatite</t>
    <phoneticPr fontId="29" type="noConversion"/>
  </si>
  <si>
    <t>Zhou et al., 2007a</t>
    <phoneticPr fontId="29" type="noConversion"/>
  </si>
  <si>
    <t>05FW037</t>
    <phoneticPr fontId="29" type="noConversion"/>
  </si>
  <si>
    <t>Dongshan</t>
    <phoneticPr fontId="29" type="noConversion"/>
  </si>
  <si>
    <t>dioritic gneiss</t>
    <phoneticPr fontId="29" type="noConversion"/>
  </si>
  <si>
    <t>3303 ± 5 Ma</t>
    <phoneticPr fontId="29" type="noConversion"/>
  </si>
  <si>
    <t>05FW038</t>
    <phoneticPr fontId="29" type="noConversion"/>
  </si>
  <si>
    <t>3305 ± 7 Ma</t>
    <phoneticPr fontId="29" type="noConversion"/>
  </si>
  <si>
    <t>05FW040</t>
    <phoneticPr fontId="29" type="noConversion"/>
  </si>
  <si>
    <t>3265 ± 13 Ma</t>
    <phoneticPr fontId="29" type="noConversion"/>
  </si>
  <si>
    <t>~3.75 Ga</t>
    <phoneticPr fontId="29" type="noConversion"/>
  </si>
  <si>
    <t>A0507</t>
  </si>
  <si>
    <t>3791 ± 9 Ma</t>
    <phoneticPr fontId="29" type="noConversion"/>
  </si>
  <si>
    <t>3700 ± 8 Ma</t>
    <phoneticPr fontId="29" type="noConversion"/>
  </si>
  <si>
    <t>A0423</t>
  </si>
  <si>
    <t>3680 ± 19 Ma</t>
  </si>
  <si>
    <t>3795 ± 25 Ma</t>
    <phoneticPr fontId="29" type="noConversion"/>
  </si>
  <si>
    <t>F28-2</t>
    <phoneticPr fontId="29" type="noConversion"/>
  </si>
  <si>
    <t>3324 ± 5 Ma</t>
    <phoneticPr fontId="29" type="noConversion"/>
  </si>
  <si>
    <t>3793 ± 3 Ma</t>
    <phoneticPr fontId="29" type="noConversion"/>
  </si>
  <si>
    <t>Wang, 2015</t>
    <phoneticPr fontId="29" type="noConversion"/>
  </si>
  <si>
    <t>C166-7</t>
    <phoneticPr fontId="29" type="noConversion"/>
  </si>
  <si>
    <t>3792 ± 4 Ma</t>
    <phoneticPr fontId="29" type="noConversion"/>
  </si>
  <si>
    <t>F28-1</t>
    <phoneticPr fontId="29" type="noConversion"/>
  </si>
  <si>
    <t>3818 ± 44 Ma</t>
    <phoneticPr fontId="29" type="noConversion"/>
  </si>
  <si>
    <t>F30-1</t>
    <phoneticPr fontId="29" type="noConversion"/>
  </si>
  <si>
    <t>banded gneiss</t>
    <phoneticPr fontId="29" type="noConversion"/>
  </si>
  <si>
    <t>3325 ± 3 Ma</t>
    <phoneticPr fontId="29" type="noConversion"/>
  </si>
  <si>
    <t>C201-6</t>
    <phoneticPr fontId="29" type="noConversion"/>
  </si>
  <si>
    <t>trondhjemitic leucosome</t>
    <phoneticPr fontId="29" type="noConversion"/>
  </si>
  <si>
    <t>3329 ± 3 Ma</t>
    <phoneticPr fontId="29" type="noConversion"/>
  </si>
  <si>
    <t>F31-3</t>
    <phoneticPr fontId="29" type="noConversion"/>
  </si>
  <si>
    <t>3784 ± 5 Ma</t>
    <phoneticPr fontId="29" type="noConversion"/>
  </si>
  <si>
    <t>A0426</t>
    <phoneticPr fontId="29" type="noConversion"/>
  </si>
  <si>
    <t>fine-grained trondhjemite</t>
    <phoneticPr fontId="29" type="noConversion"/>
  </si>
  <si>
    <t>3321 ± 5 Ma</t>
    <phoneticPr fontId="29" type="noConversion"/>
  </si>
  <si>
    <t>Zhou et al., 2007b</t>
    <phoneticPr fontId="29" type="noConversion"/>
  </si>
  <si>
    <t>A9317</t>
    <phoneticPr fontId="29" type="noConversion"/>
  </si>
  <si>
    <t>3321 ± 6 Ma</t>
    <phoneticPr fontId="29" type="noConversion"/>
  </si>
  <si>
    <t>A0509</t>
    <phoneticPr fontId="29" type="noConversion"/>
  </si>
  <si>
    <t>3329 ± 22 Ma</t>
    <phoneticPr fontId="29" type="noConversion"/>
  </si>
  <si>
    <t>Zhou et al., 2008</t>
    <phoneticPr fontId="29" type="noConversion"/>
  </si>
  <si>
    <t>A0504</t>
    <phoneticPr fontId="29" type="noConversion"/>
  </si>
  <si>
    <t>3141 ± 8 Ma</t>
    <phoneticPr fontId="29" type="noConversion"/>
  </si>
  <si>
    <t>A0505</t>
    <phoneticPr fontId="29" type="noConversion"/>
  </si>
  <si>
    <t>monzogranite</t>
    <phoneticPr fontId="29" type="noConversion"/>
  </si>
  <si>
    <t>3142 ± 5 Ma</t>
    <phoneticPr fontId="29" type="noConversion"/>
  </si>
  <si>
    <t>C201-5</t>
    <phoneticPr fontId="29" type="noConversion"/>
  </si>
  <si>
    <t>3328 ± 4 Ma</t>
    <phoneticPr fontId="29" type="noConversion"/>
  </si>
  <si>
    <t>C201-4</t>
    <phoneticPr fontId="29" type="noConversion"/>
  </si>
  <si>
    <t>amphibolite</t>
  </si>
  <si>
    <t>3328 ± 2 Ma</t>
    <phoneticPr fontId="29" type="noConversion"/>
  </si>
  <si>
    <t>~3.75 Ga and ~3.54 Ga</t>
    <phoneticPr fontId="29" type="noConversion"/>
  </si>
  <si>
    <t>C004-6</t>
    <phoneticPr fontId="29" type="noConversion"/>
  </si>
  <si>
    <t>biotite-bearing tremolite schist</t>
    <phoneticPr fontId="29" type="noConversion"/>
  </si>
  <si>
    <t>3304 ± 7 Ma</t>
    <phoneticPr fontId="29" type="noConversion"/>
  </si>
  <si>
    <t>C201-3</t>
    <phoneticPr fontId="29" type="noConversion"/>
  </si>
  <si>
    <t>3144 ± 6 Ma</t>
    <phoneticPr fontId="29" type="noConversion"/>
  </si>
  <si>
    <t>C455-1</t>
    <phoneticPr fontId="29" type="noConversion"/>
  </si>
  <si>
    <t>3135 ± 13 Ma</t>
    <phoneticPr fontId="29" type="noConversion"/>
  </si>
  <si>
    <t>C004-7</t>
    <phoneticPr fontId="29" type="noConversion"/>
  </si>
  <si>
    <t>3132 ± 6 Ma</t>
    <phoneticPr fontId="29" type="noConversion"/>
  </si>
  <si>
    <t>3327 ± 23 Ma</t>
    <phoneticPr fontId="29" type="noConversion"/>
  </si>
  <si>
    <t>A0512</t>
    <phoneticPr fontId="29" type="noConversion"/>
  </si>
  <si>
    <t>Shengousi</t>
    <phoneticPr fontId="29" type="noConversion"/>
  </si>
  <si>
    <t>Banded trondhjemitic gneiss</t>
  </si>
  <si>
    <t>3777 ± 13 Ma</t>
  </si>
  <si>
    <t>3556 ± 6 Ma</t>
  </si>
  <si>
    <t>F03</t>
    <phoneticPr fontId="29" type="noConversion"/>
  </si>
  <si>
    <t>Shengousi</t>
  </si>
  <si>
    <t>Trondhjemitic gneiss</t>
  </si>
  <si>
    <t>3803 ± 9 Ma</t>
  </si>
  <si>
    <t>Zhang et al., 2018</t>
    <phoneticPr fontId="29" type="noConversion"/>
  </si>
  <si>
    <t>PI-5</t>
    <phoneticPr fontId="29" type="noConversion"/>
  </si>
  <si>
    <t>3323 ± 4 Ma</t>
    <phoneticPr fontId="29" type="noConversion"/>
  </si>
  <si>
    <t>PI-6</t>
    <phoneticPr fontId="29" type="noConversion"/>
  </si>
  <si>
    <t>3335 ± 34 Ma</t>
    <phoneticPr fontId="29" type="noConversion"/>
  </si>
  <si>
    <t>A0513</t>
    <phoneticPr fontId="29" type="noConversion"/>
  </si>
  <si>
    <t>gneissic monzogranite</t>
    <phoneticPr fontId="29" type="noConversion"/>
  </si>
  <si>
    <t>3122 ± 9 Ma</t>
    <phoneticPr fontId="29" type="noConversion"/>
  </si>
  <si>
    <t>Wan et al., 2012</t>
    <phoneticPr fontId="29" type="noConversion"/>
  </si>
  <si>
    <t>A0510</t>
    <phoneticPr fontId="29" type="noConversion"/>
  </si>
  <si>
    <t>meta-mafic dyke</t>
    <phoneticPr fontId="29" type="noConversion"/>
  </si>
  <si>
    <t>3330 ± 6 Ma</t>
    <phoneticPr fontId="29" type="noConversion"/>
  </si>
  <si>
    <t>A0514</t>
    <phoneticPr fontId="29" type="noConversion"/>
  </si>
  <si>
    <t>banded trondhjemite</t>
    <phoneticPr fontId="29" type="noConversion"/>
  </si>
  <si>
    <t>3454 ± 8 Ma</t>
    <phoneticPr fontId="29" type="noConversion"/>
  </si>
  <si>
    <t>3.78–3.73 Ga and 3.66–3.62 Ga</t>
    <phoneticPr fontId="29" type="noConversion"/>
  </si>
  <si>
    <t>3.29 Ga</t>
    <phoneticPr fontId="29" type="noConversion"/>
  </si>
  <si>
    <t>A0515</t>
    <phoneticPr fontId="29" type="noConversion"/>
  </si>
  <si>
    <t>gneissic trondhjemite</t>
    <phoneticPr fontId="29" type="noConversion"/>
  </si>
  <si>
    <t>3448 ± 9 Ma</t>
    <phoneticPr fontId="29" type="noConversion"/>
  </si>
  <si>
    <t>A0710</t>
    <phoneticPr fontId="29" type="noConversion"/>
  </si>
  <si>
    <t>3329 ± 8 Ma</t>
    <phoneticPr fontId="29" type="noConversion"/>
  </si>
  <si>
    <t>3.66–3.62 Ga</t>
  </si>
  <si>
    <t>3.35 Ga and 3.13 Ga</t>
    <phoneticPr fontId="29" type="noConversion"/>
  </si>
  <si>
    <t>A0711</t>
    <phoneticPr fontId="29" type="noConversion"/>
  </si>
  <si>
    <t>trondhjemite patch</t>
    <phoneticPr fontId="29" type="noConversion"/>
  </si>
  <si>
    <t>3311 ± 4 Ma</t>
    <phoneticPr fontId="29" type="noConversion"/>
  </si>
  <si>
    <t>3.65–3.60 Ga</t>
    <phoneticPr fontId="29" type="noConversion"/>
  </si>
  <si>
    <t>C405-3</t>
    <phoneticPr fontId="29" type="noConversion"/>
  </si>
  <si>
    <t>3135 ± 5 Ma</t>
    <phoneticPr fontId="29" type="noConversion"/>
  </si>
  <si>
    <t>C405-4</t>
    <phoneticPr fontId="29" type="noConversion"/>
  </si>
  <si>
    <t>plagioclase amphibolite</t>
  </si>
  <si>
    <t>3311 ± 3 Ma</t>
    <phoneticPr fontId="29" type="noConversion"/>
  </si>
  <si>
    <t>C229-1</t>
    <phoneticPr fontId="29" type="noConversion"/>
  </si>
  <si>
    <t>Guodishan</t>
    <phoneticPr fontId="29" type="noConversion"/>
  </si>
  <si>
    <t>3140 ± 9 Ma</t>
    <phoneticPr fontId="29" type="noConversion"/>
  </si>
  <si>
    <t>C303-2</t>
    <phoneticPr fontId="29" type="noConversion"/>
  </si>
  <si>
    <t>3136 ± 8 Ma</t>
    <phoneticPr fontId="29" type="noConversion"/>
  </si>
  <si>
    <t>C209-8(1)</t>
    <phoneticPr fontId="29" type="noConversion"/>
  </si>
  <si>
    <t>Guodishan</t>
  </si>
  <si>
    <t>3.83–3.65 Ga</t>
  </si>
  <si>
    <t>3.37–3.31 Ga</t>
  </si>
  <si>
    <t>Wang et al., 2015</t>
    <phoneticPr fontId="29" type="noConversion"/>
  </si>
  <si>
    <t>C209-8(3)</t>
    <phoneticPr fontId="29" type="noConversion"/>
  </si>
  <si>
    <t>massive trondhjemitic gneiss</t>
    <phoneticPr fontId="29" type="noConversion"/>
  </si>
  <si>
    <t>3817 ± 19 Ma</t>
  </si>
  <si>
    <t>3342 ± 18 Ma</t>
  </si>
  <si>
    <t>UNIT 3</t>
  </si>
  <si>
    <t>3814 ± 2 Ma</t>
  </si>
  <si>
    <t>C209-4</t>
    <phoneticPr fontId="29" type="noConversion"/>
  </si>
  <si>
    <r>
      <t>fine-grained</t>
    </r>
    <r>
      <rPr>
        <sz val="10"/>
        <color rgb="FF000000"/>
        <rFont val="Arial"/>
        <family val="2"/>
      </rPr>
      <t xml:space="preserve"> massive trondhjemitic gneiss</t>
    </r>
    <phoneticPr fontId="29" type="noConversion"/>
  </si>
  <si>
    <r>
      <t>3131</t>
    </r>
    <r>
      <rPr>
        <sz val="10"/>
        <color rgb="FF000000"/>
        <rFont val="Arial"/>
        <family val="2"/>
      </rPr>
      <t xml:space="preserve"> ± 6 Ma</t>
    </r>
    <phoneticPr fontId="29" type="noConversion"/>
  </si>
  <si>
    <t>C209-6</t>
    <phoneticPr fontId="29" type="noConversion"/>
  </si>
  <si>
    <r>
      <t>3136</t>
    </r>
    <r>
      <rPr>
        <sz val="10"/>
        <color rgb="FF000000"/>
        <rFont val="Arial"/>
        <family val="2"/>
      </rPr>
      <t xml:space="preserve"> ± 20 Ma</t>
    </r>
    <phoneticPr fontId="29" type="noConversion"/>
  </si>
  <si>
    <t>C209-3</t>
    <phoneticPr fontId="29" type="noConversion"/>
  </si>
  <si>
    <t>3356 ± 3 Ma</t>
    <phoneticPr fontId="29" type="noConversion"/>
  </si>
  <si>
    <t>C209-2</t>
    <phoneticPr fontId="29" type="noConversion"/>
  </si>
  <si>
    <t>3304 ± 4 Ma</t>
    <phoneticPr fontId="29" type="noConversion"/>
  </si>
  <si>
    <t>23GD01-10</t>
    <phoneticPr fontId="29" type="noConversion"/>
  </si>
  <si>
    <t>3775 ± 23 Ma</t>
  </si>
  <si>
    <t>LA-ICPMS</t>
    <phoneticPr fontId="29" type="noConversion"/>
  </si>
  <si>
    <t>Xuan et al., 2025c</t>
    <phoneticPr fontId="29" type="noConversion"/>
  </si>
  <si>
    <t>A1710</t>
  </si>
  <si>
    <t>Hujiamiao</t>
  </si>
  <si>
    <t>mylonitized trondhjemitic gneiss</t>
  </si>
  <si>
    <t>3789 ± 6 Ma</t>
  </si>
  <si>
    <t>Wan et al., 2023</t>
    <phoneticPr fontId="29" type="noConversion"/>
  </si>
  <si>
    <t>A1613</t>
  </si>
  <si>
    <t>3786 ± 4 Ma</t>
  </si>
  <si>
    <t>A1708</t>
  </si>
  <si>
    <t>3698 ± 7 Ma</t>
  </si>
  <si>
    <t>A1529</t>
  </si>
  <si>
    <t>3617 ± 26 Ma</t>
  </si>
  <si>
    <t>A1612</t>
  </si>
  <si>
    <t>3566 ± 15 Ma</t>
  </si>
  <si>
    <t>3801 ± 5 Ma</t>
    <phoneticPr fontId="29" type="noConversion"/>
  </si>
  <si>
    <t>A2002</t>
  </si>
  <si>
    <t>3504 ± 19 Ma</t>
  </si>
  <si>
    <t>3774 ± 5 Ma</t>
    <phoneticPr fontId="29" type="noConversion"/>
  </si>
  <si>
    <t>23HJ04-4</t>
    <phoneticPr fontId="28" type="noConversion"/>
  </si>
  <si>
    <t>monzonitic gneiss</t>
    <phoneticPr fontId="28" type="noConversion"/>
  </si>
  <si>
    <t>3321 ± 23 Ma</t>
    <phoneticPr fontId="28" type="noConversion"/>
  </si>
  <si>
    <t>3187 ± 47 Ma</t>
    <phoneticPr fontId="28" type="noConversion"/>
  </si>
  <si>
    <t>Xuan et al., 2025b</t>
    <phoneticPr fontId="29" type="noConversion"/>
  </si>
  <si>
    <t>C317-1</t>
    <phoneticPr fontId="29" type="noConversion"/>
  </si>
  <si>
    <t>Yingchengzi</t>
    <phoneticPr fontId="29" type="noConversion"/>
  </si>
  <si>
    <t>3312 ± 14 Ma</t>
    <phoneticPr fontId="29" type="noConversion"/>
  </si>
  <si>
    <t>3.68–3.60 Ga and ~3.47 Ga</t>
    <phoneticPr fontId="29" type="noConversion"/>
  </si>
  <si>
    <t>Zhang et al., 2013</t>
    <phoneticPr fontId="29" type="noConversion"/>
  </si>
  <si>
    <t>C385-3</t>
    <phoneticPr fontId="29" type="noConversion"/>
  </si>
  <si>
    <t>C385-4</t>
    <phoneticPr fontId="29" type="noConversion"/>
  </si>
  <si>
    <t>3324 ± 7 Ma</t>
    <phoneticPr fontId="29" type="noConversion"/>
  </si>
  <si>
    <t>3235 ± 14 Ma</t>
    <phoneticPr fontId="29" type="noConversion"/>
  </si>
  <si>
    <t>C385-1</t>
    <phoneticPr fontId="29" type="noConversion"/>
  </si>
  <si>
    <t>biotite-bearing trondhjemite</t>
    <phoneticPr fontId="29" type="noConversion"/>
  </si>
  <si>
    <t>3135 ± 7 Ma</t>
    <phoneticPr fontId="29" type="noConversion"/>
  </si>
  <si>
    <t>C385-2</t>
    <phoneticPr fontId="29" type="noConversion"/>
  </si>
  <si>
    <t>3128 ± 7 Ma</t>
    <phoneticPr fontId="29" type="noConversion"/>
  </si>
  <si>
    <t>C317-6</t>
    <phoneticPr fontId="29" type="noConversion"/>
  </si>
  <si>
    <t>3145 ± 7 Ma</t>
    <phoneticPr fontId="29" type="noConversion"/>
  </si>
  <si>
    <t>C366-1</t>
    <phoneticPr fontId="29" type="noConversion"/>
  </si>
  <si>
    <t>3137 ± 5 Ma</t>
    <phoneticPr fontId="29" type="noConversion"/>
  </si>
  <si>
    <t>C030-1</t>
    <phoneticPr fontId="29" type="noConversion"/>
  </si>
  <si>
    <t>Lishan</t>
    <phoneticPr fontId="29" type="noConversion"/>
  </si>
  <si>
    <t>3135 ± 14 Ma</t>
    <phoneticPr fontId="29" type="noConversion"/>
  </si>
  <si>
    <t>C459-1</t>
    <phoneticPr fontId="29" type="noConversion"/>
  </si>
  <si>
    <t>3141± 7 Ma</t>
    <phoneticPr fontId="29" type="noConversion"/>
  </si>
  <si>
    <t>3239 ± 21 Ma</t>
    <phoneticPr fontId="29" type="noConversion"/>
  </si>
  <si>
    <t>C257-4</t>
    <phoneticPr fontId="29" type="noConversion"/>
  </si>
  <si>
    <t>3329 ± 16 Ma</t>
    <phoneticPr fontId="29" type="noConversion"/>
  </si>
  <si>
    <t>Zhang et al., 2015</t>
    <phoneticPr fontId="29" type="noConversion"/>
  </si>
  <si>
    <t>C036-6</t>
    <phoneticPr fontId="29" type="noConversion"/>
  </si>
  <si>
    <t>3321 ± 28 Ma</t>
    <phoneticPr fontId="29" type="noConversion"/>
  </si>
  <si>
    <t>C125-4</t>
    <phoneticPr fontId="29" type="noConversion"/>
  </si>
  <si>
    <t>3290 ± 9 Ma</t>
    <phoneticPr fontId="29" type="noConversion"/>
  </si>
  <si>
    <t>C036-9</t>
  </si>
  <si>
    <t>3357 ± 5 Ma</t>
    <phoneticPr fontId="29" type="noConversion"/>
  </si>
  <si>
    <t>23LS05-4</t>
    <phoneticPr fontId="28" type="noConversion"/>
  </si>
  <si>
    <t>3124 ± 10 Ma</t>
    <phoneticPr fontId="29" type="noConversion"/>
  </si>
  <si>
    <t>23LS09-1</t>
    <phoneticPr fontId="28" type="noConversion"/>
  </si>
  <si>
    <t>3129 ± 6 Ma</t>
    <phoneticPr fontId="28" type="noConversion"/>
  </si>
  <si>
    <t>~3.36 Ga</t>
    <phoneticPr fontId="28" type="noConversion"/>
  </si>
  <si>
    <t>3114 ± 12 Ma</t>
    <phoneticPr fontId="28" type="noConversion"/>
  </si>
  <si>
    <t>23TJ29-1</t>
    <phoneticPr fontId="29" type="noConversion"/>
  </si>
  <si>
    <t>Tiejiashan</t>
  </si>
  <si>
    <t>3821 ± 7 Ma</t>
  </si>
  <si>
    <t>23TJ29-6</t>
    <phoneticPr fontId="29" type="noConversion"/>
  </si>
  <si>
    <t>monzogranitic gneiss</t>
    <phoneticPr fontId="29" type="noConversion"/>
  </si>
  <si>
    <t>3806 ± 14 Ma</t>
  </si>
  <si>
    <t>23TJ25-1</t>
    <phoneticPr fontId="29" type="noConversion"/>
  </si>
  <si>
    <t>3781 ± 14 Ma</t>
  </si>
  <si>
    <t>~3.67 Ga</t>
  </si>
  <si>
    <t>AT834</t>
    <phoneticPr fontId="29" type="noConversion"/>
  </si>
  <si>
    <t>Tiejiashan</t>
    <phoneticPr fontId="29" type="noConversion"/>
  </si>
  <si>
    <t>2962 ± 4 Ma</t>
    <phoneticPr fontId="29" type="noConversion"/>
  </si>
  <si>
    <t>23TJ11-1</t>
    <phoneticPr fontId="28" type="noConversion"/>
  </si>
  <si>
    <t>biotite monzongranitic gneiss</t>
    <phoneticPr fontId="28" type="noConversion"/>
  </si>
  <si>
    <t>2988 ± 38 Ma</t>
    <phoneticPr fontId="29" type="noConversion"/>
  </si>
  <si>
    <t>Xuan et al., 2025a</t>
    <phoneticPr fontId="29" type="noConversion"/>
  </si>
  <si>
    <t>2947 ± 24 Ma</t>
    <phoneticPr fontId="29" type="noConversion"/>
  </si>
  <si>
    <t>23TJ16-4</t>
    <phoneticPr fontId="28" type="noConversion"/>
  </si>
  <si>
    <t>2948 ± 20 Ma</t>
    <phoneticPr fontId="28" type="noConversion"/>
  </si>
  <si>
    <t>23TJ07-1</t>
    <phoneticPr fontId="28" type="noConversion"/>
  </si>
  <si>
    <t>quartz monzongranitic gneiss</t>
    <phoneticPr fontId="28" type="noConversion"/>
  </si>
  <si>
    <t>2894 ± 41 Ma</t>
    <phoneticPr fontId="28" type="noConversion"/>
  </si>
  <si>
    <t>Multiple samples</t>
    <phoneticPr fontId="29" type="noConversion"/>
  </si>
  <si>
    <t>Tiejiashan-Gongchangling</t>
    <phoneticPr fontId="29" type="noConversion"/>
  </si>
  <si>
    <t>3.0–2.95 Ga</t>
    <phoneticPr fontId="29" type="noConversion"/>
  </si>
  <si>
    <t>~2.91 Ga</t>
    <phoneticPr fontId="29" type="noConversion"/>
  </si>
  <si>
    <t>Dong et al., 2017 and references therein</t>
    <phoneticPr fontId="29" type="noConversion"/>
  </si>
  <si>
    <t>21JH169</t>
    <phoneticPr fontId="29" type="noConversion"/>
  </si>
  <si>
    <t>3304 ± 20 Ma</t>
    <phoneticPr fontId="29" type="noConversion"/>
  </si>
  <si>
    <t>3812 ± 40 Ma</t>
    <phoneticPr fontId="29" type="noConversion"/>
  </si>
  <si>
    <t>this study</t>
    <phoneticPr fontId="29" type="noConversion"/>
  </si>
  <si>
    <t>3345 ± 25 Ma</t>
    <phoneticPr fontId="29" type="noConversion"/>
  </si>
  <si>
    <t>titanite</t>
    <phoneticPr fontId="29" type="noConversion"/>
  </si>
  <si>
    <t>21JH170</t>
    <phoneticPr fontId="29" type="noConversion"/>
  </si>
  <si>
    <t>3331 ± 13 Ma</t>
    <phoneticPr fontId="29" type="noConversion"/>
  </si>
  <si>
    <t>~3.8 Ga</t>
    <phoneticPr fontId="29" type="noConversion"/>
  </si>
  <si>
    <t>21JH171</t>
    <phoneticPr fontId="29" type="noConversion"/>
  </si>
  <si>
    <t>3807 ± 18 Ma</t>
  </si>
  <si>
    <t>21JH172</t>
    <phoneticPr fontId="29" type="noConversion"/>
  </si>
  <si>
    <t>3313 ± 24 Ma</t>
  </si>
  <si>
    <t>21JH173</t>
    <phoneticPr fontId="29" type="noConversion"/>
  </si>
  <si>
    <t>3302 ± 19 Ma</t>
  </si>
  <si>
    <t>3138 ± 30 Ma</t>
  </si>
  <si>
    <t>21JH178</t>
    <phoneticPr fontId="29" type="noConversion"/>
  </si>
  <si>
    <t>tremolite schist</t>
    <phoneticPr fontId="29" type="noConversion"/>
  </si>
  <si>
    <t>3341 ± 8 Ma</t>
  </si>
  <si>
    <t>21JH179</t>
    <phoneticPr fontId="29" type="noConversion"/>
  </si>
  <si>
    <t>granitic gneiss</t>
    <phoneticPr fontId="29" type="noConversion"/>
  </si>
  <si>
    <t>3318 ± 15 Ma</t>
  </si>
  <si>
    <t>2899 ± 90 Ma</t>
  </si>
  <si>
    <t>2907 ± 67 Ma</t>
  </si>
  <si>
    <t>rutile</t>
    <phoneticPr fontId="29" type="noConversion"/>
  </si>
  <si>
    <t>21JH186</t>
    <phoneticPr fontId="29" type="noConversion"/>
  </si>
  <si>
    <t>3118 ± 23 Ma</t>
  </si>
  <si>
    <t>2956 ± 154 Ma</t>
  </si>
  <si>
    <t>21JH182</t>
    <phoneticPr fontId="29" type="noConversion"/>
  </si>
  <si>
    <t>3792 ± 22 Ma</t>
  </si>
  <si>
    <t>3691 ± 19 Ma and 3336 ± 39 Ma</t>
    <phoneticPr fontId="29" type="noConversion"/>
  </si>
  <si>
    <t>2923 ± 56 Ma</t>
  </si>
  <si>
    <t>21JH183</t>
    <phoneticPr fontId="29" type="noConversion"/>
  </si>
  <si>
    <t>3599 ± 17 Ma</t>
  </si>
  <si>
    <t>21JH177</t>
    <phoneticPr fontId="29" type="noConversion"/>
  </si>
  <si>
    <t>2931 ± 22 Ma</t>
  </si>
  <si>
    <t>2412 ± 94 Ma</t>
  </si>
  <si>
    <t>2444 ± 157 Ma</t>
  </si>
  <si>
    <t>21JH184</t>
    <phoneticPr fontId="29" type="noConversion"/>
  </si>
  <si>
    <t>3806 ± 23 Ma</t>
  </si>
  <si>
    <t>3681 ± 35 Ma and ~3.3 Ga</t>
    <phoneticPr fontId="29" type="noConversion"/>
  </si>
  <si>
    <t>21JH185</t>
    <phoneticPr fontId="29" type="noConversion"/>
  </si>
  <si>
    <t>3113 ± 21 Ma</t>
  </si>
  <si>
    <t>References</t>
    <phoneticPr fontId="28" type="noConversion"/>
  </si>
  <si>
    <t>Dong, C., Wan, Y., Xie, H., Nutman, A.P., Xie, S., Liu, S., Ma, M., Liu, D., 2017. The Mesoarchean Tiejiashan-Gongchangling potassic granite in the Anshan-Benxi area, North China Craton: Origin by recycling of Paleo- to Eoarchean crust from U-Pb-Nd-Hf-O isotopic studies. Lithos 290–291, 116–135.</t>
    <phoneticPr fontId="28" type="noConversion"/>
  </si>
  <si>
    <t>Liu, D., Wilde, S.A., Wan, Y., Wu, J., Zhou, H., Dong, C., Yin, X., 2008. New U-Pb and Hf isotopic data confirm Anshan as the oldest preserved segment of the North China Craton. Am. J. Sci. 308, 200–231.</t>
    <phoneticPr fontId="28" type="noConversion"/>
  </si>
  <si>
    <t>Liu, D.Y., Nutman, A.P., Compston, W., Wu, J.S., Shen, Q.H., 1992. Remnants of ≥3800 Ma crust in the Chinese part of the Sino-Korean craton. Geology 20, 339–342.</t>
    <phoneticPr fontId="28" type="noConversion"/>
  </si>
  <si>
    <t>Song, B., Nutman, A.P., Liu, D., Wu, J., 1996. 3800 to 2500 Ma crustal evolution in the Anshan area of Liaoning Province, northeastern China. Precambrian Res. 78, 79–94.</t>
    <phoneticPr fontId="28" type="noConversion"/>
  </si>
  <si>
    <t>Wan, Y., Dong, C., Xie, H., Nutman, A.P., Xie, S., Wang, Y., Liu, D., 2023. SHRIMP U-Pb zircon dating and geochemistry of the 3.8–3.1 Ga Hujiamiao Complex in Anshan (North China Craton) and the significance of the trondhjemites for early crustal genesis. Precambrian Res. 388, 106975.</t>
    <phoneticPr fontId="28" type="noConversion"/>
  </si>
  <si>
    <t>Wan, Y., Liu, D., Nutman, A., Zhou, H., Dong, C., Yin, X., Ma, M., 2012. Multiple 3.8–3.1Ga tectono-magmatic events in a newly discovered area of ancient rocks (the Shengousi Complex), Anshan, North China Craton. J. Asian Earth Sci. 54–55, 18–30.</t>
    <phoneticPr fontId="28" type="noConversion"/>
  </si>
  <si>
    <t>Wan, Y., Liu, D., Song, B., Wu, J., Yang, C., Zhang, Z., Geng, Y., 2005. Geochemical and Nd isotopic compositions of 3.8 Ga meta-quartz dioritic and trondhjemitic rocks from the Anshan area and their geological significance. J. Asian Earth Sci. 24, 563–575.</t>
    <phoneticPr fontId="28" type="noConversion"/>
  </si>
  <si>
    <t>Wang Y.-F.. 2015. Formation and evolution of Archean continental crust: An example from Archean Anshan Complex, North China Craton (PhD dissertation). Institute of Geology and Geophysics, Chinese Academy of Sciences.</t>
    <phoneticPr fontId="28" type="noConversion"/>
  </si>
  <si>
    <t>Wang, Y.-F., Li, X.-H., Jin, W., Zeng, L., Zhang, J.-H., 2020. Generation and maturation of Mesoarchean continental crust in the Anshan Complex, North China Craton. Precambrian Res. 341, 105651.</t>
    <phoneticPr fontId="28" type="noConversion"/>
  </si>
  <si>
    <t>Wang, Y.-F., Li, X.-H., Jin, W., Zhang, J.-H., 2015. Eoarchean ultra-depleted mantle domains inferred from ca. 3.81 Ga Anshan trondhjemitic gneisses, North China Craton. Precambrian Res. 263, 88–107.</t>
    <phoneticPr fontId="28" type="noConversion"/>
  </si>
  <si>
    <t>Wu, F.-Y., Zhang, Y.-B., Yang, J.-H., Xie, L.-W., Yang, Y.-H., 2008. Zircon U–Pb and Hf isotopic constraints on the Early Archean crustal evolution in Anshan of the North China Craton. Precambrian Res. 167, 339–362.</t>
    <phoneticPr fontId="28" type="noConversion"/>
  </si>
  <si>
    <t>Xuan, Y., Liu, J., Liu, Z., Ding, W., Liu, L., 2025a. Late Mesoarchean crustal reworking/recycling and magma underplating process: Insights from the petrogenesis of 3.0–2.9 Ga potassic granitoids in the Anshan area, North China Craton. Geochemistry 85(4), 126361.</t>
    <phoneticPr fontId="28" type="noConversion"/>
  </si>
  <si>
    <t>Xuan, Y., Liu, J., Liu, Z., Xu, Z., Li, G., Dong, X., Li, P., Zhang, H., 2025b. Petrogenesis of 3.3–3.1 Ga granitoids in the Anshan continental nucleus, North China Craton: Implication for multi-stage magmas underplating processes. Precambrian Res. 419, 107712.</t>
    <phoneticPr fontId="28" type="noConversion"/>
  </si>
  <si>
    <t>Xuan, Y., Liu, J., Liu, Z., Xu, Z., Li, P., Zhang, H., 2025c. Deciphering the origin of early continental crust: insights from newly identified ~3.8 Ga granitoids in the Anshan area, North China Craton. Int. Geol. Rev. 67(14), 1727–1746.</t>
    <phoneticPr fontId="28" type="noConversion"/>
  </si>
  <si>
    <t>Zhang, J.H., Jin, W., Wang, Y.F., Li, B., Cai, L.B., 2018. Formation and evolution of Eo-Paleoarchean granitic crust in the Anshan area: evidence from petrology, geochronology and geochemistry of the Shengousi complex. Acta Geol. Sin. 92 (5), 887–907 (in Chinese with English abstract).</t>
    <phoneticPr fontId="28" type="noConversion"/>
  </si>
  <si>
    <t>Zhang, J.H., Jin, W., Wang, Y.F., Zheng, P.X., Li, B., Li, C.D., 2015. Early archean crustal growth and re-melting in the Anshan area: evidence from petrology and geochronology of the Eo-Paleoarchean gneiss complex. Acta Geol. Sin. 89 (07), 1195–1209 (in Chinese with English abstract).</t>
    <phoneticPr fontId="28" type="noConversion"/>
  </si>
  <si>
    <t>Zhang, J.H., Jin, W., Zheng, P.X., Wang, Y.F., Li, B., Cai, L.B., Wang, Q.L., 2013. Identification and zircon U–Pb geochronology of the Yingchengzi Paleoarchean gneiss complex, Anshan area. Acta Petrol. Sin. 29, 399–413 (in Chinese with English abstract).</t>
    <phoneticPr fontId="28" type="noConversion"/>
  </si>
  <si>
    <t>Zhou, H., Liu, D., Nemchim, A., Wan, Y., 2007a. 3.0 Ga thermo-tectonic events suffered by the 3.8 Ga meta-quartz-diorite in the Anshan area: Constraints from apatite SHRIMP U-Th-Pb dating. Geol. Rev. 53, 120–125 (in Chinese with English abstract).</t>
    <phoneticPr fontId="28" type="noConversion"/>
  </si>
  <si>
    <t>Zhou, H.Y., Liu, D.Y, Wan, Y.S., Dong C.Y., 2008. 3.3-3.1 Ga magmatism in the Dongshan complex, Anshan area, Liaoning, China: Evidence from zircon SHRIMP U-Pb dating. Geol. Bull. China​ 27, 2122–2126 (in Chinese with English abstract).</t>
    <phoneticPr fontId="28" type="noConversion"/>
  </si>
  <si>
    <t>Zhou, H., Liu, D., Wan, Y., Wilde S.A., Wu, J., 2007b. 3.3 Ga magmatic events in the Anshan area: new SHRIMP age and geochemical constraints. Acta Petrol. Mineral. 26, 123–129. (in Chinese with English abstract).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</si>
</sst>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_ "/>
    <numFmt numFmtId="165" formatCode="0.000"/>
    <numFmt numFmtId="166" formatCode="0.0000_ "/>
    <numFmt numFmtId="167" formatCode="0_ "/>
    <numFmt numFmtId="168" formatCode="0.0000\ "/>
    <numFmt numFmtId="169" formatCode="0.0_ "/>
    <numFmt numFmtId="170" formatCode="0.0"/>
    <numFmt numFmtId="171" formatCode="0.00_);[Red]\(0.00\)"/>
    <numFmt numFmtId="172" formatCode="0.00000_ "/>
    <numFmt numFmtId="173" formatCode="0.00_ "/>
    <numFmt numFmtId="174" formatCode="0_);[Red]\(0\)"/>
    <numFmt numFmtId="175" formatCode="0.0_);[Red]\(0.0\)"/>
    <numFmt numFmtId="176" formatCode="0.0000"/>
  </numFmts>
  <fonts count="31">
    <font>
      <sz val="12"/>
      <color theme="1"/>
      <name val="等线"/>
      <charset val="134"/>
      <scheme val="minor"/>
    </font>
    <font>
      <b/>
      <sz val="12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 Bold"/>
      <family val="1"/>
    </font>
    <font>
      <b/>
      <sz val="10"/>
      <color theme="1"/>
      <name val="Arial"/>
      <family val="2"/>
    </font>
    <font>
      <b/>
      <sz val="12"/>
      <name val="Microsoft YaHei"/>
      <family val="2"/>
      <charset val="134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sz val="10"/>
      <color indexed="16"/>
      <name val="Arial"/>
      <family val="2"/>
    </font>
    <font>
      <sz val="10"/>
      <color indexed="8"/>
      <name val="Arial"/>
      <family val="2"/>
    </font>
    <font>
      <strike/>
      <sz val="10"/>
      <color indexed="14"/>
      <name val="Arial"/>
      <family val="2"/>
    </font>
    <font>
      <sz val="10"/>
      <color indexed="11"/>
      <name val="Arial"/>
      <family val="2"/>
    </font>
    <font>
      <sz val="10"/>
      <color indexed="10"/>
      <name val="Arial"/>
      <family val="2"/>
    </font>
    <font>
      <sz val="10"/>
      <color indexed="48"/>
      <name val="Arial"/>
      <family val="2"/>
    </font>
    <font>
      <b/>
      <sz val="10"/>
      <color indexed="14"/>
      <name val="Arial"/>
      <family val="2"/>
    </font>
    <font>
      <b/>
      <vertAlign val="superscript"/>
      <sz val="10"/>
      <color rgb="FF000000"/>
      <name val="Arial Bold"/>
    </font>
    <font>
      <b/>
      <sz val="10"/>
      <color rgb="FF000000"/>
      <name val="Arial"/>
      <family val="2"/>
    </font>
    <font>
      <sz val="10"/>
      <color rgb="FF00FF00"/>
      <name val="Arial"/>
      <family val="2"/>
    </font>
    <font>
      <b/>
      <sz val="10.5"/>
      <name val="Times New Roman"/>
      <family val="1"/>
    </font>
    <font>
      <sz val="10.5"/>
      <name val="Times New Roman"/>
      <family val="1"/>
    </font>
    <font>
      <sz val="12"/>
      <name val="宋体"/>
      <family val="3"/>
      <charset val="134"/>
    </font>
    <font>
      <sz val="10"/>
      <name val="Times New Roman"/>
      <family val="1"/>
    </font>
    <font>
      <b/>
      <vertAlign val="subscript"/>
      <sz val="10"/>
      <color rgb="FF000000"/>
      <name val="Arial Bold"/>
    </font>
    <font>
      <b/>
      <vertAlign val="subscript"/>
      <sz val="10"/>
      <name val="Arial"/>
      <family val="2"/>
    </font>
    <font>
      <b/>
      <vertAlign val="subscript"/>
      <sz val="10"/>
      <name val="Arial Bold"/>
    </font>
    <font>
      <b/>
      <vertAlign val="superscript"/>
      <sz val="10"/>
      <name val="Arial Bold"/>
    </font>
    <font>
      <sz val="9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6" fillId="0" borderId="0" xfId="0" applyFont="1">
      <alignment vertical="center"/>
    </xf>
    <xf numFmtId="175" fontId="2" fillId="0" borderId="0" xfId="0" applyNumberFormat="1" applyFont="1" applyAlignment="1"/>
    <xf numFmtId="174" fontId="2" fillId="0" borderId="0" xfId="0" applyNumberFormat="1" applyFont="1" applyAlignment="1"/>
    <xf numFmtId="0" fontId="3" fillId="0" borderId="0" xfId="0" applyFont="1" applyAlignment="1"/>
    <xf numFmtId="175" fontId="2" fillId="0" borderId="0" xfId="0" applyNumberFormat="1" applyFont="1">
      <alignment vertical="center"/>
    </xf>
    <xf numFmtId="174" fontId="2" fillId="0" borderId="0" xfId="0" applyNumberFormat="1" applyFont="1">
      <alignment vertical="center"/>
    </xf>
    <xf numFmtId="171" fontId="2" fillId="0" borderId="0" xfId="0" applyNumberFormat="1" applyFont="1" applyAlignment="1"/>
    <xf numFmtId="171" fontId="2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2" fillId="0" borderId="2" xfId="0" applyFont="1" applyBorder="1">
      <alignment vertical="center"/>
    </xf>
    <xf numFmtId="175" fontId="2" fillId="0" borderId="2" xfId="0" applyNumberFormat="1" applyFont="1" applyBorder="1">
      <alignment vertical="center"/>
    </xf>
    <xf numFmtId="174" fontId="2" fillId="0" borderId="2" xfId="0" applyNumberFormat="1" applyFont="1" applyBorder="1">
      <alignment vertical="center"/>
    </xf>
    <xf numFmtId="171" fontId="2" fillId="0" borderId="2" xfId="0" applyNumberFormat="1" applyFont="1" applyBorder="1">
      <alignment vertical="center"/>
    </xf>
    <xf numFmtId="0" fontId="4" fillId="0" borderId="0" xfId="0" applyFont="1" applyAlignment="1"/>
    <xf numFmtId="176" fontId="4" fillId="0" borderId="0" xfId="0" applyNumberFormat="1" applyFont="1" applyAlignment="1"/>
    <xf numFmtId="1" fontId="3" fillId="0" borderId="0" xfId="0" applyNumberFormat="1" applyFont="1" applyAlignment="1"/>
    <xf numFmtId="2" fontId="3" fillId="0" borderId="0" xfId="0" applyNumberFormat="1" applyFont="1" applyAlignment="1"/>
    <xf numFmtId="1" fontId="4" fillId="0" borderId="0" xfId="0" applyNumberFormat="1" applyFont="1" applyAlignment="1"/>
    <xf numFmtId="2" fontId="4" fillId="0" borderId="0" xfId="0" applyNumberFormat="1" applyFont="1" applyAlignment="1"/>
    <xf numFmtId="1" fontId="2" fillId="0" borderId="0" xfId="0" applyNumberFormat="1" applyFont="1" applyAlignment="1"/>
    <xf numFmtId="2" fontId="2" fillId="0" borderId="0" xfId="0" applyNumberFormat="1" applyFont="1" applyAlignment="1"/>
    <xf numFmtId="170" fontId="2" fillId="0" borderId="0" xfId="0" applyNumberFormat="1" applyFont="1" applyAlignment="1"/>
    <xf numFmtId="0" fontId="7" fillId="0" borderId="0" xfId="0" applyFont="1" applyAlignment="1"/>
    <xf numFmtId="170" fontId="4" fillId="0" borderId="0" xfId="0" applyNumberFormat="1" applyFont="1" applyAlignment="1"/>
    <xf numFmtId="0" fontId="4" fillId="0" borderId="2" xfId="0" applyFont="1" applyBorder="1" applyAlignment="1"/>
    <xf numFmtId="0" fontId="2" fillId="0" borderId="2" xfId="0" applyFont="1" applyBorder="1" applyAlignment="1"/>
    <xf numFmtId="176" fontId="2" fillId="0" borderId="2" xfId="0" applyNumberFormat="1" applyFont="1" applyBorder="1" applyAlignment="1"/>
    <xf numFmtId="170" fontId="2" fillId="0" borderId="2" xfId="0" applyNumberFormat="1" applyFont="1" applyBorder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8" fillId="0" borderId="1" xfId="0" applyFont="1" applyBorder="1">
      <alignment vertical="center"/>
    </xf>
    <xf numFmtId="0" fontId="16" fillId="0" borderId="0" xfId="0" applyFont="1">
      <alignment vertical="center"/>
    </xf>
    <xf numFmtId="169" fontId="9" fillId="0" borderId="0" xfId="0" applyNumberFormat="1" applyFont="1">
      <alignment vertical="center"/>
    </xf>
    <xf numFmtId="169" fontId="10" fillId="0" borderId="0" xfId="0" applyNumberFormat="1" applyFont="1">
      <alignment vertical="center"/>
    </xf>
    <xf numFmtId="169" fontId="11" fillId="0" borderId="0" xfId="0" applyNumberFormat="1" applyFont="1">
      <alignment vertical="center"/>
    </xf>
    <xf numFmtId="0" fontId="17" fillId="0" borderId="1" xfId="0" applyFont="1" applyBorder="1">
      <alignment vertical="center"/>
    </xf>
    <xf numFmtId="167" fontId="9" fillId="0" borderId="0" xfId="0" applyNumberFormat="1" applyFont="1">
      <alignment vertical="center"/>
    </xf>
    <xf numFmtId="173" fontId="9" fillId="0" borderId="0" xfId="0" applyNumberFormat="1" applyFont="1">
      <alignment vertical="center"/>
    </xf>
    <xf numFmtId="168" fontId="9" fillId="0" borderId="0" xfId="0" applyNumberFormat="1" applyFont="1">
      <alignment vertical="center"/>
    </xf>
    <xf numFmtId="166" fontId="9" fillId="0" borderId="0" xfId="0" applyNumberFormat="1" applyFont="1">
      <alignment vertical="center"/>
    </xf>
    <xf numFmtId="167" fontId="10" fillId="0" borderId="0" xfId="0" applyNumberFormat="1" applyFont="1">
      <alignment vertical="center"/>
    </xf>
    <xf numFmtId="166" fontId="10" fillId="0" borderId="0" xfId="0" applyNumberFormat="1" applyFont="1">
      <alignment vertical="center"/>
    </xf>
    <xf numFmtId="168" fontId="10" fillId="0" borderId="0" xfId="0" applyNumberFormat="1" applyFont="1">
      <alignment vertical="center"/>
    </xf>
    <xf numFmtId="173" fontId="10" fillId="0" borderId="0" xfId="0" applyNumberFormat="1" applyFont="1">
      <alignment vertical="center"/>
    </xf>
    <xf numFmtId="167" fontId="11" fillId="0" borderId="0" xfId="0" applyNumberFormat="1" applyFont="1">
      <alignment vertical="center"/>
    </xf>
    <xf numFmtId="173" fontId="11" fillId="0" borderId="0" xfId="0" applyNumberFormat="1" applyFont="1">
      <alignment vertical="center"/>
    </xf>
    <xf numFmtId="168" fontId="11" fillId="0" borderId="0" xfId="0" applyNumberFormat="1" applyFont="1">
      <alignment vertical="center"/>
    </xf>
    <xf numFmtId="166" fontId="11" fillId="0" borderId="0" xfId="0" applyNumberFormat="1" applyFont="1">
      <alignment vertical="center"/>
    </xf>
    <xf numFmtId="164" fontId="9" fillId="0" borderId="0" xfId="0" applyNumberFormat="1" applyFont="1">
      <alignment vertical="center"/>
    </xf>
    <xf numFmtId="164" fontId="11" fillId="0" borderId="0" xfId="0" applyNumberFormat="1" applyFont="1">
      <alignment vertical="center"/>
    </xf>
    <xf numFmtId="0" fontId="18" fillId="0" borderId="1" xfId="0" applyFont="1" applyBorder="1">
      <alignment vertical="center"/>
    </xf>
    <xf numFmtId="1" fontId="9" fillId="0" borderId="0" xfId="0" applyNumberFormat="1" applyFont="1">
      <alignment vertical="center"/>
    </xf>
    <xf numFmtId="1" fontId="10" fillId="0" borderId="0" xfId="0" applyNumberFormat="1" applyFont="1">
      <alignment vertical="center"/>
    </xf>
    <xf numFmtId="1" fontId="11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165" fontId="3" fillId="0" borderId="0" xfId="0" applyNumberFormat="1" applyFont="1">
      <alignment vertical="center"/>
    </xf>
    <xf numFmtId="164" fontId="10" fillId="0" borderId="0" xfId="0" applyNumberFormat="1" applyFont="1">
      <alignment vertical="center"/>
    </xf>
    <xf numFmtId="0" fontId="19" fillId="0" borderId="0" xfId="0" applyFont="1">
      <alignment vertical="center"/>
    </xf>
    <xf numFmtId="167" fontId="13" fillId="0" borderId="0" xfId="0" applyNumberFormat="1" applyFont="1">
      <alignment vertical="center"/>
    </xf>
    <xf numFmtId="168" fontId="13" fillId="0" borderId="0" xfId="0" applyNumberFormat="1" applyFont="1">
      <alignment vertical="center"/>
    </xf>
    <xf numFmtId="1" fontId="13" fillId="0" borderId="0" xfId="0" applyNumberFormat="1" applyFont="1">
      <alignment vertical="center"/>
    </xf>
    <xf numFmtId="169" fontId="13" fillId="0" borderId="0" xfId="0" applyNumberFormat="1" applyFont="1">
      <alignment vertical="center"/>
    </xf>
    <xf numFmtId="173" fontId="13" fillId="0" borderId="0" xfId="0" applyNumberFormat="1" applyFont="1">
      <alignment vertical="center"/>
    </xf>
    <xf numFmtId="169" fontId="14" fillId="0" borderId="0" xfId="0" applyNumberFormat="1" applyFont="1">
      <alignment vertical="center"/>
    </xf>
    <xf numFmtId="173" fontId="14" fillId="0" borderId="0" xfId="0" applyNumberFormat="1" applyFont="1">
      <alignment vertical="center"/>
    </xf>
    <xf numFmtId="167" fontId="15" fillId="0" borderId="0" xfId="0" applyNumberFormat="1" applyFont="1">
      <alignment vertical="center"/>
    </xf>
    <xf numFmtId="169" fontId="15" fillId="0" borderId="0" xfId="0" applyNumberFormat="1" applyFont="1">
      <alignment vertical="center"/>
    </xf>
    <xf numFmtId="167" fontId="14" fillId="0" borderId="0" xfId="0" applyNumberFormat="1" applyFont="1">
      <alignment vertical="center"/>
    </xf>
    <xf numFmtId="164" fontId="14" fillId="0" borderId="0" xfId="0" applyNumberFormat="1" applyFont="1">
      <alignment vertical="center"/>
    </xf>
    <xf numFmtId="168" fontId="14" fillId="0" borderId="0" xfId="0" applyNumberFormat="1" applyFont="1">
      <alignment vertical="center"/>
    </xf>
    <xf numFmtId="166" fontId="14" fillId="0" borderId="0" xfId="0" applyNumberFormat="1" applyFont="1">
      <alignment vertical="center"/>
    </xf>
    <xf numFmtId="168" fontId="15" fillId="0" borderId="0" xfId="0" applyNumberFormat="1" applyFont="1">
      <alignment vertical="center"/>
    </xf>
    <xf numFmtId="173" fontId="15" fillId="0" borderId="0" xfId="0" applyNumberFormat="1" applyFont="1">
      <alignment vertical="center"/>
    </xf>
    <xf numFmtId="1" fontId="14" fillId="0" borderId="0" xfId="0" applyNumberFormat="1" applyFont="1">
      <alignment vertical="center"/>
    </xf>
    <xf numFmtId="1" fontId="15" fillId="0" borderId="0" xfId="0" applyNumberFormat="1" applyFont="1">
      <alignment vertical="center"/>
    </xf>
    <xf numFmtId="164" fontId="15" fillId="0" borderId="0" xfId="0" applyNumberFormat="1" applyFont="1">
      <alignment vertical="center"/>
    </xf>
    <xf numFmtId="0" fontId="8" fillId="0" borderId="2" xfId="0" applyFont="1" applyBorder="1">
      <alignment vertical="center"/>
    </xf>
    <xf numFmtId="0" fontId="11" fillId="0" borderId="2" xfId="0" applyFont="1" applyBorder="1">
      <alignment vertical="center"/>
    </xf>
    <xf numFmtId="173" fontId="11" fillId="0" borderId="2" xfId="0" applyNumberFormat="1" applyFont="1" applyBorder="1">
      <alignment vertical="center"/>
    </xf>
    <xf numFmtId="169" fontId="11" fillId="0" borderId="2" xfId="0" applyNumberFormat="1" applyFont="1" applyBorder="1">
      <alignment vertical="center"/>
    </xf>
    <xf numFmtId="167" fontId="11" fillId="0" borderId="2" xfId="0" applyNumberFormat="1" applyFont="1" applyBorder="1">
      <alignment vertical="center"/>
    </xf>
    <xf numFmtId="164" fontId="11" fillId="0" borderId="2" xfId="0" applyNumberFormat="1" applyFont="1" applyBorder="1">
      <alignment vertical="center"/>
    </xf>
    <xf numFmtId="168" fontId="11" fillId="0" borderId="2" xfId="0" applyNumberFormat="1" applyFont="1" applyBorder="1">
      <alignment vertical="center"/>
    </xf>
    <xf numFmtId="1" fontId="11" fillId="0" borderId="2" xfId="0" applyNumberFormat="1" applyFont="1" applyBorder="1">
      <alignment vertical="center"/>
    </xf>
    <xf numFmtId="165" fontId="3" fillId="0" borderId="2" xfId="0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0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0" fontId="4" fillId="0" borderId="2" xfId="0" applyFont="1" applyBorder="1" applyAlignment="1">
      <alignment horizontal="left" vertical="center"/>
    </xf>
    <xf numFmtId="170" fontId="3" fillId="0" borderId="2" xfId="0" applyNumberFormat="1" applyFont="1" applyBorder="1">
      <alignment vertical="center"/>
    </xf>
    <xf numFmtId="2" fontId="3" fillId="0" borderId="2" xfId="0" applyNumberFormat="1" applyFont="1" applyBorder="1">
      <alignment vertical="center"/>
    </xf>
    <xf numFmtId="1" fontId="3" fillId="0" borderId="0" xfId="0" applyNumberFormat="1" applyFont="1">
      <alignment vertical="center"/>
    </xf>
    <xf numFmtId="1" fontId="3" fillId="0" borderId="2" xfId="0" applyNumberFormat="1" applyFont="1" applyBorder="1">
      <alignment vertical="center"/>
    </xf>
    <xf numFmtId="173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73" fontId="3" fillId="0" borderId="2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73" fontId="4" fillId="0" borderId="0" xfId="0" applyNumberFormat="1" applyFont="1">
      <alignment vertical="center"/>
    </xf>
    <xf numFmtId="173" fontId="3" fillId="0" borderId="0" xfId="0" applyNumberFormat="1" applyFont="1">
      <alignment vertical="center"/>
    </xf>
    <xf numFmtId="164" fontId="3" fillId="0" borderId="0" xfId="0" applyNumberFormat="1" applyFont="1">
      <alignment vertical="center"/>
    </xf>
    <xf numFmtId="173" fontId="4" fillId="0" borderId="2" xfId="0" applyNumberFormat="1" applyFont="1" applyBorder="1">
      <alignment vertical="center"/>
    </xf>
    <xf numFmtId="173" fontId="3" fillId="0" borderId="2" xfId="0" applyNumberFormat="1" applyFont="1" applyBorder="1">
      <alignment vertical="center"/>
    </xf>
    <xf numFmtId="164" fontId="3" fillId="0" borderId="2" xfId="0" applyNumberFormat="1" applyFont="1" applyBorder="1">
      <alignment vertical="center"/>
    </xf>
    <xf numFmtId="172" fontId="0" fillId="0" borderId="0" xfId="0" applyNumberFormat="1">
      <alignment vertical="center"/>
    </xf>
    <xf numFmtId="169" fontId="3" fillId="0" borderId="0" xfId="0" applyNumberFormat="1" applyFont="1">
      <alignment vertical="center"/>
    </xf>
    <xf numFmtId="166" fontId="3" fillId="0" borderId="0" xfId="0" applyNumberFormat="1" applyFont="1">
      <alignment vertical="center"/>
    </xf>
    <xf numFmtId="168" fontId="3" fillId="0" borderId="0" xfId="0" applyNumberFormat="1" applyFont="1">
      <alignment vertical="center"/>
    </xf>
    <xf numFmtId="167" fontId="3" fillId="0" borderId="0" xfId="0" applyNumberFormat="1" applyFont="1">
      <alignment vertical="center"/>
    </xf>
    <xf numFmtId="0" fontId="3" fillId="0" borderId="2" xfId="0" applyFont="1" applyBorder="1" applyAlignment="1"/>
    <xf numFmtId="1" fontId="2" fillId="0" borderId="2" xfId="0" applyNumberFormat="1" applyFont="1" applyBorder="1" applyAlignment="1"/>
    <xf numFmtId="2" fontId="2" fillId="0" borderId="2" xfId="0" applyNumberFormat="1" applyFont="1" applyBorder="1" applyAlignment="1"/>
    <xf numFmtId="164" fontId="1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0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17"/>
  <sheetViews>
    <sheetView tabSelected="1" zoomScaleNormal="100" workbookViewId="0">
      <selection activeCell="P1" sqref="P1"/>
    </sheetView>
  </sheetViews>
  <sheetFormatPr defaultColWidth="11" defaultRowHeight="15.95"/>
  <cols>
    <col min="1" max="3" width="16.125" style="120" customWidth="1"/>
    <col min="4" max="5" width="8.375" style="120" customWidth="1"/>
    <col min="6" max="6" width="9.375" style="120" customWidth="1"/>
    <col min="7" max="7" width="10.375" style="120" customWidth="1"/>
    <col min="8" max="9" width="8.375" style="120" customWidth="1"/>
    <col min="10" max="10" width="7.875" style="120" customWidth="1"/>
    <col min="11" max="11" width="8.625" style="120" customWidth="1"/>
    <col min="12" max="12" width="8" style="120" customWidth="1"/>
    <col min="13" max="13" width="8.625" style="120" customWidth="1"/>
    <col min="14" max="14" width="7.5" style="120" customWidth="1"/>
    <col min="15" max="15" width="8.5" style="120" customWidth="1"/>
  </cols>
  <sheetData>
    <row r="1" spans="1:23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236" s="116" customFormat="1" ht="18" customHeight="1">
      <c r="A2" s="102" t="s">
        <v>1</v>
      </c>
      <c r="B2" s="102" t="s">
        <v>2</v>
      </c>
      <c r="C2" s="102" t="s">
        <v>3</v>
      </c>
      <c r="D2" s="103" t="s">
        <v>4</v>
      </c>
      <c r="E2" s="103" t="s">
        <v>5</v>
      </c>
      <c r="F2" s="103" t="s">
        <v>6</v>
      </c>
      <c r="G2" s="103" t="s">
        <v>7</v>
      </c>
      <c r="H2" s="103" t="s">
        <v>8</v>
      </c>
      <c r="I2" s="103" t="s">
        <v>9</v>
      </c>
      <c r="J2" s="103" t="s">
        <v>10</v>
      </c>
      <c r="K2" s="103" t="s">
        <v>11</v>
      </c>
      <c r="L2" s="103" t="s">
        <v>12</v>
      </c>
      <c r="M2" s="103" t="s">
        <v>13</v>
      </c>
      <c r="N2" s="103" t="s">
        <v>14</v>
      </c>
      <c r="O2" s="103" t="s">
        <v>15</v>
      </c>
    </row>
    <row r="3" spans="1:236" ht="15.75" customHeight="1">
      <c r="A3" s="121" t="s">
        <v>16</v>
      </c>
      <c r="B3" s="122" t="s">
        <v>17</v>
      </c>
      <c r="C3" s="122" t="s">
        <v>18</v>
      </c>
      <c r="D3" s="122">
        <v>72.787999999999997</v>
      </c>
      <c r="E3" s="123">
        <v>0.26600000000000001</v>
      </c>
      <c r="F3" s="122">
        <v>14.688000000000001</v>
      </c>
      <c r="G3" s="122">
        <v>2.5619999999999998</v>
      </c>
      <c r="H3" s="123">
        <v>3.5000000000000003E-2</v>
      </c>
      <c r="I3" s="122">
        <v>0.67600000000000005</v>
      </c>
      <c r="J3" s="122">
        <v>1.262</v>
      </c>
      <c r="K3" s="122">
        <v>3.367</v>
      </c>
      <c r="L3" s="122">
        <v>2.7679999999999998</v>
      </c>
      <c r="M3" s="123">
        <v>7.6999999999999999E-2</v>
      </c>
      <c r="N3" s="122">
        <v>1.4970000000000001</v>
      </c>
      <c r="O3" s="122">
        <v>99.986000000000004</v>
      </c>
      <c r="Q3" s="127"/>
    </row>
    <row r="4" spans="1:236" ht="15.75" customHeight="1">
      <c r="A4" s="121" t="s">
        <v>19</v>
      </c>
      <c r="B4" s="122" t="s">
        <v>17</v>
      </c>
      <c r="C4" s="122" t="s">
        <v>20</v>
      </c>
      <c r="D4" s="122">
        <v>69.432000000000002</v>
      </c>
      <c r="E4" s="123">
        <v>0.45900000000000002</v>
      </c>
      <c r="F4" s="122">
        <v>14.544</v>
      </c>
      <c r="G4" s="122">
        <v>4.5060000000000002</v>
      </c>
      <c r="H4" s="123">
        <v>7.6999999999999999E-2</v>
      </c>
      <c r="I4" s="122">
        <v>1.4450000000000001</v>
      </c>
      <c r="J4" s="122">
        <v>1.038</v>
      </c>
      <c r="K4" s="122">
        <v>2.61</v>
      </c>
      <c r="L4" s="122">
        <v>3.5579999999999998</v>
      </c>
      <c r="M4" s="123">
        <v>0.108</v>
      </c>
      <c r="N4" s="122">
        <v>1.9339999999999999</v>
      </c>
      <c r="O4" s="122">
        <v>99.710999999999999</v>
      </c>
      <c r="Q4" s="127"/>
    </row>
    <row r="5" spans="1:236" ht="15.75" customHeight="1">
      <c r="A5" s="121" t="s">
        <v>21</v>
      </c>
      <c r="B5" s="122" t="s">
        <v>17</v>
      </c>
      <c r="C5" s="122" t="s">
        <v>18</v>
      </c>
      <c r="D5" s="122">
        <v>74.13</v>
      </c>
      <c r="E5" s="123">
        <v>0.25</v>
      </c>
      <c r="F5" s="122">
        <v>13.997</v>
      </c>
      <c r="G5" s="122">
        <v>2.496</v>
      </c>
      <c r="H5" s="123">
        <v>3.6999999999999998E-2</v>
      </c>
      <c r="I5" s="122">
        <v>0.68500000000000005</v>
      </c>
      <c r="J5" s="122">
        <v>0.95799999999999996</v>
      </c>
      <c r="K5" s="122">
        <v>4.056</v>
      </c>
      <c r="L5" s="122">
        <v>2.4319999999999999</v>
      </c>
      <c r="M5" s="123">
        <v>6.5000000000000002E-2</v>
      </c>
      <c r="N5" s="122">
        <v>1.151</v>
      </c>
      <c r="O5" s="122">
        <v>100.25700000000001</v>
      </c>
      <c r="Q5" s="127"/>
    </row>
    <row r="6" spans="1:236" ht="15.75" customHeight="1">
      <c r="A6" s="121" t="s">
        <v>22</v>
      </c>
      <c r="B6" s="122" t="s">
        <v>17</v>
      </c>
      <c r="C6" s="122" t="s">
        <v>20</v>
      </c>
      <c r="D6" s="122">
        <v>73.933000000000007</v>
      </c>
      <c r="E6" s="123">
        <v>0.246</v>
      </c>
      <c r="F6" s="122">
        <v>13.965</v>
      </c>
      <c r="G6" s="122">
        <v>2.4790000000000001</v>
      </c>
      <c r="H6" s="123">
        <v>3.5999999999999997E-2</v>
      </c>
      <c r="I6" s="122">
        <v>0.68700000000000006</v>
      </c>
      <c r="J6" s="122">
        <v>0.94499999999999995</v>
      </c>
      <c r="K6" s="122">
        <v>4.0490000000000004</v>
      </c>
      <c r="L6" s="122">
        <v>2.4289999999999998</v>
      </c>
      <c r="M6" s="123">
        <v>6.5000000000000002E-2</v>
      </c>
      <c r="N6" s="122">
        <v>1.1040000000000001</v>
      </c>
      <c r="O6" s="122">
        <v>99.938000000000002</v>
      </c>
      <c r="Q6" s="127"/>
    </row>
    <row r="7" spans="1:236" ht="15.75" customHeight="1">
      <c r="A7" s="121" t="s">
        <v>23</v>
      </c>
      <c r="B7" s="122" t="s">
        <v>24</v>
      </c>
      <c r="C7" s="122" t="s">
        <v>25</v>
      </c>
      <c r="D7" s="122">
        <v>70.051000000000002</v>
      </c>
      <c r="E7" s="123">
        <v>0.215</v>
      </c>
      <c r="F7" s="122">
        <v>15.896000000000001</v>
      </c>
      <c r="G7" s="122">
        <v>1.476</v>
      </c>
      <c r="H7" s="123">
        <v>0.03</v>
      </c>
      <c r="I7" s="122">
        <v>0.44600000000000001</v>
      </c>
      <c r="J7" s="122">
        <v>1.1359999999999999</v>
      </c>
      <c r="K7" s="122">
        <v>5.0999999999999996</v>
      </c>
      <c r="L7" s="122">
        <v>3.9329999999999998</v>
      </c>
      <c r="M7" s="123">
        <v>6.7000000000000004E-2</v>
      </c>
      <c r="N7" s="122">
        <v>1.083</v>
      </c>
      <c r="O7" s="122">
        <v>99.433000000000007</v>
      </c>
      <c r="Q7" s="127"/>
    </row>
    <row r="8" spans="1:236" ht="15.75" customHeight="1">
      <c r="A8" s="121" t="s">
        <v>26</v>
      </c>
      <c r="B8" s="122" t="s">
        <v>24</v>
      </c>
      <c r="C8" s="122" t="s">
        <v>25</v>
      </c>
      <c r="D8" s="122">
        <v>72.495999999999995</v>
      </c>
      <c r="E8" s="123">
        <v>0.21299999999999999</v>
      </c>
      <c r="F8" s="122">
        <v>14.757</v>
      </c>
      <c r="G8" s="122">
        <v>1.516</v>
      </c>
      <c r="H8" s="123">
        <v>2.3E-2</v>
      </c>
      <c r="I8" s="122">
        <v>0.38700000000000001</v>
      </c>
      <c r="J8" s="122">
        <v>1.0840000000000001</v>
      </c>
      <c r="K8" s="122">
        <v>4.7640000000000002</v>
      </c>
      <c r="L8" s="122">
        <v>3.4630000000000001</v>
      </c>
      <c r="M8" s="123">
        <v>7.0999999999999994E-2</v>
      </c>
      <c r="N8" s="122">
        <v>0.73499999999999999</v>
      </c>
      <c r="O8" s="122">
        <v>99.509</v>
      </c>
      <c r="Q8" s="127"/>
    </row>
    <row r="9" spans="1:236" ht="15.75" customHeight="1">
      <c r="A9" s="121" t="s">
        <v>27</v>
      </c>
      <c r="B9" s="122" t="s">
        <v>28</v>
      </c>
      <c r="C9" s="122" t="s">
        <v>25</v>
      </c>
      <c r="D9" s="122">
        <v>75.231999999999999</v>
      </c>
      <c r="E9" s="123">
        <v>6.6000000000000003E-2</v>
      </c>
      <c r="F9" s="122">
        <v>13.706</v>
      </c>
      <c r="G9" s="122">
        <v>1.1819999999999999</v>
      </c>
      <c r="H9" s="123">
        <v>2.7E-2</v>
      </c>
      <c r="I9" s="122">
        <v>0.215</v>
      </c>
      <c r="J9" s="122">
        <v>0.88</v>
      </c>
      <c r="K9" s="122">
        <v>3.4780000000000002</v>
      </c>
      <c r="L9" s="122">
        <v>5.0629999999999997</v>
      </c>
      <c r="M9" s="123">
        <v>0.03</v>
      </c>
      <c r="N9" s="122">
        <v>0.52700000000000002</v>
      </c>
      <c r="O9" s="122">
        <v>100.40600000000001</v>
      </c>
      <c r="Q9" s="127"/>
    </row>
    <row r="10" spans="1:236" ht="15.75" customHeight="1">
      <c r="A10" s="121" t="s">
        <v>29</v>
      </c>
      <c r="B10" s="122" t="s">
        <v>30</v>
      </c>
      <c r="C10" s="122" t="s">
        <v>31</v>
      </c>
      <c r="D10" s="122">
        <v>55.694000000000003</v>
      </c>
      <c r="E10" s="123">
        <v>1.4E-2</v>
      </c>
      <c r="F10" s="122">
        <v>1.2370000000000001</v>
      </c>
      <c r="G10" s="122">
        <v>9.8840000000000003</v>
      </c>
      <c r="H10" s="123">
        <v>0.58099999999999996</v>
      </c>
      <c r="I10" s="122">
        <v>19.222999999999999</v>
      </c>
      <c r="J10" s="122">
        <v>10.48</v>
      </c>
      <c r="K10" s="122">
        <v>0.16400000000000001</v>
      </c>
      <c r="L10" s="122">
        <v>0.94599999999999995</v>
      </c>
      <c r="M10" s="123">
        <v>7.0000000000000001E-3</v>
      </c>
      <c r="N10" s="122">
        <v>1.5329999999999999</v>
      </c>
      <c r="O10" s="122">
        <v>99.763000000000005</v>
      </c>
      <c r="Q10" s="127"/>
    </row>
    <row r="11" spans="1:236" ht="15.75" customHeight="1">
      <c r="A11" s="121" t="s">
        <v>32</v>
      </c>
      <c r="B11" s="122" t="s">
        <v>30</v>
      </c>
      <c r="C11" s="122" t="s">
        <v>33</v>
      </c>
      <c r="D11" s="122">
        <v>75.260000000000005</v>
      </c>
      <c r="E11" s="123">
        <v>0.11899999999999999</v>
      </c>
      <c r="F11" s="122">
        <v>14.742000000000001</v>
      </c>
      <c r="G11" s="122">
        <v>0.85899999999999999</v>
      </c>
      <c r="H11" s="123">
        <v>1.2E-2</v>
      </c>
      <c r="I11" s="122">
        <v>0.65500000000000003</v>
      </c>
      <c r="J11" s="122">
        <v>0.22600000000000001</v>
      </c>
      <c r="K11" s="122">
        <v>3.1859999999999999</v>
      </c>
      <c r="L11" s="122">
        <v>3.246</v>
      </c>
      <c r="M11" s="123">
        <v>3.6999999999999998E-2</v>
      </c>
      <c r="N11" s="122">
        <v>1.4450000000000001</v>
      </c>
      <c r="O11" s="122">
        <v>99.787000000000006</v>
      </c>
      <c r="Q11" s="127"/>
    </row>
    <row r="12" spans="1:236" ht="15.75" customHeight="1">
      <c r="A12" s="121" t="s">
        <v>34</v>
      </c>
      <c r="B12" s="122" t="s">
        <v>30</v>
      </c>
      <c r="C12" s="122" t="s">
        <v>35</v>
      </c>
      <c r="D12" s="122">
        <v>75.614000000000004</v>
      </c>
      <c r="E12" s="123">
        <v>1.2999999999999999E-2</v>
      </c>
      <c r="F12" s="122">
        <v>13.929</v>
      </c>
      <c r="G12" s="122">
        <v>0.11799999999999999</v>
      </c>
      <c r="H12" s="123">
        <v>4.0000000000000001E-3</v>
      </c>
      <c r="I12" s="122">
        <v>3.4000000000000002E-2</v>
      </c>
      <c r="J12" s="122">
        <v>0.26700000000000002</v>
      </c>
      <c r="K12" s="122">
        <v>4.4560000000000004</v>
      </c>
      <c r="L12" s="122">
        <v>5.13</v>
      </c>
      <c r="M12" s="123">
        <v>1.4E-2</v>
      </c>
      <c r="N12" s="122">
        <v>0.34799999999999998</v>
      </c>
      <c r="O12" s="122">
        <v>99.927000000000007</v>
      </c>
      <c r="Q12" s="127"/>
    </row>
    <row r="13" spans="1:236" s="117" customFormat="1" ht="15.75" customHeight="1">
      <c r="A13" s="121" t="s">
        <v>36</v>
      </c>
      <c r="B13" s="122" t="s">
        <v>37</v>
      </c>
      <c r="C13" s="122" t="s">
        <v>18</v>
      </c>
      <c r="D13" s="122">
        <v>72.105999999999995</v>
      </c>
      <c r="E13" s="123">
        <v>0.26900000000000002</v>
      </c>
      <c r="F13" s="122">
        <v>14.933</v>
      </c>
      <c r="G13" s="122">
        <v>2.6520000000000001</v>
      </c>
      <c r="H13" s="123">
        <v>3.9E-2</v>
      </c>
      <c r="I13" s="122">
        <v>1.288</v>
      </c>
      <c r="J13" s="122">
        <v>0.73399999999999999</v>
      </c>
      <c r="K13" s="122">
        <v>4.883</v>
      </c>
      <c r="L13" s="122">
        <v>1.782</v>
      </c>
      <c r="M13" s="123">
        <v>6.9000000000000006E-2</v>
      </c>
      <c r="N13" s="122">
        <v>1.3759999999999999</v>
      </c>
      <c r="O13" s="122">
        <v>100.131</v>
      </c>
      <c r="Q13" s="127"/>
    </row>
    <row r="14" spans="1:236" s="118" customFormat="1" ht="15.75" customHeight="1">
      <c r="A14" s="121" t="s">
        <v>38</v>
      </c>
      <c r="B14" s="122" t="s">
        <v>37</v>
      </c>
      <c r="C14" s="122" t="s">
        <v>20</v>
      </c>
      <c r="D14" s="122">
        <v>71.712999999999994</v>
      </c>
      <c r="E14" s="123">
        <v>0.28399999999999997</v>
      </c>
      <c r="F14" s="122">
        <v>15.28</v>
      </c>
      <c r="G14" s="122">
        <v>2.7250000000000001</v>
      </c>
      <c r="H14" s="123">
        <v>0.04</v>
      </c>
      <c r="I14" s="122">
        <v>1.3879999999999999</v>
      </c>
      <c r="J14" s="122">
        <v>0.69299999999999995</v>
      </c>
      <c r="K14" s="122">
        <v>4.34</v>
      </c>
      <c r="L14" s="122">
        <v>2.1160000000000001</v>
      </c>
      <c r="M14" s="123">
        <v>8.5000000000000006E-2</v>
      </c>
      <c r="N14" s="122">
        <v>1.62</v>
      </c>
      <c r="O14" s="122">
        <v>100.28400000000001</v>
      </c>
      <c r="Q14" s="127"/>
    </row>
    <row r="15" spans="1:236" s="118" customFormat="1" ht="15.75" customHeight="1">
      <c r="A15" s="121" t="s">
        <v>39</v>
      </c>
      <c r="B15" s="122" t="s">
        <v>40</v>
      </c>
      <c r="C15" s="122" t="s">
        <v>20</v>
      </c>
      <c r="D15" s="122">
        <v>69.75</v>
      </c>
      <c r="E15" s="123">
        <v>0.32500000000000001</v>
      </c>
      <c r="F15" s="122">
        <v>16.091999999999999</v>
      </c>
      <c r="G15" s="122">
        <v>2.7919999999999998</v>
      </c>
      <c r="H15" s="123">
        <v>4.2000000000000003E-2</v>
      </c>
      <c r="I15" s="122">
        <v>0.66600000000000004</v>
      </c>
      <c r="J15" s="122">
        <v>2.4500000000000002</v>
      </c>
      <c r="K15" s="122">
        <v>4.8719999999999999</v>
      </c>
      <c r="L15" s="122">
        <v>1.8480000000000001</v>
      </c>
      <c r="M15" s="123">
        <v>9.5000000000000001E-2</v>
      </c>
      <c r="N15" s="122">
        <v>0.95099999999999996</v>
      </c>
      <c r="O15" s="122">
        <v>99.882999999999996</v>
      </c>
      <c r="Q15" s="127"/>
    </row>
    <row r="16" spans="1:236" s="119" customFormat="1" ht="15.75" customHeight="1">
      <c r="A16" s="121" t="s">
        <v>41</v>
      </c>
      <c r="B16" s="122" t="s">
        <v>40</v>
      </c>
      <c r="C16" s="122" t="s">
        <v>20</v>
      </c>
      <c r="D16" s="122">
        <v>71.081000000000003</v>
      </c>
      <c r="E16" s="123">
        <v>0.34799999999999998</v>
      </c>
      <c r="F16" s="122">
        <v>15.281000000000001</v>
      </c>
      <c r="G16" s="122">
        <v>1.9670000000000001</v>
      </c>
      <c r="H16" s="123">
        <v>3.5000000000000003E-2</v>
      </c>
      <c r="I16" s="122">
        <v>0.58199999999999996</v>
      </c>
      <c r="J16" s="122">
        <v>2.0129999999999999</v>
      </c>
      <c r="K16" s="122">
        <v>4.7329999999999997</v>
      </c>
      <c r="L16" s="122">
        <v>2.8660000000000001</v>
      </c>
      <c r="M16" s="123">
        <v>0.12</v>
      </c>
      <c r="N16" s="122">
        <v>0.57399999999999995</v>
      </c>
      <c r="O16" s="122">
        <v>99.6</v>
      </c>
      <c r="P16" s="118"/>
      <c r="Q16" s="127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  <c r="FK16" s="118"/>
      <c r="FL16" s="118"/>
      <c r="FM16" s="118"/>
      <c r="FN16" s="118"/>
      <c r="FO16" s="118"/>
      <c r="FP16" s="118"/>
      <c r="FQ16" s="118"/>
      <c r="FR16" s="118"/>
      <c r="FS16" s="118"/>
      <c r="FT16" s="118"/>
      <c r="FU16" s="118"/>
      <c r="FV16" s="118"/>
      <c r="FW16" s="118"/>
      <c r="FX16" s="118"/>
      <c r="FY16" s="118"/>
      <c r="FZ16" s="118"/>
      <c r="GA16" s="118"/>
      <c r="GB16" s="118"/>
      <c r="GC16" s="118"/>
      <c r="GD16" s="118"/>
      <c r="GE16" s="118"/>
      <c r="GF16" s="118"/>
      <c r="GG16" s="118"/>
      <c r="GH16" s="118"/>
      <c r="GI16" s="118"/>
      <c r="GJ16" s="118"/>
      <c r="GK16" s="118"/>
      <c r="GL16" s="118"/>
      <c r="GM16" s="118"/>
      <c r="GN16" s="118"/>
      <c r="GO16" s="118"/>
      <c r="GP16" s="118"/>
      <c r="GQ16" s="118"/>
      <c r="GR16" s="118"/>
      <c r="GS16" s="118"/>
      <c r="GT16" s="118"/>
      <c r="GU16" s="118"/>
      <c r="GV16" s="118"/>
      <c r="GW16" s="118"/>
      <c r="GX16" s="118"/>
      <c r="GY16" s="118"/>
      <c r="GZ16" s="118"/>
      <c r="HA16" s="118"/>
      <c r="HB16" s="118"/>
      <c r="HC16" s="118"/>
      <c r="HD16" s="118"/>
      <c r="HE16" s="118"/>
      <c r="HF16" s="118"/>
      <c r="HG16" s="118"/>
      <c r="HH16" s="118"/>
      <c r="HI16" s="118"/>
      <c r="HJ16" s="118"/>
      <c r="HK16" s="118"/>
      <c r="HL16" s="118"/>
      <c r="HM16" s="118"/>
      <c r="HN16" s="118"/>
      <c r="HO16" s="118"/>
      <c r="HP16" s="118"/>
      <c r="HQ16" s="118"/>
      <c r="HR16" s="118"/>
      <c r="HS16" s="118"/>
      <c r="HT16" s="118"/>
      <c r="HU16" s="118"/>
      <c r="HV16" s="118"/>
      <c r="HW16" s="118"/>
      <c r="HX16" s="118"/>
      <c r="HY16" s="118"/>
      <c r="HZ16" s="118"/>
      <c r="IA16" s="118"/>
      <c r="IB16" s="118"/>
    </row>
    <row r="17" spans="1:236" s="119" customFormat="1" ht="15.75" customHeight="1">
      <c r="A17" s="124" t="s">
        <v>42</v>
      </c>
      <c r="B17" s="125" t="s">
        <v>43</v>
      </c>
      <c r="C17" s="125" t="s">
        <v>44</v>
      </c>
      <c r="D17" s="125">
        <v>71.364000000000004</v>
      </c>
      <c r="E17" s="126">
        <v>0.27600000000000002</v>
      </c>
      <c r="F17" s="125">
        <v>15.154999999999999</v>
      </c>
      <c r="G17" s="125">
        <v>2.1739999999999999</v>
      </c>
      <c r="H17" s="126">
        <v>3.3000000000000002E-2</v>
      </c>
      <c r="I17" s="125">
        <v>0.56399999999999995</v>
      </c>
      <c r="J17" s="125">
        <v>1.512</v>
      </c>
      <c r="K17" s="125">
        <v>4.633</v>
      </c>
      <c r="L17" s="125">
        <v>3.0720000000000001</v>
      </c>
      <c r="M17" s="126">
        <v>0.1</v>
      </c>
      <c r="N17" s="125">
        <v>0.96799999999999997</v>
      </c>
      <c r="O17" s="125">
        <v>99.850999999999999</v>
      </c>
      <c r="P17" s="118"/>
      <c r="Q17" s="127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118"/>
      <c r="FC17" s="118"/>
      <c r="FD17" s="118"/>
      <c r="FE17" s="118"/>
      <c r="FF17" s="118"/>
      <c r="FG17" s="118"/>
      <c r="FH17" s="118"/>
      <c r="FI17" s="118"/>
      <c r="FJ17" s="118"/>
      <c r="FK17" s="118"/>
      <c r="FL17" s="118"/>
      <c r="FM17" s="118"/>
      <c r="FN17" s="118"/>
      <c r="FO17" s="118"/>
      <c r="FP17" s="118"/>
      <c r="FQ17" s="118"/>
      <c r="FR17" s="118"/>
      <c r="FS17" s="118"/>
      <c r="FT17" s="118"/>
      <c r="FU17" s="118"/>
      <c r="FV17" s="118"/>
      <c r="FW17" s="118"/>
      <c r="FX17" s="118"/>
      <c r="FY17" s="118"/>
      <c r="FZ17" s="118"/>
      <c r="GA17" s="118"/>
      <c r="GB17" s="118"/>
      <c r="GC17" s="118"/>
      <c r="GD17" s="118"/>
      <c r="GE17" s="118"/>
      <c r="GF17" s="118"/>
      <c r="GG17" s="118"/>
      <c r="GH17" s="118"/>
      <c r="GI17" s="118"/>
      <c r="GJ17" s="118"/>
      <c r="GK17" s="118"/>
      <c r="GL17" s="118"/>
      <c r="GM17" s="118"/>
      <c r="GN17" s="118"/>
      <c r="GO17" s="118"/>
      <c r="GP17" s="118"/>
      <c r="GQ17" s="118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/>
      <c r="HB17" s="118"/>
      <c r="HC17" s="118"/>
      <c r="HD17" s="118"/>
      <c r="HE17" s="118"/>
      <c r="HF17" s="118"/>
      <c r="HG17" s="118"/>
      <c r="HH17" s="118"/>
      <c r="HI17" s="118"/>
      <c r="HJ17" s="118"/>
      <c r="HK17" s="118"/>
      <c r="HL17" s="118"/>
      <c r="HM17" s="118"/>
      <c r="HN17" s="118"/>
      <c r="HO17" s="118"/>
      <c r="HP17" s="118"/>
      <c r="HQ17" s="118"/>
      <c r="HR17" s="118"/>
      <c r="HS17" s="118"/>
      <c r="HT17" s="118"/>
      <c r="HU17" s="118"/>
      <c r="HV17" s="118"/>
      <c r="HW17" s="118"/>
      <c r="HX17" s="118"/>
      <c r="HY17" s="118"/>
      <c r="HZ17" s="118"/>
      <c r="IA17" s="118"/>
      <c r="IB17" s="118"/>
    </row>
  </sheetData>
  <phoneticPr fontId="2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"/>
  <sheetViews>
    <sheetView zoomScaleNormal="100" workbookViewId="0">
      <selection activeCell="C15" sqref="C15"/>
    </sheetView>
  </sheetViews>
  <sheetFormatPr defaultColWidth="11" defaultRowHeight="15.95"/>
  <cols>
    <col min="1" max="3" width="17.875" style="3" customWidth="1"/>
    <col min="4" max="42" width="10.875" style="3"/>
  </cols>
  <sheetData>
    <row r="1" spans="1:42" s="4" customFormat="1" ht="12.95">
      <c r="A1" s="4" t="s">
        <v>45</v>
      </c>
    </row>
    <row r="2" spans="1:42" s="101" customFormat="1" ht="12.95">
      <c r="A2" s="102" t="s">
        <v>1</v>
      </c>
      <c r="B2" s="102" t="s">
        <v>2</v>
      </c>
      <c r="C2" s="102" t="s">
        <v>3</v>
      </c>
      <c r="D2" s="103" t="s">
        <v>46</v>
      </c>
      <c r="E2" s="103" t="s">
        <v>47</v>
      </c>
      <c r="F2" s="103" t="s">
        <v>48</v>
      </c>
      <c r="G2" s="103" t="s">
        <v>49</v>
      </c>
      <c r="H2" s="103" t="s">
        <v>50</v>
      </c>
      <c r="I2" s="103" t="s">
        <v>51</v>
      </c>
      <c r="J2" s="103" t="s">
        <v>52</v>
      </c>
      <c r="K2" s="103" t="s">
        <v>53</v>
      </c>
      <c r="L2" s="103" t="s">
        <v>54</v>
      </c>
      <c r="M2" s="103" t="s">
        <v>55</v>
      </c>
      <c r="N2" s="103" t="s">
        <v>56</v>
      </c>
      <c r="O2" s="103" t="s">
        <v>57</v>
      </c>
      <c r="P2" s="103" t="s">
        <v>58</v>
      </c>
      <c r="Q2" s="103" t="s">
        <v>59</v>
      </c>
      <c r="R2" s="103" t="s">
        <v>60</v>
      </c>
      <c r="S2" s="103" t="s">
        <v>61</v>
      </c>
      <c r="T2" s="103" t="s">
        <v>62</v>
      </c>
      <c r="U2" s="103" t="s">
        <v>63</v>
      </c>
      <c r="V2" s="103" t="s">
        <v>64</v>
      </c>
      <c r="W2" s="103" t="s">
        <v>65</v>
      </c>
      <c r="X2" s="103" t="s">
        <v>66</v>
      </c>
      <c r="Y2" s="103" t="s">
        <v>67</v>
      </c>
      <c r="Z2" s="103" t="s">
        <v>68</v>
      </c>
      <c r="AA2" s="103" t="s">
        <v>69</v>
      </c>
      <c r="AB2" s="103" t="s">
        <v>70</v>
      </c>
      <c r="AC2" s="103" t="s">
        <v>71</v>
      </c>
      <c r="AD2" s="103" t="s">
        <v>72</v>
      </c>
      <c r="AE2" s="103" t="s">
        <v>73</v>
      </c>
      <c r="AF2" s="103" t="s">
        <v>74</v>
      </c>
      <c r="AG2" s="103" t="s">
        <v>75</v>
      </c>
      <c r="AH2" s="103" t="s">
        <v>76</v>
      </c>
      <c r="AI2" s="103" t="s">
        <v>77</v>
      </c>
      <c r="AJ2" s="103" t="s">
        <v>78</v>
      </c>
      <c r="AK2" s="103" t="s">
        <v>79</v>
      </c>
      <c r="AL2" s="103" t="s">
        <v>80</v>
      </c>
      <c r="AM2" s="103" t="s">
        <v>81</v>
      </c>
      <c r="AN2" s="103" t="s">
        <v>82</v>
      </c>
      <c r="AO2" s="103" t="s">
        <v>83</v>
      </c>
      <c r="AP2" s="103" t="s">
        <v>84</v>
      </c>
    </row>
    <row r="3" spans="1:42" s="4" customFormat="1" ht="12.95">
      <c r="A3" s="104" t="s">
        <v>16</v>
      </c>
      <c r="B3" s="122" t="s">
        <v>17</v>
      </c>
      <c r="C3" s="122" t="s">
        <v>20</v>
      </c>
      <c r="D3" s="105">
        <v>40.909563564872798</v>
      </c>
      <c r="E3" s="106">
        <v>5.3302890743089302</v>
      </c>
      <c r="F3" s="106">
        <v>3.0358905303510899</v>
      </c>
      <c r="G3" s="105">
        <v>24.073977756305901</v>
      </c>
      <c r="H3" s="106">
        <v>6.9068315211713296</v>
      </c>
      <c r="I3" s="106">
        <v>4.2013150964910304</v>
      </c>
      <c r="J3" s="106">
        <v>4.6606311330996402</v>
      </c>
      <c r="K3" s="105">
        <v>32.579734718159997</v>
      </c>
      <c r="L3" s="105">
        <v>58.194167860832302</v>
      </c>
      <c r="M3" s="105">
        <v>18.990437729230699</v>
      </c>
      <c r="N3" s="110">
        <v>196.73408598805401</v>
      </c>
      <c r="O3" s="110">
        <v>249.95758443315401</v>
      </c>
      <c r="P3" s="106">
        <v>4.9298124663540701</v>
      </c>
      <c r="Q3" s="110">
        <v>135.29883527862199</v>
      </c>
      <c r="R3" s="106">
        <v>4.5518170081718399</v>
      </c>
      <c r="S3" s="106">
        <v>1.6372235425106001</v>
      </c>
      <c r="T3" s="106">
        <v>4.6050117416741898</v>
      </c>
      <c r="U3" s="110">
        <v>757.59847532667197</v>
      </c>
      <c r="V3" s="106">
        <v>6.3108965478088601</v>
      </c>
      <c r="W3" s="105">
        <v>10.9406068868358</v>
      </c>
      <c r="X3" s="106">
        <v>1.23304876521186</v>
      </c>
      <c r="Y3" s="106">
        <v>4.4464753553088796</v>
      </c>
      <c r="Z3" s="106">
        <v>0.84541763053499497</v>
      </c>
      <c r="AA3" s="106">
        <v>0.424689519483198</v>
      </c>
      <c r="AB3" s="106">
        <v>0.76370525543879997</v>
      </c>
      <c r="AC3" s="106">
        <v>0.13338578345608401</v>
      </c>
      <c r="AD3" s="106">
        <v>0.74397512096868601</v>
      </c>
      <c r="AE3" s="106">
        <v>0.17066671978947801</v>
      </c>
      <c r="AF3" s="106">
        <v>0.51288517217193497</v>
      </c>
      <c r="AG3" s="71">
        <v>7.7924396055823505E-2</v>
      </c>
      <c r="AH3" s="106">
        <v>0.54224285215905399</v>
      </c>
      <c r="AI3" s="71">
        <v>8.7267527623945004E-2</v>
      </c>
      <c r="AJ3" s="106">
        <v>3.3827055018829602</v>
      </c>
      <c r="AK3" s="106">
        <v>0.45525324089206098</v>
      </c>
      <c r="AL3" s="112">
        <v>2.5933957521625399</v>
      </c>
      <c r="AM3" s="106">
        <v>0.84373759356284295</v>
      </c>
      <c r="AN3" s="105">
        <v>10.292099833167001</v>
      </c>
      <c r="AO3" s="106">
        <v>4.1928177951309502</v>
      </c>
      <c r="AP3" s="106">
        <v>0.75481874128899495</v>
      </c>
    </row>
    <row r="4" spans="1:42" s="4" customFormat="1" ht="12.95">
      <c r="A4" s="104" t="s">
        <v>19</v>
      </c>
      <c r="B4" s="122" t="s">
        <v>17</v>
      </c>
      <c r="C4" s="122" t="s">
        <v>20</v>
      </c>
      <c r="D4" s="105">
        <v>53.774567229040898</v>
      </c>
      <c r="E4" s="106">
        <v>4.5491090174138504</v>
      </c>
      <c r="F4" s="106">
        <v>7.25292790248273</v>
      </c>
      <c r="G4" s="105">
        <v>70.995032111001393</v>
      </c>
      <c r="H4" s="105">
        <v>33.420037840111398</v>
      </c>
      <c r="I4" s="105">
        <v>10.665999137527599</v>
      </c>
      <c r="J4" s="105">
        <v>22.039979699489901</v>
      </c>
      <c r="K4" s="105">
        <v>22.943905374270301</v>
      </c>
      <c r="L4" s="110">
        <v>121.631890447131</v>
      </c>
      <c r="M4" s="105">
        <v>18.611583509626801</v>
      </c>
      <c r="N4" s="110">
        <v>271.18106063292203</v>
      </c>
      <c r="O4" s="110">
        <v>130.262299362916</v>
      </c>
      <c r="P4" s="105">
        <v>14.081461876949399</v>
      </c>
      <c r="Q4" s="110">
        <v>158.93705288914299</v>
      </c>
      <c r="R4" s="106">
        <v>8.04193292460781</v>
      </c>
      <c r="S4" s="106">
        <v>2.87111678546405</v>
      </c>
      <c r="T4" s="106">
        <v>8.6287262640985301</v>
      </c>
      <c r="U4" s="110">
        <v>956.30489000658599</v>
      </c>
      <c r="V4" s="105">
        <v>13.5038633303196</v>
      </c>
      <c r="W4" s="105">
        <v>35.2347197751903</v>
      </c>
      <c r="X4" s="106">
        <v>2.6531739228491</v>
      </c>
      <c r="Y4" s="106">
        <v>9.9143301575484593</v>
      </c>
      <c r="Z4" s="106">
        <v>2.0477382712343299</v>
      </c>
      <c r="AA4" s="106">
        <v>0.66224095559165896</v>
      </c>
      <c r="AB4" s="106">
        <v>2.0617161960937498</v>
      </c>
      <c r="AC4" s="106">
        <v>0.375243476836914</v>
      </c>
      <c r="AD4" s="106">
        <v>2.3689903519582902</v>
      </c>
      <c r="AE4" s="106">
        <v>0.50775332429805298</v>
      </c>
      <c r="AF4" s="106">
        <v>1.5009856055555499</v>
      </c>
      <c r="AG4" s="106">
        <v>0.233449357688753</v>
      </c>
      <c r="AH4" s="106">
        <v>1.6258765459539899</v>
      </c>
      <c r="AI4" s="106">
        <v>0.27983713297542401</v>
      </c>
      <c r="AJ4" s="106">
        <v>4.0910903085006698</v>
      </c>
      <c r="AK4" s="106">
        <v>0.877429899152392</v>
      </c>
      <c r="AL4" s="112">
        <v>4.4293600629616696</v>
      </c>
      <c r="AM4" s="106">
        <v>1.29548274477153</v>
      </c>
      <c r="AN4" s="105">
        <v>11.0979649736516</v>
      </c>
      <c r="AO4" s="105">
        <v>10.263639739384301</v>
      </c>
      <c r="AP4" s="106">
        <v>1.71595873248647</v>
      </c>
    </row>
    <row r="5" spans="1:42" s="4" customFormat="1" ht="12.95">
      <c r="A5" s="104" t="s">
        <v>21</v>
      </c>
      <c r="B5" s="122" t="s">
        <v>17</v>
      </c>
      <c r="C5" s="122" t="s">
        <v>20</v>
      </c>
      <c r="D5" s="105">
        <v>24.961349254367299</v>
      </c>
      <c r="E5" s="106">
        <v>3.2445618022741098</v>
      </c>
      <c r="F5" s="106">
        <v>3.4141777572429599</v>
      </c>
      <c r="G5" s="105">
        <v>25.5597791084998</v>
      </c>
      <c r="H5" s="105">
        <v>11.531660316009299</v>
      </c>
      <c r="I5" s="106">
        <v>4.20707611378152</v>
      </c>
      <c r="J5" s="106">
        <v>7.3492544289327304</v>
      </c>
      <c r="K5" s="105">
        <v>22.432639334820099</v>
      </c>
      <c r="L5" s="105">
        <v>52.880738429028099</v>
      </c>
      <c r="M5" s="105">
        <v>16.154151446824301</v>
      </c>
      <c r="N5" s="110">
        <v>156.97156626177099</v>
      </c>
      <c r="O5" s="110">
        <v>210.622567731792</v>
      </c>
      <c r="P5" s="106">
        <v>7.3044902340686901</v>
      </c>
      <c r="Q5" s="110">
        <v>111.44294040062501</v>
      </c>
      <c r="R5" s="106">
        <v>5.6457470518149897</v>
      </c>
      <c r="S5" s="106">
        <v>1.77187556270307</v>
      </c>
      <c r="T5" s="106">
        <v>4.2232752835885501</v>
      </c>
      <c r="U5" s="110">
        <v>662.96651519754096</v>
      </c>
      <c r="V5" s="106">
        <v>6.5440886630838397</v>
      </c>
      <c r="W5" s="105">
        <v>16.894149623402502</v>
      </c>
      <c r="X5" s="106">
        <v>1.27739987106282</v>
      </c>
      <c r="Y5" s="106">
        <v>4.8415404511544198</v>
      </c>
      <c r="Z5" s="106">
        <v>1.0357038321701999</v>
      </c>
      <c r="AA5" s="106">
        <v>0.387567394025287</v>
      </c>
      <c r="AB5" s="106">
        <v>1.0513556477320201</v>
      </c>
      <c r="AC5" s="106">
        <v>0.18572102482606101</v>
      </c>
      <c r="AD5" s="106">
        <v>1.20805043533573</v>
      </c>
      <c r="AE5" s="106">
        <v>0.276651330000109</v>
      </c>
      <c r="AF5" s="106">
        <v>0.79738390112079505</v>
      </c>
      <c r="AG5" s="106">
        <v>0.11551621699914499</v>
      </c>
      <c r="AH5" s="106">
        <v>0.79731629673413595</v>
      </c>
      <c r="AI5" s="106">
        <v>0.128900872870923</v>
      </c>
      <c r="AJ5" s="106">
        <v>3.0211703447902498</v>
      </c>
      <c r="AK5" s="106">
        <v>0.55527604647059103</v>
      </c>
      <c r="AL5" s="112">
        <v>2.08914241993129</v>
      </c>
      <c r="AM5" s="106">
        <v>0.71102513149348101</v>
      </c>
      <c r="AN5" s="105">
        <v>12.016914688984601</v>
      </c>
      <c r="AO5" s="105">
        <v>12.536852517485</v>
      </c>
      <c r="AP5" s="106">
        <v>1.2066459902700899</v>
      </c>
    </row>
    <row r="6" spans="1:42" s="4" customFormat="1" ht="12.95">
      <c r="A6" s="104" t="s">
        <v>23</v>
      </c>
      <c r="B6" s="122" t="s">
        <v>24</v>
      </c>
      <c r="C6" s="122" t="s">
        <v>25</v>
      </c>
      <c r="D6" s="105">
        <v>23.716928723268399</v>
      </c>
      <c r="E6" s="106">
        <v>4.4146443048356998</v>
      </c>
      <c r="F6" s="106">
        <v>1.5522114304091501</v>
      </c>
      <c r="G6" s="105">
        <v>13.628853773775299</v>
      </c>
      <c r="H6" s="106">
        <v>2.83789841003219</v>
      </c>
      <c r="I6" s="106">
        <v>1.9872072949328401</v>
      </c>
      <c r="J6" s="106">
        <v>1.49138832063982</v>
      </c>
      <c r="K6" s="106">
        <v>6.0626974835853202</v>
      </c>
      <c r="L6" s="105">
        <v>52.556331296852598</v>
      </c>
      <c r="M6" s="105">
        <v>19.897361805726799</v>
      </c>
      <c r="N6" s="110">
        <v>167.259461101911</v>
      </c>
      <c r="O6" s="110">
        <v>344.84776041935203</v>
      </c>
      <c r="P6" s="106">
        <v>4.7779978431844699</v>
      </c>
      <c r="Q6" s="110">
        <v>147.53410182374</v>
      </c>
      <c r="R6" s="106">
        <v>4.3521693835756601</v>
      </c>
      <c r="S6" s="106">
        <v>2.4937280846420502</v>
      </c>
      <c r="T6" s="106">
        <v>3.1730192933129402</v>
      </c>
      <c r="U6" s="110">
        <v>1371.5320024064099</v>
      </c>
      <c r="V6" s="105">
        <v>40.541446015280897</v>
      </c>
      <c r="W6" s="105">
        <v>63.124836039840197</v>
      </c>
      <c r="X6" s="106">
        <v>5.9700594099011299</v>
      </c>
      <c r="Y6" s="105">
        <v>18.133803906579899</v>
      </c>
      <c r="Z6" s="106">
        <v>2.4632985879624898</v>
      </c>
      <c r="AA6" s="106">
        <v>0.66482004774344094</v>
      </c>
      <c r="AB6" s="106">
        <v>1.37695246377266</v>
      </c>
      <c r="AC6" s="106">
        <v>0.17776386556360099</v>
      </c>
      <c r="AD6" s="106">
        <v>0.88596381343131203</v>
      </c>
      <c r="AE6" s="106">
        <v>0.16263437235636199</v>
      </c>
      <c r="AF6" s="106">
        <v>0.44132931844519402</v>
      </c>
      <c r="AG6" s="71">
        <v>5.3700073928888897E-2</v>
      </c>
      <c r="AH6" s="106">
        <v>0.367182997033072</v>
      </c>
      <c r="AI6" s="71">
        <v>5.7080979134249601E-2</v>
      </c>
      <c r="AJ6" s="106">
        <v>3.64621763457124</v>
      </c>
      <c r="AK6" s="106">
        <v>0.38847205858942802</v>
      </c>
      <c r="AL6" s="113">
        <v>13.3270572793084</v>
      </c>
      <c r="AM6" s="106">
        <v>0.78816131177096205</v>
      </c>
      <c r="AN6" s="105">
        <v>23.328753746761301</v>
      </c>
      <c r="AO6" s="105">
        <v>20.791845562762301</v>
      </c>
      <c r="AP6" s="106">
        <v>2.5266524074569698</v>
      </c>
    </row>
    <row r="7" spans="1:42" s="4" customFormat="1" ht="12.95">
      <c r="A7" s="104" t="s">
        <v>26</v>
      </c>
      <c r="B7" s="122" t="s">
        <v>24</v>
      </c>
      <c r="C7" s="122" t="s">
        <v>25</v>
      </c>
      <c r="D7" s="105">
        <v>24.848803848507401</v>
      </c>
      <c r="E7" s="106">
        <v>3.01768466633591</v>
      </c>
      <c r="F7" s="106">
        <v>1.56128230343699</v>
      </c>
      <c r="G7" s="105">
        <v>13.138337498322899</v>
      </c>
      <c r="H7" s="106">
        <v>2.6747912853208198</v>
      </c>
      <c r="I7" s="106">
        <v>2.3004618157680499</v>
      </c>
      <c r="J7" s="106">
        <v>2.04970823630484</v>
      </c>
      <c r="K7" s="105">
        <v>10.838486068157801</v>
      </c>
      <c r="L7" s="105">
        <v>52.3581138083631</v>
      </c>
      <c r="M7" s="105">
        <v>18.843327935636701</v>
      </c>
      <c r="N7" s="110">
        <v>139.069133257544</v>
      </c>
      <c r="O7" s="110">
        <v>355.60977880039002</v>
      </c>
      <c r="P7" s="106">
        <v>5.1514197729553199</v>
      </c>
      <c r="Q7" s="110">
        <v>145.681381286815</v>
      </c>
      <c r="R7" s="106">
        <v>3.8395286458476998</v>
      </c>
      <c r="S7" s="106">
        <v>2.4362683090174801</v>
      </c>
      <c r="T7" s="106">
        <v>2.4804967442031902</v>
      </c>
      <c r="U7" s="110">
        <v>1376.5368466679499</v>
      </c>
      <c r="V7" s="105">
        <v>41.666456483687803</v>
      </c>
      <c r="W7" s="105">
        <v>64.791285032563906</v>
      </c>
      <c r="X7" s="106">
        <v>6.0147772437209799</v>
      </c>
      <c r="Y7" s="105">
        <v>18.4612615368452</v>
      </c>
      <c r="Z7" s="106">
        <v>2.3968513204397399</v>
      </c>
      <c r="AA7" s="106">
        <v>0.64142167871354705</v>
      </c>
      <c r="AB7" s="106">
        <v>1.3059215456206601</v>
      </c>
      <c r="AC7" s="106">
        <v>0.195264119559899</v>
      </c>
      <c r="AD7" s="106">
        <v>0.93499253178590203</v>
      </c>
      <c r="AE7" s="106">
        <v>0.16921109156846101</v>
      </c>
      <c r="AF7" s="106">
        <v>0.46678118540691299</v>
      </c>
      <c r="AG7" s="71">
        <v>5.8088824755424803E-2</v>
      </c>
      <c r="AH7" s="106">
        <v>0.41311209371930202</v>
      </c>
      <c r="AI7" s="71">
        <v>6.0728932684262799E-2</v>
      </c>
      <c r="AJ7" s="106">
        <v>3.4251073232738301</v>
      </c>
      <c r="AK7" s="106">
        <v>0.37806552138722899</v>
      </c>
      <c r="AL7" s="112">
        <v>1.8657356056733101</v>
      </c>
      <c r="AM7" s="106">
        <v>0.64244935842934003</v>
      </c>
      <c r="AN7" s="105">
        <v>28.0392622746553</v>
      </c>
      <c r="AO7" s="105">
        <v>17.9725103176043</v>
      </c>
      <c r="AP7" s="106">
        <v>3.6281589589287999</v>
      </c>
    </row>
    <row r="8" spans="1:42" s="4" customFormat="1" ht="12.95">
      <c r="A8" s="104" t="s">
        <v>27</v>
      </c>
      <c r="B8" s="122" t="s">
        <v>28</v>
      </c>
      <c r="C8" s="122" t="s">
        <v>25</v>
      </c>
      <c r="D8" s="106">
        <v>9.0345710524478999</v>
      </c>
      <c r="E8" s="106">
        <v>3.87332259870271</v>
      </c>
      <c r="F8" s="106">
        <v>2.3675981685193701</v>
      </c>
      <c r="G8" s="106">
        <v>4.48849466442846</v>
      </c>
      <c r="H8" s="106">
        <v>2.1008037189069402</v>
      </c>
      <c r="I8" s="106">
        <v>1.09322906309484</v>
      </c>
      <c r="J8" s="106">
        <v>1.5365958353128299</v>
      </c>
      <c r="K8" s="106">
        <v>1.17735553126352</v>
      </c>
      <c r="L8" s="105">
        <v>23.3646389852101</v>
      </c>
      <c r="M8" s="105">
        <v>19.3634747452497</v>
      </c>
      <c r="N8" s="110">
        <v>234.66166429884001</v>
      </c>
      <c r="O8" s="105">
        <v>67.309363406678301</v>
      </c>
      <c r="P8" s="105">
        <v>29.058407457354399</v>
      </c>
      <c r="Q8" s="110">
        <v>113.37398781752</v>
      </c>
      <c r="R8" s="105">
        <v>14.333949336994101</v>
      </c>
      <c r="S8" s="106">
        <v>6.2005060497890501</v>
      </c>
      <c r="T8" s="106">
        <v>0.856138649901239</v>
      </c>
      <c r="U8" s="110">
        <v>509.42419725696402</v>
      </c>
      <c r="V8" s="105">
        <v>54.464503137922101</v>
      </c>
      <c r="W8" s="105">
        <v>90.261036042452702</v>
      </c>
      <c r="X8" s="106">
        <v>8.9885515231573105</v>
      </c>
      <c r="Y8" s="105">
        <v>28.813892357720999</v>
      </c>
      <c r="Z8" s="106">
        <v>5.3486731773317704</v>
      </c>
      <c r="AA8" s="106">
        <v>0.46630413482833399</v>
      </c>
      <c r="AB8" s="106">
        <v>4.3967666259163201</v>
      </c>
      <c r="AC8" s="106">
        <v>0.77745097621891102</v>
      </c>
      <c r="AD8" s="106">
        <v>4.5046852361263596</v>
      </c>
      <c r="AE8" s="106">
        <v>0.89060111905022099</v>
      </c>
      <c r="AF8" s="106">
        <v>2.51645446357466</v>
      </c>
      <c r="AG8" s="106">
        <v>0.361790403239727</v>
      </c>
      <c r="AH8" s="106">
        <v>2.5660239499974602</v>
      </c>
      <c r="AI8" s="106">
        <v>0.40019341130974101</v>
      </c>
      <c r="AJ8" s="106">
        <v>3.8978741599724498</v>
      </c>
      <c r="AK8" s="106">
        <v>2.1777670166716501</v>
      </c>
      <c r="AL8" s="112">
        <v>0.77508597335170804</v>
      </c>
      <c r="AM8" s="106">
        <v>0.81218588758408095</v>
      </c>
      <c r="AN8" s="105">
        <v>53.759810330099398</v>
      </c>
      <c r="AO8" s="105">
        <v>52.9555787249368</v>
      </c>
      <c r="AP8" s="106">
        <v>5.9764204033958404</v>
      </c>
    </row>
    <row r="9" spans="1:42" s="4" customFormat="1" ht="12.95">
      <c r="A9" s="104" t="s">
        <v>29</v>
      </c>
      <c r="B9" s="122" t="s">
        <v>30</v>
      </c>
      <c r="C9" s="122" t="s">
        <v>31</v>
      </c>
      <c r="D9" s="105">
        <v>68.594279218799301</v>
      </c>
      <c r="E9" s="105">
        <v>16.539270212547301</v>
      </c>
      <c r="F9" s="106">
        <v>3.5314428479034201</v>
      </c>
      <c r="G9" s="106">
        <v>9.3632660851432394</v>
      </c>
      <c r="H9" s="110">
        <v>504.49768171063801</v>
      </c>
      <c r="I9" s="105">
        <v>53.933269437743697</v>
      </c>
      <c r="J9" s="110">
        <v>914.94032792639803</v>
      </c>
      <c r="K9" s="106">
        <v>1.40775495422172</v>
      </c>
      <c r="L9" s="110">
        <v>188.11182988008699</v>
      </c>
      <c r="M9" s="106">
        <v>5.7720520578776604</v>
      </c>
      <c r="N9" s="110">
        <v>150.70686203594499</v>
      </c>
      <c r="O9" s="105">
        <v>12.1181880812907</v>
      </c>
      <c r="P9" s="105">
        <v>13.0717548640992</v>
      </c>
      <c r="Q9" s="105">
        <v>70.486418355716395</v>
      </c>
      <c r="R9" s="106">
        <v>1.46574402590427</v>
      </c>
      <c r="S9" s="106">
        <v>3.5714747323067302</v>
      </c>
      <c r="T9" s="106">
        <v>4.3262325143701297</v>
      </c>
      <c r="U9" s="105">
        <v>19.913220892019101</v>
      </c>
      <c r="V9" s="106">
        <v>3.9730674421372298</v>
      </c>
      <c r="W9" s="106">
        <v>2.5793835731221399</v>
      </c>
      <c r="X9" s="106">
        <v>1.1253390031941699</v>
      </c>
      <c r="Y9" s="106">
        <v>4.6175291118074702</v>
      </c>
      <c r="Z9" s="106">
        <v>1.4494230040253899</v>
      </c>
      <c r="AA9" s="106">
        <v>0.178384608449115</v>
      </c>
      <c r="AB9" s="106">
        <v>1.46988798283329</v>
      </c>
      <c r="AC9" s="106">
        <v>0.282046499815646</v>
      </c>
      <c r="AD9" s="106">
        <v>1.8719145046707799</v>
      </c>
      <c r="AE9" s="106">
        <v>0.404343220077992</v>
      </c>
      <c r="AF9" s="106">
        <v>1.16582238684488</v>
      </c>
      <c r="AG9" s="106">
        <v>0.19033446306298099</v>
      </c>
      <c r="AH9" s="106">
        <v>1.60697304292137</v>
      </c>
      <c r="AI9" s="106">
        <v>0.26198405802702601</v>
      </c>
      <c r="AJ9" s="106">
        <v>1.95161816106342</v>
      </c>
      <c r="AK9" s="106">
        <v>0.757303972785905</v>
      </c>
      <c r="AL9" s="114">
        <v>4.8291146809665099E-2</v>
      </c>
      <c r="AM9" s="106">
        <v>0.59236374128852598</v>
      </c>
      <c r="AN9" s="106">
        <v>2.5631755984181099</v>
      </c>
      <c r="AO9" s="106">
        <v>0.52492380088107604</v>
      </c>
      <c r="AP9" s="106">
        <v>0.23907471410959999</v>
      </c>
    </row>
    <row r="10" spans="1:42" s="4" customFormat="1" ht="12.95">
      <c r="A10" s="104" t="s">
        <v>32</v>
      </c>
      <c r="B10" s="122" t="s">
        <v>30</v>
      </c>
      <c r="C10" s="122" t="s">
        <v>85</v>
      </c>
      <c r="D10" s="105">
        <v>12.177961449759501</v>
      </c>
      <c r="E10" s="105">
        <v>14.8603130144228</v>
      </c>
      <c r="F10" s="106">
        <v>1.3552370514333301</v>
      </c>
      <c r="G10" s="106">
        <v>5.9233916604156898</v>
      </c>
      <c r="H10" s="106">
        <v>3.14805514066739</v>
      </c>
      <c r="I10" s="106">
        <v>1.7573505885321501</v>
      </c>
      <c r="J10" s="106">
        <v>6.4472649788353902</v>
      </c>
      <c r="K10" s="106">
        <v>0.54609011545417796</v>
      </c>
      <c r="L10" s="105">
        <v>25.495253222698299</v>
      </c>
      <c r="M10" s="105">
        <v>21.479879472290801</v>
      </c>
      <c r="N10" s="110">
        <v>216.13745332664701</v>
      </c>
      <c r="O10" s="105">
        <v>82.218198651190605</v>
      </c>
      <c r="P10" s="106">
        <v>9.5022378233171008</v>
      </c>
      <c r="Q10" s="105">
        <v>69.750457149169193</v>
      </c>
      <c r="R10" s="106">
        <v>7.1703198125850296</v>
      </c>
      <c r="S10" s="105">
        <v>28.472272535999501</v>
      </c>
      <c r="T10" s="106">
        <v>1.4380462464030499</v>
      </c>
      <c r="U10" s="110">
        <v>1010.4666151991501</v>
      </c>
      <c r="V10" s="106">
        <v>9.1216599231874298</v>
      </c>
      <c r="W10" s="105">
        <v>20.181798397673099</v>
      </c>
      <c r="X10" s="106">
        <v>1.6097467730763999</v>
      </c>
      <c r="Y10" s="106">
        <v>5.2684440591249002</v>
      </c>
      <c r="Z10" s="106">
        <v>1.07976359849144</v>
      </c>
      <c r="AA10" s="106">
        <v>0.32141902463571997</v>
      </c>
      <c r="AB10" s="106">
        <v>1.0106052684305999</v>
      </c>
      <c r="AC10" s="106">
        <v>0.200949559631385</v>
      </c>
      <c r="AD10" s="106">
        <v>1.24422447289088</v>
      </c>
      <c r="AE10" s="106">
        <v>0.25192676208966902</v>
      </c>
      <c r="AF10" s="106">
        <v>0.79873775668090496</v>
      </c>
      <c r="AG10" s="106">
        <v>0.14516585805076801</v>
      </c>
      <c r="AH10" s="106">
        <v>1.17194028465807</v>
      </c>
      <c r="AI10" s="106">
        <v>0.19662651440564299</v>
      </c>
      <c r="AJ10" s="106">
        <v>2.1134576605782698</v>
      </c>
      <c r="AK10" s="106">
        <v>2.7206376992199499</v>
      </c>
      <c r="AL10" s="112">
        <v>5.9398094149004104</v>
      </c>
      <c r="AM10" s="106">
        <v>0.53430770076950795</v>
      </c>
      <c r="AN10" s="106">
        <v>9.8992508623368494</v>
      </c>
      <c r="AO10" s="105">
        <v>10.0266570740164</v>
      </c>
      <c r="AP10" s="106">
        <v>1.9623999454070999</v>
      </c>
    </row>
    <row r="11" spans="1:42" s="4" customFormat="1" ht="12.95">
      <c r="A11" s="104" t="s">
        <v>34</v>
      </c>
      <c r="B11" s="122" t="s">
        <v>30</v>
      </c>
      <c r="C11" s="122" t="s">
        <v>86</v>
      </c>
      <c r="D11" s="106">
        <v>1.15447637012838</v>
      </c>
      <c r="E11" s="106">
        <v>5.1802673004376096</v>
      </c>
      <c r="F11" s="106">
        <v>1.0157935705746799</v>
      </c>
      <c r="G11" s="106">
        <v>2.0889454457481</v>
      </c>
      <c r="H11" s="106">
        <v>0.64168117488131204</v>
      </c>
      <c r="I11" s="106">
        <v>0.287499428430112</v>
      </c>
      <c r="J11" s="106">
        <v>0.46278745135863297</v>
      </c>
      <c r="K11" s="106">
        <v>6.3573007234051504</v>
      </c>
      <c r="L11" s="106">
        <v>2.2727706080720198</v>
      </c>
      <c r="M11" s="105">
        <v>23.626329456145999</v>
      </c>
      <c r="N11" s="110">
        <v>165.42011420077401</v>
      </c>
      <c r="O11" s="105">
        <v>53.583784261845501</v>
      </c>
      <c r="P11" s="105">
        <v>76.811840370898807</v>
      </c>
      <c r="Q11" s="105">
        <v>20.834268900542099</v>
      </c>
      <c r="R11" s="105">
        <v>36.247453897944403</v>
      </c>
      <c r="S11" s="106">
        <v>1.3394699608279701</v>
      </c>
      <c r="T11" s="106">
        <v>0.43438788276635498</v>
      </c>
      <c r="U11" s="110">
        <v>172.98204887060999</v>
      </c>
      <c r="V11" s="106">
        <v>4.2213179950292403</v>
      </c>
      <c r="W11" s="106">
        <v>6.3561317205919599</v>
      </c>
      <c r="X11" s="106">
        <v>0.75952543076122603</v>
      </c>
      <c r="Y11" s="106">
        <v>3.3602740454755202</v>
      </c>
      <c r="Z11" s="106">
        <v>1.80023680690147</v>
      </c>
      <c r="AA11" s="106">
        <v>0.29496335587213901</v>
      </c>
      <c r="AB11" s="106">
        <v>3.9291967847325302</v>
      </c>
      <c r="AC11" s="106">
        <v>1.0567014426858199</v>
      </c>
      <c r="AD11" s="106">
        <v>9.14268147335547</v>
      </c>
      <c r="AE11" s="106">
        <v>2.2911355615200999</v>
      </c>
      <c r="AF11" s="106">
        <v>7.2556324881994003</v>
      </c>
      <c r="AG11" s="106">
        <v>1.2269497161555101</v>
      </c>
      <c r="AH11" s="106">
        <v>8.8218186660381601</v>
      </c>
      <c r="AI11" s="106">
        <v>1.3430211688039899</v>
      </c>
      <c r="AJ11" s="106">
        <v>2.1550492059185999</v>
      </c>
      <c r="AK11" s="105">
        <v>11.552100464049801</v>
      </c>
      <c r="AL11" s="112">
        <v>1.01598975400583</v>
      </c>
      <c r="AM11" s="106">
        <v>0.50425231877846699</v>
      </c>
      <c r="AN11" s="105">
        <v>11.199859719085699</v>
      </c>
      <c r="AO11" s="106">
        <v>8.2434572186488406</v>
      </c>
      <c r="AP11" s="106">
        <v>4.16092596930471</v>
      </c>
    </row>
    <row r="12" spans="1:42" s="4" customFormat="1" ht="12.95">
      <c r="A12" s="104" t="s">
        <v>36</v>
      </c>
      <c r="B12" s="122" t="s">
        <v>37</v>
      </c>
      <c r="C12" s="122" t="s">
        <v>20</v>
      </c>
      <c r="D12" s="105">
        <v>17.432798428673902</v>
      </c>
      <c r="E12" s="106">
        <v>2.8485463207785702</v>
      </c>
      <c r="F12" s="106">
        <v>1.7593512629186701</v>
      </c>
      <c r="G12" s="105">
        <v>17.557028117495499</v>
      </c>
      <c r="H12" s="106">
        <v>8.4372205760765109</v>
      </c>
      <c r="I12" s="106">
        <v>6.2061853894832897</v>
      </c>
      <c r="J12" s="105">
        <v>11.501281391554</v>
      </c>
      <c r="K12" s="106">
        <v>1.7952892431940299</v>
      </c>
      <c r="L12" s="105">
        <v>40.477968841167197</v>
      </c>
      <c r="M12" s="105">
        <v>16.3722698496147</v>
      </c>
      <c r="N12" s="110">
        <v>141.95159087959499</v>
      </c>
      <c r="O12" s="110">
        <v>162.59474186522201</v>
      </c>
      <c r="P12" s="106">
        <v>7.4300453561656701</v>
      </c>
      <c r="Q12" s="110">
        <v>173.51137991155099</v>
      </c>
      <c r="R12" s="106">
        <v>4.4821538501363403</v>
      </c>
      <c r="S12" s="106">
        <v>2.2951538312057398</v>
      </c>
      <c r="T12" s="106">
        <v>1.93358135346135</v>
      </c>
      <c r="U12" s="110">
        <v>550.60223709003003</v>
      </c>
      <c r="V12" s="105">
        <v>27.578607343154001</v>
      </c>
      <c r="W12" s="105">
        <v>39.575346251596997</v>
      </c>
      <c r="X12" s="106">
        <v>3.8093627692948799</v>
      </c>
      <c r="Y12" s="105">
        <v>12.813257858011101</v>
      </c>
      <c r="Z12" s="106">
        <v>1.7990118693869199</v>
      </c>
      <c r="AA12" s="106">
        <v>0.67479346710780297</v>
      </c>
      <c r="AB12" s="106">
        <v>1.15129369481656</v>
      </c>
      <c r="AC12" s="106">
        <v>0.185400625610735</v>
      </c>
      <c r="AD12" s="106">
        <v>1.0018392012481701</v>
      </c>
      <c r="AE12" s="106">
        <v>0.220824137545723</v>
      </c>
      <c r="AF12" s="106">
        <v>0.63211764807354098</v>
      </c>
      <c r="AG12" s="71">
        <v>9.1014167864609696E-2</v>
      </c>
      <c r="AH12" s="106">
        <v>0.70451731523635797</v>
      </c>
      <c r="AI12" s="106">
        <v>0.113930800850228</v>
      </c>
      <c r="AJ12" s="106">
        <v>4.1524997891898998</v>
      </c>
      <c r="AK12" s="106">
        <v>0.26729282092421203</v>
      </c>
      <c r="AL12" s="112">
        <v>1.4873234391439401</v>
      </c>
      <c r="AM12" s="106">
        <v>0.40677457063610201</v>
      </c>
      <c r="AN12" s="105">
        <v>11.4642781600442</v>
      </c>
      <c r="AO12" s="106">
        <v>3.0596774903461199</v>
      </c>
      <c r="AP12" s="106">
        <v>0.67290946955181197</v>
      </c>
    </row>
    <row r="13" spans="1:42" s="4" customFormat="1" ht="12.95">
      <c r="A13" s="104" t="s">
        <v>38</v>
      </c>
      <c r="B13" s="122" t="s">
        <v>37</v>
      </c>
      <c r="C13" s="122" t="s">
        <v>20</v>
      </c>
      <c r="D13" s="105">
        <v>17.548634606205201</v>
      </c>
      <c r="E13" s="106">
        <v>2.73604964356521</v>
      </c>
      <c r="F13" s="106">
        <v>1.7313154373170501</v>
      </c>
      <c r="G13" s="105">
        <v>18.9000594496502</v>
      </c>
      <c r="H13" s="106">
        <v>9.0800336313649801</v>
      </c>
      <c r="I13" s="106">
        <v>6.4091858985478796</v>
      </c>
      <c r="J13" s="105">
        <v>10.219827640040601</v>
      </c>
      <c r="K13" s="106">
        <v>4.2537233207821403</v>
      </c>
      <c r="L13" s="105">
        <v>40.868613798625397</v>
      </c>
      <c r="M13" s="105">
        <v>17.106117311465901</v>
      </c>
      <c r="N13" s="110">
        <v>161.96987341856001</v>
      </c>
      <c r="O13" s="110">
        <v>145.22678790572701</v>
      </c>
      <c r="P13" s="106">
        <v>6.8773141886057596</v>
      </c>
      <c r="Q13" s="110">
        <v>165.319578194998</v>
      </c>
      <c r="R13" s="106">
        <v>4.6763768059712696</v>
      </c>
      <c r="S13" s="106">
        <v>1.4016333709934199</v>
      </c>
      <c r="T13" s="106">
        <v>2.11158833343926</v>
      </c>
      <c r="U13" s="110">
        <v>666.02898711303703</v>
      </c>
      <c r="V13" s="105">
        <v>23.0526311700633</v>
      </c>
      <c r="W13" s="105">
        <v>44.015157379782103</v>
      </c>
      <c r="X13" s="106">
        <v>3.6434599372434602</v>
      </c>
      <c r="Y13" s="105">
        <v>11.9501167565441</v>
      </c>
      <c r="Z13" s="106">
        <v>1.73271563690597</v>
      </c>
      <c r="AA13" s="106">
        <v>0.68606650019117699</v>
      </c>
      <c r="AB13" s="106">
        <v>1.3328158831983199</v>
      </c>
      <c r="AC13" s="106">
        <v>0.18086465156767301</v>
      </c>
      <c r="AD13" s="106">
        <v>1.09304748815708</v>
      </c>
      <c r="AE13" s="106">
        <v>0.20433661898812799</v>
      </c>
      <c r="AF13" s="106">
        <v>0.62131440897562595</v>
      </c>
      <c r="AG13" s="71">
        <v>9.0091490639632801E-2</v>
      </c>
      <c r="AH13" s="106">
        <v>0.59375757582515898</v>
      </c>
      <c r="AI13" s="71">
        <v>9.8310237964061298E-2</v>
      </c>
      <c r="AJ13" s="106">
        <v>3.88182954964627</v>
      </c>
      <c r="AK13" s="106">
        <v>0.15538542026508601</v>
      </c>
      <c r="AL13" s="112">
        <v>2.0133801513867802</v>
      </c>
      <c r="AM13" s="106">
        <v>0.41801806913404499</v>
      </c>
      <c r="AN13" s="106">
        <v>7.7607444655542199</v>
      </c>
      <c r="AO13" s="106">
        <v>3.2292317611654302</v>
      </c>
      <c r="AP13" s="106">
        <v>0.62626839525512001</v>
      </c>
    </row>
    <row r="14" spans="1:42" s="4" customFormat="1" ht="12.95">
      <c r="A14" s="104" t="s">
        <v>39</v>
      </c>
      <c r="B14" s="122" t="s">
        <v>40</v>
      </c>
      <c r="C14" s="122" t="s">
        <v>20</v>
      </c>
      <c r="D14" s="105">
        <v>60.244150100389902</v>
      </c>
      <c r="E14" s="106">
        <v>2.5389148036354499</v>
      </c>
      <c r="F14" s="106">
        <v>2.8374630235868801</v>
      </c>
      <c r="G14" s="105">
        <v>21.007552789831401</v>
      </c>
      <c r="H14" s="106">
        <v>1.6923616486228401</v>
      </c>
      <c r="I14" s="106">
        <v>4.7093331352384897</v>
      </c>
      <c r="J14" s="106">
        <v>2.7129799506051002</v>
      </c>
      <c r="K14" s="106">
        <v>2.7634188181898001</v>
      </c>
      <c r="L14" s="105">
        <v>68.1813369496425</v>
      </c>
      <c r="M14" s="105">
        <v>19.862995356986801</v>
      </c>
      <c r="N14" s="110">
        <v>204.925993737977</v>
      </c>
      <c r="O14" s="110">
        <v>384.71449970741401</v>
      </c>
      <c r="P14" s="105">
        <v>10.055443185023799</v>
      </c>
      <c r="Q14" s="110">
        <v>159.37016445250401</v>
      </c>
      <c r="R14" s="106">
        <v>6.3327884204996696</v>
      </c>
      <c r="S14" s="106">
        <v>2.0550187539741702</v>
      </c>
      <c r="T14" s="106">
        <v>6.4053331097926902</v>
      </c>
      <c r="U14" s="110">
        <v>382.329287849715</v>
      </c>
      <c r="V14" s="105">
        <v>35.428192982051101</v>
      </c>
      <c r="W14" s="105">
        <v>53.455558031564998</v>
      </c>
      <c r="X14" s="106">
        <v>5.8661410974337498</v>
      </c>
      <c r="Y14" s="105">
        <v>19.020058748397702</v>
      </c>
      <c r="Z14" s="106">
        <v>2.9428129746899598</v>
      </c>
      <c r="AA14" s="106">
        <v>0.73432224325571904</v>
      </c>
      <c r="AB14" s="106">
        <v>2.2099538884257601</v>
      </c>
      <c r="AC14" s="106">
        <v>0.32747961104906098</v>
      </c>
      <c r="AD14" s="106">
        <v>1.6308554231790999</v>
      </c>
      <c r="AE14" s="106">
        <v>0.307700132916226</v>
      </c>
      <c r="AF14" s="106">
        <v>0.83945351890434905</v>
      </c>
      <c r="AG14" s="71">
        <v>9.9894113607054205E-2</v>
      </c>
      <c r="AH14" s="106">
        <v>0.68287904760722695</v>
      </c>
      <c r="AI14" s="106">
        <v>0.102773027272721</v>
      </c>
      <c r="AJ14" s="106">
        <v>3.9917711770164801</v>
      </c>
      <c r="AK14" s="106">
        <v>0.20806701008078499</v>
      </c>
      <c r="AL14" s="112">
        <v>0.77458228079301905</v>
      </c>
      <c r="AM14" s="106">
        <v>0.89036361118604901</v>
      </c>
      <c r="AN14" s="105">
        <v>14.2733504887505</v>
      </c>
      <c r="AO14" s="105">
        <v>10.7006561931899</v>
      </c>
      <c r="AP14" s="106">
        <v>0.81604006573717203</v>
      </c>
    </row>
    <row r="15" spans="1:42" s="4" customFormat="1" ht="12.95">
      <c r="A15" s="104" t="s">
        <v>41</v>
      </c>
      <c r="B15" s="122" t="s">
        <v>40</v>
      </c>
      <c r="C15" s="122" t="s">
        <v>20</v>
      </c>
      <c r="D15" s="105">
        <v>33.608649401433603</v>
      </c>
      <c r="E15" s="106">
        <v>2.3561451744144599</v>
      </c>
      <c r="F15" s="106">
        <v>1.84865144139852</v>
      </c>
      <c r="G15" s="105">
        <v>20.7429813347654</v>
      </c>
      <c r="H15" s="106">
        <v>4.8372611933192804</v>
      </c>
      <c r="I15" s="106">
        <v>3.9738800836567099</v>
      </c>
      <c r="J15" s="106">
        <v>3.8483836454703599</v>
      </c>
      <c r="K15" s="106">
        <v>9.3786827640495005</v>
      </c>
      <c r="L15" s="105">
        <v>45.591211723199898</v>
      </c>
      <c r="M15" s="105">
        <v>16.809138647693601</v>
      </c>
      <c r="N15" s="110">
        <v>130.336632840959</v>
      </c>
      <c r="O15" s="110">
        <v>463.19966204719299</v>
      </c>
      <c r="P15" s="106">
        <v>3.89405192112054</v>
      </c>
      <c r="Q15" s="110">
        <v>201.65773667572901</v>
      </c>
      <c r="R15" s="106">
        <v>5.6351263138567003</v>
      </c>
      <c r="S15" s="106">
        <v>1.96569578056932</v>
      </c>
      <c r="T15" s="106">
        <v>2.7126069974762399</v>
      </c>
      <c r="U15" s="110">
        <v>1534.49061030238</v>
      </c>
      <c r="V15" s="105">
        <v>47.019882030487999</v>
      </c>
      <c r="W15" s="105">
        <v>71.243838312742795</v>
      </c>
      <c r="X15" s="106">
        <v>6.6094467725944499</v>
      </c>
      <c r="Y15" s="105">
        <v>20.185930844506199</v>
      </c>
      <c r="Z15" s="106">
        <v>2.5723319155994</v>
      </c>
      <c r="AA15" s="106">
        <v>0.88596266925346501</v>
      </c>
      <c r="AB15" s="106">
        <v>1.35622065435657</v>
      </c>
      <c r="AC15" s="106">
        <v>0.16749118191516099</v>
      </c>
      <c r="AD15" s="106">
        <v>0.75846575051593601</v>
      </c>
      <c r="AE15" s="106">
        <v>0.13815555148185599</v>
      </c>
      <c r="AF15" s="106">
        <v>0.32993466896029999</v>
      </c>
      <c r="AG15" s="71">
        <v>3.6789883562276103E-2</v>
      </c>
      <c r="AH15" s="106">
        <v>0.254609394028462</v>
      </c>
      <c r="AI15" s="71">
        <v>4.3515179476893498E-2</v>
      </c>
      <c r="AJ15" s="106">
        <v>4.5604770634341101</v>
      </c>
      <c r="AK15" s="106">
        <v>0.52196576382203697</v>
      </c>
      <c r="AL15" s="112">
        <v>0.265323464420953</v>
      </c>
      <c r="AM15" s="106">
        <v>0.57971525152677095</v>
      </c>
      <c r="AN15" s="105">
        <v>22.271442597646999</v>
      </c>
      <c r="AO15" s="105">
        <v>13.3644100581853</v>
      </c>
      <c r="AP15" s="106">
        <v>1.30053091885451</v>
      </c>
    </row>
    <row r="16" spans="1:42" s="4" customFormat="1" ht="12.95">
      <c r="A16" s="104" t="s">
        <v>42</v>
      </c>
      <c r="B16" s="136" t="s">
        <v>43</v>
      </c>
      <c r="C16" s="122" t="s">
        <v>20</v>
      </c>
      <c r="D16" s="105">
        <v>29.6057479847263</v>
      </c>
      <c r="E16" s="106">
        <v>2.2868361336965499</v>
      </c>
      <c r="F16" s="106">
        <v>1.50237186284286</v>
      </c>
      <c r="G16" s="105">
        <v>16.6791771748805</v>
      </c>
      <c r="H16" s="106">
        <v>3.3177694898113099</v>
      </c>
      <c r="I16" s="106">
        <v>2.9704413272536501</v>
      </c>
      <c r="J16" s="106">
        <v>2.2259398516889899</v>
      </c>
      <c r="K16" s="106">
        <v>3.2389262873591398</v>
      </c>
      <c r="L16" s="105">
        <v>48.497634300635703</v>
      </c>
      <c r="M16" s="105">
        <v>17.494613505997599</v>
      </c>
      <c r="N16" s="110">
        <v>107.335684883677</v>
      </c>
      <c r="O16" s="110">
        <v>533.272674971946</v>
      </c>
      <c r="P16" s="106">
        <v>5.8442844158166896</v>
      </c>
      <c r="Q16" s="110">
        <v>232.61205720280699</v>
      </c>
      <c r="R16" s="106">
        <v>3.5813033883111798</v>
      </c>
      <c r="S16" s="106">
        <v>1.8498650696929599</v>
      </c>
      <c r="T16" s="106">
        <v>1.26730990414467</v>
      </c>
      <c r="U16" s="110">
        <v>2363.9879185017098</v>
      </c>
      <c r="V16" s="110">
        <v>105.14341121814</v>
      </c>
      <c r="W16" s="110">
        <v>170.90734773391</v>
      </c>
      <c r="X16" s="105">
        <v>16.610453343700001</v>
      </c>
      <c r="Y16" s="105">
        <v>50.5857302884109</v>
      </c>
      <c r="Z16" s="106">
        <v>6.1989154699179103</v>
      </c>
      <c r="AA16" s="106">
        <v>1.36003588453115</v>
      </c>
      <c r="AB16" s="106">
        <v>2.6075457971472602</v>
      </c>
      <c r="AC16" s="106">
        <v>0.30985481356792399</v>
      </c>
      <c r="AD16" s="106">
        <v>1.2120506138554199</v>
      </c>
      <c r="AE16" s="106">
        <v>0.19153325130982499</v>
      </c>
      <c r="AF16" s="106">
        <v>0.44034112901022199</v>
      </c>
      <c r="AG16" s="71">
        <v>5.8772854394171598E-2</v>
      </c>
      <c r="AH16" s="106">
        <v>0.37641175327724902</v>
      </c>
      <c r="AI16" s="71">
        <v>5.6944477471216698E-2</v>
      </c>
      <c r="AJ16" s="106">
        <v>5.4315842474796598</v>
      </c>
      <c r="AK16" s="106">
        <v>0.10307253292544299</v>
      </c>
      <c r="AL16" s="112">
        <v>0.76032128980188896</v>
      </c>
      <c r="AM16" s="106">
        <v>0.47529675466174698</v>
      </c>
      <c r="AN16" s="105">
        <v>29.4219879662941</v>
      </c>
      <c r="AO16" s="105">
        <v>42.432732153760398</v>
      </c>
      <c r="AP16" s="106">
        <v>3.09377370403715</v>
      </c>
    </row>
    <row r="17" spans="1:42" s="4" customFormat="1" ht="12.95">
      <c r="A17" s="104" t="s">
        <v>87</v>
      </c>
      <c r="B17" s="122" t="s">
        <v>24</v>
      </c>
      <c r="C17" s="122" t="s">
        <v>25</v>
      </c>
      <c r="D17" s="105">
        <v>25.673613439735501</v>
      </c>
      <c r="E17" s="106">
        <v>3.0314013029780198</v>
      </c>
      <c r="F17" s="106">
        <v>1.4775979662710801</v>
      </c>
      <c r="G17" s="105">
        <v>12.8551517583545</v>
      </c>
      <c r="H17" s="106">
        <v>2.6687554937543299</v>
      </c>
      <c r="I17" s="106">
        <v>2.1045152378366399</v>
      </c>
      <c r="J17" s="106">
        <v>2.1011339478661601</v>
      </c>
      <c r="K17" s="105">
        <v>11.5926335605691</v>
      </c>
      <c r="L17" s="105">
        <v>51.757646093330898</v>
      </c>
      <c r="M17" s="105">
        <v>19.554294198568801</v>
      </c>
      <c r="N17" s="110">
        <v>144.15544026495999</v>
      </c>
      <c r="O17" s="110">
        <v>364.39292131856502</v>
      </c>
      <c r="P17" s="106">
        <v>5.1397696923815399</v>
      </c>
      <c r="Q17" s="110">
        <v>149.43142099613999</v>
      </c>
      <c r="R17" s="106">
        <v>3.8823037319967999</v>
      </c>
      <c r="S17" s="106">
        <v>2.3730117975304998</v>
      </c>
      <c r="T17" s="106">
        <v>2.5903854687825101</v>
      </c>
      <c r="U17" s="110">
        <v>1386.9985129164199</v>
      </c>
      <c r="V17" s="105">
        <v>40.790696893764903</v>
      </c>
      <c r="W17" s="105">
        <v>64.562566925857098</v>
      </c>
      <c r="X17" s="106">
        <v>5.9861111228758297</v>
      </c>
      <c r="Y17" s="105">
        <v>18.5962682631795</v>
      </c>
      <c r="Z17" s="106">
        <v>2.4306910568209101</v>
      </c>
      <c r="AA17" s="106">
        <v>0.66318538258791104</v>
      </c>
      <c r="AB17" s="106">
        <v>1.3247476171352599</v>
      </c>
      <c r="AC17" s="106">
        <v>0.187747305192591</v>
      </c>
      <c r="AD17" s="106">
        <v>0.94318794674583994</v>
      </c>
      <c r="AE17" s="106">
        <v>0.16539060473607201</v>
      </c>
      <c r="AF17" s="106">
        <v>0.47724328047324699</v>
      </c>
      <c r="AG17" s="71">
        <v>6.2309893678335997E-2</v>
      </c>
      <c r="AH17" s="106">
        <v>0.42340545384043399</v>
      </c>
      <c r="AI17" s="71">
        <v>6.3089882796733401E-2</v>
      </c>
      <c r="AJ17" s="106">
        <v>3.6178614557928301</v>
      </c>
      <c r="AK17" s="106">
        <v>0.38901551336423101</v>
      </c>
      <c r="AL17" s="112">
        <v>2.0923876255479801</v>
      </c>
      <c r="AM17" s="106">
        <v>0.70217627788891701</v>
      </c>
      <c r="AN17" s="105">
        <v>30.003716985377402</v>
      </c>
      <c r="AO17" s="105">
        <v>16.5700041935802</v>
      </c>
      <c r="AP17" s="106">
        <v>3.6083691017938699</v>
      </c>
    </row>
    <row r="18" spans="1:42" s="4" customFormat="1" ht="12.95">
      <c r="A18" s="107" t="s">
        <v>88</v>
      </c>
      <c r="B18" s="137" t="s">
        <v>43</v>
      </c>
      <c r="C18" s="125" t="s">
        <v>20</v>
      </c>
      <c r="D18" s="108">
        <v>30.720074476126701</v>
      </c>
      <c r="E18" s="109">
        <v>2.3635631920561102</v>
      </c>
      <c r="F18" s="109">
        <v>1.51561121951663</v>
      </c>
      <c r="G18" s="108">
        <v>16.9219425073506</v>
      </c>
      <c r="H18" s="109">
        <v>3.1953893219231202</v>
      </c>
      <c r="I18" s="109">
        <v>3.0689953912299202</v>
      </c>
      <c r="J18" s="109">
        <v>2.23146242930537</v>
      </c>
      <c r="K18" s="109">
        <v>3.3315665080389198</v>
      </c>
      <c r="L18" s="108">
        <v>49.632361740960597</v>
      </c>
      <c r="M18" s="108">
        <v>17.9697391145667</v>
      </c>
      <c r="N18" s="111">
        <v>111.250583456809</v>
      </c>
      <c r="O18" s="111">
        <v>547.34167836989604</v>
      </c>
      <c r="P18" s="109">
        <v>5.9586328769962797</v>
      </c>
      <c r="Q18" s="111">
        <v>243.69708559463399</v>
      </c>
      <c r="R18" s="109">
        <v>3.7205331602790399</v>
      </c>
      <c r="S18" s="109">
        <v>1.9034882745722901</v>
      </c>
      <c r="T18" s="109">
        <v>1.2697606517318301</v>
      </c>
      <c r="U18" s="111">
        <v>2402.5460830142201</v>
      </c>
      <c r="V18" s="111">
        <v>107.680344144221</v>
      </c>
      <c r="W18" s="111">
        <v>177.108569429612</v>
      </c>
      <c r="X18" s="108">
        <v>17.1231803514824</v>
      </c>
      <c r="Y18" s="108">
        <v>51.324554046665703</v>
      </c>
      <c r="Z18" s="109">
        <v>6.2139754688825599</v>
      </c>
      <c r="AA18" s="109">
        <v>1.37020671757567</v>
      </c>
      <c r="AB18" s="109">
        <v>2.7061151991730599</v>
      </c>
      <c r="AC18" s="109">
        <v>0.31558140406931501</v>
      </c>
      <c r="AD18" s="109">
        <v>1.18429911831059</v>
      </c>
      <c r="AE18" s="109">
        <v>0.19003561309676401</v>
      </c>
      <c r="AF18" s="109">
        <v>0.46421536704198801</v>
      </c>
      <c r="AG18" s="100">
        <v>5.8849330091158301E-2</v>
      </c>
      <c r="AH18" s="109">
        <v>0.37903568791876202</v>
      </c>
      <c r="AI18" s="100">
        <v>5.9358138412270597E-2</v>
      </c>
      <c r="AJ18" s="109">
        <v>5.6666540656173501</v>
      </c>
      <c r="AK18" s="109">
        <v>0.103507713191914</v>
      </c>
      <c r="AL18" s="115">
        <v>0.66909074559453596</v>
      </c>
      <c r="AM18" s="109">
        <v>0.49863769846765499</v>
      </c>
      <c r="AN18" s="108">
        <v>30.094432531671298</v>
      </c>
      <c r="AO18" s="108">
        <v>44.3057169815687</v>
      </c>
      <c r="AP18" s="109">
        <v>3.2780788826360499</v>
      </c>
    </row>
    <row r="19" spans="1:42" s="4" customFormat="1" ht="12.95"/>
    <row r="20" spans="1:42" s="4" customFormat="1" ht="12.95"/>
  </sheetData>
  <phoneticPr fontId="28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67"/>
  <sheetViews>
    <sheetView zoomScale="75" zoomScaleNormal="100" workbookViewId="0">
      <selection activeCell="S239" sqref="S239"/>
    </sheetView>
  </sheetViews>
  <sheetFormatPr defaultColWidth="11" defaultRowHeight="15.95"/>
  <cols>
    <col min="1" max="1" width="10.125" style="3" customWidth="1"/>
    <col min="2" max="3" width="11.5" style="3" customWidth="1"/>
    <col min="4" max="4" width="13.375" style="3" customWidth="1"/>
    <col min="5" max="5" width="8.875" style="3" customWidth="1"/>
    <col min="6" max="6" width="8" style="3" customWidth="1"/>
    <col min="7" max="7" width="8" style="4" customWidth="1"/>
    <col min="8" max="8" width="16.875" style="3" customWidth="1"/>
    <col min="9" max="9" width="12.875" style="3" customWidth="1"/>
    <col min="10" max="10" width="16.5" style="3" customWidth="1"/>
    <col min="11" max="11" width="11.875" style="3" customWidth="1"/>
    <col min="12" max="12" width="15.5" style="3" customWidth="1"/>
    <col min="13" max="13" width="11.875" style="3" customWidth="1"/>
    <col min="14" max="14" width="15.5" style="3" customWidth="1"/>
    <col min="15" max="15" width="11" style="3" customWidth="1"/>
    <col min="16" max="16" width="12.625" style="3" customWidth="1"/>
    <col min="17" max="17" width="16.375" style="3" customWidth="1"/>
    <col min="18" max="18" width="11.625" style="3" customWidth="1"/>
    <col min="19" max="19" width="21" style="3" customWidth="1"/>
    <col min="20" max="20" width="20.5" style="3" customWidth="1"/>
    <col min="21" max="21" width="20" style="3" customWidth="1"/>
    <col min="22" max="22" width="15.5" style="3" customWidth="1"/>
    <col min="23" max="23" width="20" style="3" customWidth="1"/>
    <col min="24" max="24" width="15.5" style="3" customWidth="1"/>
    <col min="25" max="25" width="20.875" style="3" customWidth="1"/>
    <col min="26" max="26" width="16.375" style="3" customWidth="1"/>
    <col min="27" max="27" width="12" style="4" customWidth="1"/>
    <col min="28" max="28" width="8.875" style="3" customWidth="1"/>
    <col min="29" max="29" width="6.5" style="3" customWidth="1"/>
    <col min="30" max="30" width="7" style="3" customWidth="1"/>
    <col min="31" max="31" width="7.5" style="3" customWidth="1"/>
    <col min="32" max="32" width="6.5" style="3" customWidth="1"/>
    <col min="33" max="34" width="8" style="3" customWidth="1"/>
    <col min="35" max="35" width="6.5" style="3" customWidth="1"/>
    <col min="36" max="36" width="8" style="3" customWidth="1"/>
    <col min="37" max="37" width="7" style="3" customWidth="1"/>
    <col min="38" max="38" width="6" style="3" customWidth="1"/>
    <col min="39" max="39" width="7" style="3" customWidth="1"/>
    <col min="40" max="40" width="6.5" style="3" customWidth="1"/>
    <col min="41" max="41" width="6" style="3" customWidth="1"/>
    <col min="42" max="44" width="6.5" style="3" customWidth="1"/>
    <col min="45" max="45" width="6" style="3" customWidth="1"/>
    <col min="46" max="47" width="6.5" style="3" customWidth="1"/>
    <col min="48" max="48" width="7.5" style="3" customWidth="1"/>
    <col min="49" max="49" width="6" style="3" customWidth="1"/>
    <col min="50" max="54" width="8" style="3" customWidth="1"/>
    <col min="55" max="56" width="6.5" style="3" customWidth="1"/>
  </cols>
  <sheetData>
    <row r="1" spans="1:56" s="3" customFormat="1" ht="12.95">
      <c r="A1" s="4" t="s">
        <v>89</v>
      </c>
      <c r="G1" s="4"/>
      <c r="AA1" s="4"/>
    </row>
    <row r="2" spans="1:56" s="38" customFormat="1" ht="12" customHeight="1">
      <c r="A2" s="46" t="s">
        <v>1</v>
      </c>
      <c r="B2" s="46" t="s">
        <v>90</v>
      </c>
      <c r="C2" s="46" t="s">
        <v>91</v>
      </c>
      <c r="D2" s="46" t="s">
        <v>92</v>
      </c>
      <c r="E2" s="46" t="s">
        <v>93</v>
      </c>
      <c r="F2" s="46" t="s">
        <v>94</v>
      </c>
      <c r="G2" s="70" t="s">
        <v>95</v>
      </c>
      <c r="H2" s="46" t="s">
        <v>96</v>
      </c>
      <c r="I2" s="51" t="s">
        <v>97</v>
      </c>
      <c r="J2" s="51" t="s">
        <v>98</v>
      </c>
      <c r="K2" s="51" t="s">
        <v>99</v>
      </c>
      <c r="L2" s="51" t="s">
        <v>100</v>
      </c>
      <c r="M2" s="51" t="s">
        <v>101</v>
      </c>
      <c r="N2" s="51" t="s">
        <v>102</v>
      </c>
      <c r="O2" s="66" t="s">
        <v>103</v>
      </c>
      <c r="P2" s="51" t="s">
        <v>104</v>
      </c>
      <c r="Q2" s="51" t="s">
        <v>105</v>
      </c>
      <c r="R2" s="51" t="s">
        <v>106</v>
      </c>
      <c r="S2" s="51" t="s">
        <v>107</v>
      </c>
      <c r="T2" s="51" t="s">
        <v>108</v>
      </c>
      <c r="U2" s="51" t="s">
        <v>109</v>
      </c>
      <c r="V2" s="51" t="s">
        <v>110</v>
      </c>
      <c r="W2" s="51" t="s">
        <v>111</v>
      </c>
      <c r="X2" s="51" t="s">
        <v>112</v>
      </c>
      <c r="Y2" s="51" t="s">
        <v>113</v>
      </c>
      <c r="Z2" s="51" t="s">
        <v>114</v>
      </c>
      <c r="AA2" s="70" t="s">
        <v>115</v>
      </c>
      <c r="AB2" s="66" t="s">
        <v>116</v>
      </c>
      <c r="AC2" s="46" t="s">
        <v>117</v>
      </c>
      <c r="AD2" s="46" t="s">
        <v>118</v>
      </c>
      <c r="AE2" s="46" t="s">
        <v>58</v>
      </c>
      <c r="AF2" s="46" t="s">
        <v>60</v>
      </c>
      <c r="AG2" s="46" t="s">
        <v>63</v>
      </c>
      <c r="AH2" s="46" t="s">
        <v>64</v>
      </c>
      <c r="AI2" s="46" t="s">
        <v>65</v>
      </c>
      <c r="AJ2" s="46" t="s">
        <v>66</v>
      </c>
      <c r="AK2" s="46" t="s">
        <v>67</v>
      </c>
      <c r="AL2" s="46" t="s">
        <v>68</v>
      </c>
      <c r="AM2" s="46" t="s">
        <v>69</v>
      </c>
      <c r="AN2" s="46" t="s">
        <v>70</v>
      </c>
      <c r="AO2" s="46" t="s">
        <v>71</v>
      </c>
      <c r="AP2" s="46" t="s">
        <v>72</v>
      </c>
      <c r="AQ2" s="46" t="s">
        <v>73</v>
      </c>
      <c r="AR2" s="46" t="s">
        <v>74</v>
      </c>
      <c r="AS2" s="46" t="s">
        <v>75</v>
      </c>
      <c r="AT2" s="46" t="s">
        <v>76</v>
      </c>
      <c r="AU2" s="46" t="s">
        <v>77</v>
      </c>
      <c r="AV2" s="46" t="s">
        <v>78</v>
      </c>
      <c r="AW2" s="46" t="s">
        <v>79</v>
      </c>
      <c r="AX2" s="46" t="s">
        <v>80</v>
      </c>
      <c r="AY2" s="46" t="s">
        <v>119</v>
      </c>
      <c r="AZ2" s="46" t="s">
        <v>82</v>
      </c>
      <c r="BA2" s="46" t="s">
        <v>81</v>
      </c>
      <c r="BB2" s="46" t="s">
        <v>82</v>
      </c>
      <c r="BC2" s="46" t="s">
        <v>83</v>
      </c>
      <c r="BD2" s="46" t="s">
        <v>84</v>
      </c>
    </row>
    <row r="3" spans="1:56" s="39" customFormat="1" ht="12" customHeight="1">
      <c r="A3" s="47" t="s">
        <v>16</v>
      </c>
      <c r="B3" s="39" t="s">
        <v>120</v>
      </c>
      <c r="D3" s="48">
        <v>170.88307952030701</v>
      </c>
      <c r="E3" s="48">
        <v>68.906614748107202</v>
      </c>
      <c r="F3" s="52">
        <v>184.83845690812601</v>
      </c>
      <c r="G3" s="122">
        <f>E3/F3</f>
        <v>0.3727937134984699</v>
      </c>
      <c r="H3" s="53">
        <v>0.51122852961298304</v>
      </c>
      <c r="I3" s="54">
        <v>0.26888853834339099</v>
      </c>
      <c r="J3" s="54">
        <v>5.7835860559999298E-3</v>
      </c>
      <c r="K3" s="54">
        <v>25.922413181415799</v>
      </c>
      <c r="L3" s="54">
        <v>0.58322865804158996</v>
      </c>
      <c r="M3" s="54">
        <v>0.69544436962369205</v>
      </c>
      <c r="N3" s="54">
        <v>7.7971799532421801E-3</v>
      </c>
      <c r="O3" s="54">
        <v>0.49832392098571898</v>
      </c>
      <c r="P3" s="54">
        <v>0.17922551050187199</v>
      </c>
      <c r="Q3" s="54">
        <v>5.0119453886401299E-3</v>
      </c>
      <c r="R3" s="54">
        <v>1.94052694435849</v>
      </c>
      <c r="S3" s="52">
        <v>3299.69</v>
      </c>
      <c r="T3" s="67">
        <v>33.950000000000003</v>
      </c>
      <c r="U3" s="52">
        <v>3343.6149093327199</v>
      </c>
      <c r="V3" s="67">
        <v>22.113755981615601</v>
      </c>
      <c r="W3" s="52">
        <v>3403.3513066424698</v>
      </c>
      <c r="X3" s="67">
        <v>29.703326545741799</v>
      </c>
      <c r="Y3" s="52">
        <v>3332.1450420465299</v>
      </c>
      <c r="Z3" s="67">
        <v>85.906032401970407</v>
      </c>
      <c r="AA3" s="71">
        <f>1-2*ABS(U3-W3)/(U3+W3)</f>
        <v>0.98229236803696796</v>
      </c>
      <c r="AB3" s="48">
        <v>32.731290000000001</v>
      </c>
      <c r="AC3" s="52">
        <v>529.18973498292598</v>
      </c>
      <c r="AD3" s="53">
        <v>3.2887559057189</v>
      </c>
      <c r="AE3" s="52">
        <v>929.24334703859802</v>
      </c>
      <c r="AF3" s="53">
        <v>0.96027414440899805</v>
      </c>
      <c r="AG3" s="53">
        <v>0.99707976249512098</v>
      </c>
      <c r="AH3" s="53">
        <v>0.27471185349259297</v>
      </c>
      <c r="AI3" s="48">
        <v>15.547765738056601</v>
      </c>
      <c r="AJ3" s="53">
        <v>1.3328355779176899</v>
      </c>
      <c r="AK3" s="48">
        <v>16.746930804820899</v>
      </c>
      <c r="AL3" s="53">
        <v>8.8512259079517204</v>
      </c>
      <c r="AM3" s="53">
        <v>7.1425668789429304</v>
      </c>
      <c r="AN3" s="48">
        <v>24.4982217700414</v>
      </c>
      <c r="AO3" s="53">
        <v>6.8792431368087898</v>
      </c>
      <c r="AP3" s="48">
        <v>80.119716447386494</v>
      </c>
      <c r="AQ3" s="48">
        <v>30.39436935694</v>
      </c>
      <c r="AR3" s="52">
        <v>136.82059813787799</v>
      </c>
      <c r="AS3" s="48">
        <v>30.0590967360401</v>
      </c>
      <c r="AT3" s="52">
        <v>280.28005518024003</v>
      </c>
      <c r="AU3" s="48">
        <v>58.387071324706099</v>
      </c>
      <c r="AV3" s="52">
        <v>8530.9364832995998</v>
      </c>
      <c r="AW3" s="53">
        <v>0.45615946931325102</v>
      </c>
      <c r="AX3" s="64">
        <v>0.17087385868903801</v>
      </c>
      <c r="AY3" s="64">
        <v>0</v>
      </c>
      <c r="AZ3" s="53">
        <v>0.51122852961298304</v>
      </c>
      <c r="BA3" s="64">
        <v>0</v>
      </c>
      <c r="BB3" s="48">
        <v>170.88307952030701</v>
      </c>
      <c r="BC3" s="48">
        <v>68.906614748107202</v>
      </c>
      <c r="BD3" s="52">
        <v>184.83845690812601</v>
      </c>
    </row>
    <row r="4" spans="1:56" s="39" customFormat="1" ht="12" customHeight="1">
      <c r="A4" s="47" t="s">
        <v>16</v>
      </c>
      <c r="B4" s="39" t="s">
        <v>121</v>
      </c>
      <c r="D4" s="48">
        <v>205.62177521714901</v>
      </c>
      <c r="E4" s="52">
        <v>115.935096317401</v>
      </c>
      <c r="F4" s="52">
        <v>213.758869319951</v>
      </c>
      <c r="G4" s="122">
        <f t="shared" ref="G4:G67" si="0">E4/F4</f>
        <v>0.54236391072910817</v>
      </c>
      <c r="H4" s="53">
        <v>0.22493582861595199</v>
      </c>
      <c r="I4" s="54">
        <v>0.27503365414382602</v>
      </c>
      <c r="J4" s="54">
        <v>5.7102389011309202E-3</v>
      </c>
      <c r="K4" s="54">
        <v>26.203906188636601</v>
      </c>
      <c r="L4" s="54">
        <v>0.52286384899091998</v>
      </c>
      <c r="M4" s="54">
        <v>0.68755064713435299</v>
      </c>
      <c r="N4" s="54">
        <v>4.9563577365014698E-3</v>
      </c>
      <c r="O4" s="54">
        <v>0.36127288751865699</v>
      </c>
      <c r="P4" s="54">
        <v>0.179827181093421</v>
      </c>
      <c r="Q4" s="54">
        <v>4.4983353256285502E-3</v>
      </c>
      <c r="R4" s="54">
        <v>1.35651116272243</v>
      </c>
      <c r="S4" s="52">
        <v>3334.87</v>
      </c>
      <c r="T4" s="67">
        <v>33.177500000000002</v>
      </c>
      <c r="U4" s="52">
        <v>3354.17634448636</v>
      </c>
      <c r="V4" s="67">
        <v>19.648670621217001</v>
      </c>
      <c r="W4" s="52">
        <v>3373.2677288046202</v>
      </c>
      <c r="X4" s="67">
        <v>19.020625107789499</v>
      </c>
      <c r="Y4" s="52">
        <v>3342.4552006316899</v>
      </c>
      <c r="Z4" s="67">
        <v>77.063304245073496</v>
      </c>
      <c r="AA4" s="71">
        <f t="shared" ref="AA4:AA67" si="1">1-2*ABS(U4-W4)/(U4+W4)</f>
        <v>0.99432432760190281</v>
      </c>
      <c r="AB4" s="48">
        <v>32.731290000000001</v>
      </c>
      <c r="AC4" s="52">
        <v>542.08243110645299</v>
      </c>
      <c r="AD4" s="53">
        <v>5.5623801504205499</v>
      </c>
      <c r="AE4" s="52">
        <v>1499.58949437098</v>
      </c>
      <c r="AF4" s="53">
        <v>1.7726224981597101</v>
      </c>
      <c r="AG4" s="53">
        <v>1.28288627400784E-2</v>
      </c>
      <c r="AH4" s="53">
        <v>0.26032077254394698</v>
      </c>
      <c r="AI4" s="53">
        <v>7.2158703466887602</v>
      </c>
      <c r="AJ4" s="53">
        <v>0.25814892511146198</v>
      </c>
      <c r="AK4" s="53">
        <v>2.5971357032699101</v>
      </c>
      <c r="AL4" s="53">
        <v>4.5006537252611301</v>
      </c>
      <c r="AM4" s="53">
        <v>1.56511349617998</v>
      </c>
      <c r="AN4" s="48">
        <v>28.5827463308276</v>
      </c>
      <c r="AO4" s="48">
        <v>10.4229360110571</v>
      </c>
      <c r="AP4" s="52">
        <v>128.322431343239</v>
      </c>
      <c r="AQ4" s="48">
        <v>50.058342823562597</v>
      </c>
      <c r="AR4" s="52">
        <v>224.11242262529299</v>
      </c>
      <c r="AS4" s="48">
        <v>46.402490162494502</v>
      </c>
      <c r="AT4" s="52">
        <v>432.75982329947402</v>
      </c>
      <c r="AU4" s="48">
        <v>89.242253739008206</v>
      </c>
      <c r="AV4" s="52">
        <v>7258.9046028474404</v>
      </c>
      <c r="AW4" s="53">
        <v>0.642289590563209</v>
      </c>
      <c r="AX4" s="64">
        <v>6.4190504852790597E-2</v>
      </c>
      <c r="AY4" s="64">
        <v>0</v>
      </c>
      <c r="AZ4" s="53">
        <v>0.22493582861595199</v>
      </c>
      <c r="BA4" s="64">
        <v>2.9175054550624399E-3</v>
      </c>
      <c r="BB4" s="48">
        <v>205.62177521714901</v>
      </c>
      <c r="BC4" s="52">
        <v>115.935096317401</v>
      </c>
      <c r="BD4" s="52">
        <v>213.758869319951</v>
      </c>
    </row>
    <row r="5" spans="1:56" s="39" customFormat="1" ht="12" customHeight="1">
      <c r="A5" s="47" t="s">
        <v>16</v>
      </c>
      <c r="B5" s="39" t="s">
        <v>122</v>
      </c>
      <c r="D5" s="48">
        <v>169.896636538032</v>
      </c>
      <c r="E5" s="52">
        <v>119.269385972461</v>
      </c>
      <c r="F5" s="52">
        <v>199.03233139416</v>
      </c>
      <c r="G5" s="122">
        <f t="shared" si="0"/>
        <v>0.59924628896730392</v>
      </c>
      <c r="H5" s="55">
        <v>0</v>
      </c>
      <c r="I5" s="54">
        <v>0.26334296329477003</v>
      </c>
      <c r="J5" s="54">
        <v>5.5123739137142198E-3</v>
      </c>
      <c r="K5" s="54">
        <v>23.8741096552539</v>
      </c>
      <c r="L5" s="54">
        <v>0.62024410822278797</v>
      </c>
      <c r="M5" s="54">
        <v>0.65071849582004304</v>
      </c>
      <c r="N5" s="54">
        <v>9.4884559222198992E-3</v>
      </c>
      <c r="O5" s="54">
        <v>0.56126366782733705</v>
      </c>
      <c r="P5" s="54">
        <v>0.16980669923474401</v>
      </c>
      <c r="Q5" s="54">
        <v>5.1443258654392298E-3</v>
      </c>
      <c r="R5" s="54">
        <v>1.5430800662387201</v>
      </c>
      <c r="S5" s="52">
        <v>3277.7750000000001</v>
      </c>
      <c r="T5" s="67">
        <v>32.074999999999797</v>
      </c>
      <c r="U5" s="52">
        <v>3263.2659690820601</v>
      </c>
      <c r="V5" s="67">
        <v>25.4159651191287</v>
      </c>
      <c r="W5" s="52">
        <v>3231.0114110744498</v>
      </c>
      <c r="X5" s="67">
        <v>37.095534595278899</v>
      </c>
      <c r="Y5" s="52">
        <v>3170.0560046689302</v>
      </c>
      <c r="Z5" s="67">
        <v>88.885017853759294</v>
      </c>
      <c r="AA5" s="71">
        <f t="shared" si="1"/>
        <v>0.99006677537175569</v>
      </c>
      <c r="AB5" s="48">
        <v>32.731290000000001</v>
      </c>
      <c r="AC5" s="52">
        <v>515.98977229212801</v>
      </c>
      <c r="AD5" s="53">
        <v>6.3892626481750403</v>
      </c>
      <c r="AE5" s="52">
        <v>1047.1730078257301</v>
      </c>
      <c r="AF5" s="53">
        <v>1.3589646153780801</v>
      </c>
      <c r="AG5" s="53">
        <v>1.18407732171523E-2</v>
      </c>
      <c r="AH5" s="53">
        <v>0.143659419355845</v>
      </c>
      <c r="AI5" s="53">
        <v>5.4202035048294297</v>
      </c>
      <c r="AJ5" s="53">
        <v>0.110980248192281</v>
      </c>
      <c r="AK5" s="53">
        <v>1.4576052648178901</v>
      </c>
      <c r="AL5" s="53">
        <v>3.3304005499306202</v>
      </c>
      <c r="AM5" s="53">
        <v>1.2050886072777001</v>
      </c>
      <c r="AN5" s="48">
        <v>23.215123695278201</v>
      </c>
      <c r="AO5" s="53">
        <v>7.8169296180148802</v>
      </c>
      <c r="AP5" s="48">
        <v>91.735091038620695</v>
      </c>
      <c r="AQ5" s="48">
        <v>34.272767292299903</v>
      </c>
      <c r="AR5" s="52">
        <v>152.66494251215701</v>
      </c>
      <c r="AS5" s="48">
        <v>31.502022577313401</v>
      </c>
      <c r="AT5" s="52">
        <v>282.66834156802901</v>
      </c>
      <c r="AU5" s="48">
        <v>57.142521092413901</v>
      </c>
      <c r="AV5" s="52">
        <v>7067.1037468281602</v>
      </c>
      <c r="AW5" s="53">
        <v>0.43130677144554103</v>
      </c>
      <c r="AX5" s="64">
        <v>4.3459365095419603E-2</v>
      </c>
      <c r="AY5" s="64">
        <v>0</v>
      </c>
      <c r="AZ5" s="55">
        <v>0</v>
      </c>
      <c r="BA5" s="64">
        <v>1.03068195290996E-3</v>
      </c>
      <c r="BB5" s="48">
        <v>169.896636538032</v>
      </c>
      <c r="BC5" s="52">
        <v>119.269385972461</v>
      </c>
      <c r="BD5" s="52">
        <v>199.03233139416</v>
      </c>
    </row>
    <row r="6" spans="1:56" s="39" customFormat="1" ht="12" customHeight="1">
      <c r="A6" s="47" t="s">
        <v>16</v>
      </c>
      <c r="B6" s="39" t="s">
        <v>123</v>
      </c>
      <c r="D6" s="48">
        <v>336.94406772372702</v>
      </c>
      <c r="E6" s="52">
        <v>236.768788313599</v>
      </c>
      <c r="F6" s="52">
        <v>410.95290710289999</v>
      </c>
      <c r="G6" s="122">
        <f t="shared" si="0"/>
        <v>0.57614579242850716</v>
      </c>
      <c r="H6" s="53">
        <v>0.66821202604226904</v>
      </c>
      <c r="I6" s="54">
        <v>0.26271080552410198</v>
      </c>
      <c r="J6" s="54">
        <v>4.7951767806603002E-3</v>
      </c>
      <c r="K6" s="54">
        <v>21.738213797291699</v>
      </c>
      <c r="L6" s="54">
        <v>0.45867554082525602</v>
      </c>
      <c r="M6" s="54">
        <v>0.596494465492586</v>
      </c>
      <c r="N6" s="54">
        <v>7.4476648438808303E-3</v>
      </c>
      <c r="O6" s="54">
        <v>0.59174143434642101</v>
      </c>
      <c r="P6" s="54">
        <v>0.15849158432737501</v>
      </c>
      <c r="Q6" s="54">
        <v>3.7176321923500298E-3</v>
      </c>
      <c r="R6" s="54">
        <v>1.24738589091382</v>
      </c>
      <c r="S6" s="52">
        <v>3264.81</v>
      </c>
      <c r="T6" s="67">
        <v>28.704999999999899</v>
      </c>
      <c r="U6" s="52">
        <v>3172.10431670356</v>
      </c>
      <c r="V6" s="67">
        <v>20.595587264592801</v>
      </c>
      <c r="W6" s="52">
        <v>3015.6987366076301</v>
      </c>
      <c r="X6" s="67">
        <v>30.116655492714202</v>
      </c>
      <c r="Y6" s="52">
        <v>2973.5987989943301</v>
      </c>
      <c r="Z6" s="67">
        <v>64.861611416742704</v>
      </c>
      <c r="AA6" s="71">
        <f t="shared" si="1"/>
        <v>0.94944713697303762</v>
      </c>
      <c r="AB6" s="48">
        <v>32.731290000000001</v>
      </c>
      <c r="AC6" s="52">
        <v>760.52808927944795</v>
      </c>
      <c r="AD6" s="48">
        <v>78.605613695613002</v>
      </c>
      <c r="AE6" s="52">
        <v>2109.77989326129</v>
      </c>
      <c r="AF6" s="53">
        <v>2.07843859289716</v>
      </c>
      <c r="AG6" s="53">
        <v>4.6465479473317002</v>
      </c>
      <c r="AH6" s="53">
        <v>1.0915211335652799</v>
      </c>
      <c r="AI6" s="48">
        <v>18.288268907880799</v>
      </c>
      <c r="AJ6" s="53">
        <v>0.70992119299405898</v>
      </c>
      <c r="AK6" s="53">
        <v>5.2911150396003697</v>
      </c>
      <c r="AL6" s="53">
        <v>6.72350173651476</v>
      </c>
      <c r="AM6" s="53">
        <v>5.8957159908527599</v>
      </c>
      <c r="AN6" s="48">
        <v>36.843884878153197</v>
      </c>
      <c r="AO6" s="48">
        <v>13.4831281637929</v>
      </c>
      <c r="AP6" s="52">
        <v>172.051642647926</v>
      </c>
      <c r="AQ6" s="48">
        <v>69.614396121520898</v>
      </c>
      <c r="AR6" s="52">
        <v>330.01820534735901</v>
      </c>
      <c r="AS6" s="48">
        <v>72.116565919203794</v>
      </c>
      <c r="AT6" s="52">
        <v>687.58815288185997</v>
      </c>
      <c r="AU6" s="52">
        <v>146.76569907164199</v>
      </c>
      <c r="AV6" s="52">
        <v>7435.4154388854004</v>
      </c>
      <c r="AW6" s="53">
        <v>0.79185739229531604</v>
      </c>
      <c r="AX6" s="64">
        <v>1.18176569902674</v>
      </c>
      <c r="AY6" s="64">
        <v>0</v>
      </c>
      <c r="AZ6" s="53">
        <v>0.66821202604226904</v>
      </c>
      <c r="BA6" s="64">
        <v>1.99083694306945E-2</v>
      </c>
      <c r="BB6" s="48">
        <v>336.94406772372702</v>
      </c>
      <c r="BC6" s="52">
        <v>236.768788313599</v>
      </c>
      <c r="BD6" s="52">
        <v>410.95290710289999</v>
      </c>
    </row>
    <row r="7" spans="1:56" s="39" customFormat="1" ht="12" customHeight="1">
      <c r="A7" s="47" t="s">
        <v>16</v>
      </c>
      <c r="B7" s="39" t="s">
        <v>124</v>
      </c>
      <c r="D7" s="48">
        <v>247.54600089349901</v>
      </c>
      <c r="E7" s="48">
        <v>60.994456678403097</v>
      </c>
      <c r="F7" s="52">
        <v>264.52353436736001</v>
      </c>
      <c r="G7" s="122">
        <f t="shared" si="0"/>
        <v>0.23058234430550276</v>
      </c>
      <c r="H7" s="55">
        <v>0</v>
      </c>
      <c r="I7" s="54">
        <v>0.27084219769353801</v>
      </c>
      <c r="J7" s="54">
        <v>4.9038991893908604E-3</v>
      </c>
      <c r="K7" s="54">
        <v>27.342049308298201</v>
      </c>
      <c r="L7" s="54">
        <v>0.52167173076738405</v>
      </c>
      <c r="M7" s="54">
        <v>0.72891034842587399</v>
      </c>
      <c r="N7" s="54">
        <v>7.7031023142169804E-3</v>
      </c>
      <c r="O7" s="54">
        <v>0.55389227651945305</v>
      </c>
      <c r="P7" s="54">
        <v>0.192332030255396</v>
      </c>
      <c r="Q7" s="54">
        <v>4.4090814545372304E-3</v>
      </c>
      <c r="R7" s="54">
        <v>3.08287531669784</v>
      </c>
      <c r="S7" s="52">
        <v>3310.8</v>
      </c>
      <c r="T7" s="67">
        <v>28.392500000000201</v>
      </c>
      <c r="U7" s="52">
        <v>3395.7928041446698</v>
      </c>
      <c r="V7" s="67">
        <v>18.831536571009401</v>
      </c>
      <c r="W7" s="52">
        <v>3529.35602685308</v>
      </c>
      <c r="X7" s="67">
        <v>28.7849456528938</v>
      </c>
      <c r="Y7" s="52">
        <v>3555.5549010126401</v>
      </c>
      <c r="Z7" s="67">
        <v>74.742067749535707</v>
      </c>
      <c r="AA7" s="71">
        <f t="shared" si="1"/>
        <v>0.96142661306842503</v>
      </c>
      <c r="AB7" s="48">
        <v>32.731290000000001</v>
      </c>
      <c r="AC7" s="52">
        <v>652.08004863295696</v>
      </c>
      <c r="AD7" s="53">
        <v>4.4236790200608</v>
      </c>
      <c r="AE7" s="52">
        <v>1420.80634716297</v>
      </c>
      <c r="AF7" s="53">
        <v>1.5745073052135301</v>
      </c>
      <c r="AG7" s="53">
        <v>2.5562269460414899E-2</v>
      </c>
      <c r="AH7" s="53">
        <v>1.54450069707423E-2</v>
      </c>
      <c r="AI7" s="53">
        <v>4.3049427127622604</v>
      </c>
      <c r="AJ7" s="64">
        <v>6.0358841075908498E-2</v>
      </c>
      <c r="AK7" s="53">
        <v>1.41301865773232</v>
      </c>
      <c r="AL7" s="53">
        <v>3.4410611911463098</v>
      </c>
      <c r="AM7" s="53">
        <v>0.700454970682856</v>
      </c>
      <c r="AN7" s="48">
        <v>23.798333179243802</v>
      </c>
      <c r="AO7" s="53">
        <v>9.1354871903305401</v>
      </c>
      <c r="AP7" s="52">
        <v>116.06486655937201</v>
      </c>
      <c r="AQ7" s="48">
        <v>46.791535271201603</v>
      </c>
      <c r="AR7" s="52">
        <v>213.74461225705599</v>
      </c>
      <c r="AS7" s="48">
        <v>46.208323598882401</v>
      </c>
      <c r="AT7" s="52">
        <v>426.24313299849501</v>
      </c>
      <c r="AU7" s="48">
        <v>84.488539188605401</v>
      </c>
      <c r="AV7" s="52">
        <v>8567.2355080804591</v>
      </c>
      <c r="AW7" s="53">
        <v>1.0384704993677201</v>
      </c>
      <c r="AX7" s="64">
        <v>1.8835739403583601E-2</v>
      </c>
      <c r="AY7" s="64">
        <v>0</v>
      </c>
      <c r="AZ7" s="55">
        <v>0</v>
      </c>
      <c r="BA7" s="64">
        <v>6.6702058533808801E-3</v>
      </c>
      <c r="BB7" s="48">
        <v>247.54600089349901</v>
      </c>
      <c r="BC7" s="48">
        <v>60.994456678403097</v>
      </c>
      <c r="BD7" s="52">
        <v>264.52353436736001</v>
      </c>
    </row>
    <row r="8" spans="1:56" s="39" customFormat="1" ht="12" customHeight="1">
      <c r="A8" s="47" t="s">
        <v>16</v>
      </c>
      <c r="B8" s="39" t="s">
        <v>125</v>
      </c>
      <c r="C8" s="39" t="s">
        <v>126</v>
      </c>
      <c r="D8" s="48">
        <v>222.32225145886801</v>
      </c>
      <c r="E8" s="48">
        <v>81.574306209059102</v>
      </c>
      <c r="F8" s="52">
        <v>230.51452807872701</v>
      </c>
      <c r="G8" s="122">
        <f t="shared" si="0"/>
        <v>0.3538792408832438</v>
      </c>
      <c r="H8" s="53">
        <v>2.2447541406736899</v>
      </c>
      <c r="I8" s="54">
        <v>0.27240775528098998</v>
      </c>
      <c r="J8" s="54">
        <v>5.0688549103174102E-3</v>
      </c>
      <c r="K8" s="54">
        <v>27.236827748502801</v>
      </c>
      <c r="L8" s="54">
        <v>0.58100809061025405</v>
      </c>
      <c r="M8" s="54">
        <v>0.71999991192049095</v>
      </c>
      <c r="N8" s="54">
        <v>7.4263536797564101E-3</v>
      </c>
      <c r="O8" s="54">
        <v>0.48352343679357002</v>
      </c>
      <c r="P8" s="54">
        <v>0.19976817273136499</v>
      </c>
      <c r="Q8" s="54">
        <v>7.1914423150653299E-3</v>
      </c>
      <c r="R8" s="54">
        <v>2.08729685214431</v>
      </c>
      <c r="S8" s="52">
        <v>3320.06</v>
      </c>
      <c r="T8" s="67">
        <v>29.320000000000199</v>
      </c>
      <c r="U8" s="52">
        <v>3392.0161186611799</v>
      </c>
      <c r="V8" s="67">
        <v>21.019715396753799</v>
      </c>
      <c r="W8" s="52">
        <v>3496.04666956547</v>
      </c>
      <c r="X8" s="67">
        <v>27.8972965068474</v>
      </c>
      <c r="Y8" s="52">
        <v>3681.2197825154399</v>
      </c>
      <c r="Z8" s="67">
        <v>121.152634223936</v>
      </c>
      <c r="AA8" s="71">
        <f t="shared" si="1"/>
        <v>0.96979395975248561</v>
      </c>
      <c r="AB8" s="48">
        <v>32.731290000000001</v>
      </c>
      <c r="AC8" s="52">
        <v>554.61229290052802</v>
      </c>
      <c r="AD8" s="53">
        <v>2.93324788558767</v>
      </c>
      <c r="AE8" s="52">
        <v>1470.8340550374201</v>
      </c>
      <c r="AF8" s="53">
        <v>2.3599229265117501</v>
      </c>
      <c r="AG8" s="53">
        <v>57.3701470833633</v>
      </c>
      <c r="AH8" s="53">
        <v>2.4107887034147102</v>
      </c>
      <c r="AI8" s="53">
        <v>6.7520115264338401</v>
      </c>
      <c r="AJ8" s="53">
        <v>0.56776219335692402</v>
      </c>
      <c r="AK8" s="53">
        <v>5.0899152763808004</v>
      </c>
      <c r="AL8" s="53">
        <v>7.4264365984799596</v>
      </c>
      <c r="AM8" s="53">
        <v>1.9203637663009201</v>
      </c>
      <c r="AN8" s="48">
        <v>40.226642825272201</v>
      </c>
      <c r="AO8" s="48">
        <v>12.6078614833185</v>
      </c>
      <c r="AP8" s="52">
        <v>141.44464099208</v>
      </c>
      <c r="AQ8" s="48">
        <v>50.388486045140702</v>
      </c>
      <c r="AR8" s="52">
        <v>213.23423325473701</v>
      </c>
      <c r="AS8" s="48">
        <v>43.044814856846003</v>
      </c>
      <c r="AT8" s="52">
        <v>388.67779638111199</v>
      </c>
      <c r="AU8" s="48">
        <v>75.420124481168003</v>
      </c>
      <c r="AV8" s="52">
        <v>8822.1999373559593</v>
      </c>
      <c r="AW8" s="53">
        <v>0.72948539192880701</v>
      </c>
      <c r="AX8" s="64">
        <v>0.14297703151375099</v>
      </c>
      <c r="AY8" s="64">
        <v>0</v>
      </c>
      <c r="AZ8" s="53">
        <v>2.2447541406736899</v>
      </c>
      <c r="BA8" s="64">
        <v>1.70148413156242E-2</v>
      </c>
      <c r="BB8" s="48">
        <v>222.32225145886801</v>
      </c>
      <c r="BC8" s="48">
        <v>81.574306209059102</v>
      </c>
      <c r="BD8" s="52">
        <v>230.51452807872701</v>
      </c>
    </row>
    <row r="9" spans="1:56" s="39" customFormat="1" ht="12" customHeight="1">
      <c r="A9" s="47" t="s">
        <v>16</v>
      </c>
      <c r="B9" s="39" t="s">
        <v>127</v>
      </c>
      <c r="D9" s="48">
        <v>119.56860299556401</v>
      </c>
      <c r="E9" s="48">
        <v>47.812447960000704</v>
      </c>
      <c r="F9" s="52">
        <v>130.86213429019799</v>
      </c>
      <c r="G9" s="122">
        <f t="shared" si="0"/>
        <v>0.36536503259202929</v>
      </c>
      <c r="H9" s="55">
        <v>0</v>
      </c>
      <c r="I9" s="54">
        <v>0.268438455359154</v>
      </c>
      <c r="J9" s="54">
        <v>5.2599440505168796E-3</v>
      </c>
      <c r="K9" s="54">
        <v>25.4156540769565</v>
      </c>
      <c r="L9" s="54">
        <v>0.49075627349675199</v>
      </c>
      <c r="M9" s="54">
        <v>0.68372805530240199</v>
      </c>
      <c r="N9" s="54">
        <v>5.7846932497588799E-3</v>
      </c>
      <c r="O9" s="54">
        <v>0.43815963321220103</v>
      </c>
      <c r="P9" s="54">
        <v>0.176693727973216</v>
      </c>
      <c r="Q9" s="54">
        <v>4.15710746354699E-3</v>
      </c>
      <c r="R9" s="54">
        <v>1.9797704725437599</v>
      </c>
      <c r="S9" s="52">
        <v>3297.2249999999999</v>
      </c>
      <c r="T9" s="67">
        <v>30.867500000000302</v>
      </c>
      <c r="U9" s="52">
        <v>3324.32024357306</v>
      </c>
      <c r="V9" s="67">
        <v>18.998987701776599</v>
      </c>
      <c r="W9" s="52">
        <v>3358.6489310525799</v>
      </c>
      <c r="X9" s="67">
        <v>22.221732720212799</v>
      </c>
      <c r="Y9" s="52">
        <v>3288.7029871684599</v>
      </c>
      <c r="Z9" s="67">
        <v>71.407200983148996</v>
      </c>
      <c r="AA9" s="71">
        <f t="shared" si="1"/>
        <v>0.98972651628863961</v>
      </c>
      <c r="AB9" s="48">
        <v>32.731290000000001</v>
      </c>
      <c r="AC9" s="52">
        <v>529.864435200402</v>
      </c>
      <c r="AD9" s="53">
        <v>7.7467745649772404</v>
      </c>
      <c r="AE9" s="52">
        <v>1209.7841145928801</v>
      </c>
      <c r="AF9" s="53">
        <v>2.26111912570597</v>
      </c>
      <c r="AG9" s="53">
        <v>2.69636411300479E-2</v>
      </c>
      <c r="AH9" s="53">
        <v>3.25993101671063E-3</v>
      </c>
      <c r="AI9" s="53">
        <v>4.7851501565940397</v>
      </c>
      <c r="AJ9" s="64">
        <v>3.6002251636671298E-2</v>
      </c>
      <c r="AK9" s="53">
        <v>1.0498030408004599</v>
      </c>
      <c r="AL9" s="53">
        <v>3.2015549804204602</v>
      </c>
      <c r="AM9" s="53">
        <v>1.0709142587685401</v>
      </c>
      <c r="AN9" s="48">
        <v>23.384728589412099</v>
      </c>
      <c r="AO9" s="53">
        <v>8.6182587977168001</v>
      </c>
      <c r="AP9" s="52">
        <v>108.840402323155</v>
      </c>
      <c r="AQ9" s="48">
        <v>41.6340268598316</v>
      </c>
      <c r="AR9" s="52">
        <v>178.24851566524799</v>
      </c>
      <c r="AS9" s="48">
        <v>35.477408095385499</v>
      </c>
      <c r="AT9" s="52">
        <v>312.92273491866001</v>
      </c>
      <c r="AU9" s="48">
        <v>61.745643215522897</v>
      </c>
      <c r="AV9" s="52">
        <v>7414.2872757535197</v>
      </c>
      <c r="AW9" s="53">
        <v>0.73218203413157001</v>
      </c>
      <c r="AX9" s="64">
        <v>2.9207141188399299E-2</v>
      </c>
      <c r="AY9" s="64">
        <v>0</v>
      </c>
      <c r="AZ9" s="55">
        <v>0</v>
      </c>
      <c r="BA9" s="64">
        <v>4.6863400738955396E-3</v>
      </c>
      <c r="BB9" s="48">
        <v>119.56860299556401</v>
      </c>
      <c r="BC9" s="48">
        <v>47.812447960000704</v>
      </c>
      <c r="BD9" s="52">
        <v>130.86213429019799</v>
      </c>
    </row>
    <row r="10" spans="1:56" s="39" customFormat="1" ht="12" customHeight="1">
      <c r="A10" s="47" t="s">
        <v>16</v>
      </c>
      <c r="B10" s="39" t="s">
        <v>128</v>
      </c>
      <c r="D10" s="48">
        <v>130.97541185414701</v>
      </c>
      <c r="E10" s="48">
        <v>52.861973148811501</v>
      </c>
      <c r="F10" s="52">
        <v>140.359300905125</v>
      </c>
      <c r="G10" s="122">
        <f t="shared" si="0"/>
        <v>0.37661895441145882</v>
      </c>
      <c r="H10" s="55">
        <v>0</v>
      </c>
      <c r="I10" s="54">
        <v>0.27184032868224101</v>
      </c>
      <c r="J10" s="54">
        <v>5.40284640530201E-3</v>
      </c>
      <c r="K10" s="54">
        <v>26.271441949646299</v>
      </c>
      <c r="L10" s="54">
        <v>0.52414844726884602</v>
      </c>
      <c r="M10" s="54">
        <v>0.69808300606051898</v>
      </c>
      <c r="N10" s="54">
        <v>6.7824242058066404E-3</v>
      </c>
      <c r="O10" s="54">
        <v>0.486975923864227</v>
      </c>
      <c r="P10" s="54">
        <v>0.185146868418958</v>
      </c>
      <c r="Q10" s="54">
        <v>4.5621378053997104E-3</v>
      </c>
      <c r="R10" s="54">
        <v>1.9110869145995399</v>
      </c>
      <c r="S10" s="52">
        <v>3316.97</v>
      </c>
      <c r="T10" s="67">
        <v>31.0425</v>
      </c>
      <c r="U10" s="52">
        <v>3356.6939861240598</v>
      </c>
      <c r="V10" s="67">
        <v>19.6483720059659</v>
      </c>
      <c r="W10" s="52">
        <v>3413.3761244162201</v>
      </c>
      <c r="X10" s="67">
        <v>25.813934800363199</v>
      </c>
      <c r="Y10" s="52">
        <v>3433.3846690505302</v>
      </c>
      <c r="Z10" s="67">
        <v>77.805522474803993</v>
      </c>
      <c r="AA10" s="71">
        <f t="shared" si="1"/>
        <v>0.98325508085834679</v>
      </c>
      <c r="AB10" s="48">
        <v>32.731290000000001</v>
      </c>
      <c r="AC10" s="52">
        <v>515.21396921154701</v>
      </c>
      <c r="AD10" s="53">
        <v>6.5722103191487102</v>
      </c>
      <c r="AE10" s="52">
        <v>1345.4163722313599</v>
      </c>
      <c r="AF10" s="53">
        <v>2.6352562351003099</v>
      </c>
      <c r="AG10" s="53">
        <v>0</v>
      </c>
      <c r="AH10" s="53">
        <v>8.2664761687053206E-3</v>
      </c>
      <c r="AI10" s="53">
        <v>5.1708230049174304</v>
      </c>
      <c r="AJ10" s="64">
        <v>5.47721620150722E-2</v>
      </c>
      <c r="AK10" s="53">
        <v>1.39376854773134</v>
      </c>
      <c r="AL10" s="53">
        <v>3.0984247539689398</v>
      </c>
      <c r="AM10" s="53">
        <v>1.1924073898919501</v>
      </c>
      <c r="AN10" s="48">
        <v>25.1072245032266</v>
      </c>
      <c r="AO10" s="53">
        <v>9.4826973407036306</v>
      </c>
      <c r="AP10" s="52">
        <v>118.95805959230999</v>
      </c>
      <c r="AQ10" s="48">
        <v>45.795072921493997</v>
      </c>
      <c r="AR10" s="52">
        <v>198.088313542322</v>
      </c>
      <c r="AS10" s="48">
        <v>39.331248221035899</v>
      </c>
      <c r="AT10" s="52">
        <v>343.28776581061101</v>
      </c>
      <c r="AU10" s="48">
        <v>68.013245378102994</v>
      </c>
      <c r="AV10" s="52">
        <v>7224.3585882853404</v>
      </c>
      <c r="AW10" s="53">
        <v>0.68400553401081099</v>
      </c>
      <c r="AX10" s="64">
        <v>0.285408485336547</v>
      </c>
      <c r="AY10" s="64">
        <v>0</v>
      </c>
      <c r="AZ10" s="55">
        <v>0</v>
      </c>
      <c r="BA10" s="64">
        <v>2.37615489333187E-3</v>
      </c>
      <c r="BB10" s="48">
        <v>130.97541185414701</v>
      </c>
      <c r="BC10" s="48">
        <v>52.861973148811501</v>
      </c>
      <c r="BD10" s="52">
        <v>140.359300905125</v>
      </c>
    </row>
    <row r="11" spans="1:56" s="39" customFormat="1" ht="12" customHeight="1">
      <c r="A11" s="47" t="s">
        <v>16</v>
      </c>
      <c r="B11" s="39" t="s">
        <v>129</v>
      </c>
      <c r="C11" s="39" t="s">
        <v>126</v>
      </c>
      <c r="D11" s="48">
        <v>537.66385799945795</v>
      </c>
      <c r="E11" s="52">
        <v>189.577240663373</v>
      </c>
      <c r="F11" s="52">
        <v>640.19685400144294</v>
      </c>
      <c r="G11" s="122">
        <f t="shared" si="0"/>
        <v>0.29612335561859182</v>
      </c>
      <c r="H11" s="53">
        <v>1.2039651938957401</v>
      </c>
      <c r="I11" s="54">
        <v>0.26505754851739899</v>
      </c>
      <c r="J11" s="54">
        <v>5.5295682934224698E-3</v>
      </c>
      <c r="K11" s="54">
        <v>23.9389010525455</v>
      </c>
      <c r="L11" s="54">
        <v>0.59997524296837601</v>
      </c>
      <c r="M11" s="54">
        <v>0.65047929415240402</v>
      </c>
      <c r="N11" s="54">
        <v>9.6962242634781402E-3</v>
      </c>
      <c r="O11" s="54">
        <v>0.59475767395217705</v>
      </c>
      <c r="P11" s="54">
        <v>0.17123285605837199</v>
      </c>
      <c r="Q11" s="54">
        <v>4.6516074409426603E-3</v>
      </c>
      <c r="R11" s="54">
        <v>2.4894737880000002</v>
      </c>
      <c r="S11" s="52">
        <v>3276.8449999999998</v>
      </c>
      <c r="T11" s="67">
        <v>32.72</v>
      </c>
      <c r="U11" s="52">
        <v>3265.9073723207798</v>
      </c>
      <c r="V11" s="67">
        <v>24.5286315244322</v>
      </c>
      <c r="W11" s="52">
        <v>3230.0772089311899</v>
      </c>
      <c r="X11" s="67">
        <v>37.911495155036803</v>
      </c>
      <c r="Y11" s="52">
        <v>3194.68250954928</v>
      </c>
      <c r="Z11" s="67">
        <v>80.273834130149297</v>
      </c>
      <c r="AA11" s="71">
        <f t="shared" si="1"/>
        <v>0.98896851957038223</v>
      </c>
      <c r="AB11" s="48">
        <v>32.731290000000001</v>
      </c>
      <c r="AC11" s="52">
        <v>783.83810290508097</v>
      </c>
      <c r="AD11" s="53">
        <v>1.33208233072732</v>
      </c>
      <c r="AE11" s="52">
        <v>2532.8788616219399</v>
      </c>
      <c r="AF11" s="53">
        <v>5.1061669239312399</v>
      </c>
      <c r="AG11" s="53">
        <v>0.21473744809479201</v>
      </c>
      <c r="AH11" s="53">
        <v>3.5027015251653297E-2</v>
      </c>
      <c r="AI11" s="53">
        <v>9.6175706649775101</v>
      </c>
      <c r="AJ11" s="64">
        <v>8.6820404715802602E-2</v>
      </c>
      <c r="AK11" s="53">
        <v>2.1342708447594401</v>
      </c>
      <c r="AL11" s="53">
        <v>6.8561538121007697</v>
      </c>
      <c r="AM11" s="53">
        <v>1.1321189513514101</v>
      </c>
      <c r="AN11" s="48">
        <v>49.226642217214</v>
      </c>
      <c r="AO11" s="48">
        <v>18.476577916535302</v>
      </c>
      <c r="AP11" s="52">
        <v>224.21214956729401</v>
      </c>
      <c r="AQ11" s="48">
        <v>86.460563072581294</v>
      </c>
      <c r="AR11" s="52">
        <v>376.93673684586599</v>
      </c>
      <c r="AS11" s="48">
        <v>76.2196769681928</v>
      </c>
      <c r="AT11" s="52">
        <v>691.26175844206898</v>
      </c>
      <c r="AU11" s="52">
        <v>135.30947926261899</v>
      </c>
      <c r="AV11" s="52">
        <v>11538.1095583734</v>
      </c>
      <c r="AW11" s="53">
        <v>1.6768824846858701</v>
      </c>
      <c r="AX11" s="64">
        <v>8.7034406512726301E-2</v>
      </c>
      <c r="AY11" s="64">
        <v>0</v>
      </c>
      <c r="AZ11" s="53">
        <v>1.2039651938957401</v>
      </c>
      <c r="BA11" s="64">
        <v>4.7922093814909902E-3</v>
      </c>
      <c r="BB11" s="48">
        <v>537.66385799945795</v>
      </c>
      <c r="BC11" s="52">
        <v>189.577240663373</v>
      </c>
      <c r="BD11" s="52">
        <v>640.19685400144294</v>
      </c>
    </row>
    <row r="12" spans="1:56" s="39" customFormat="1" ht="12" customHeight="1">
      <c r="A12" s="47" t="s">
        <v>16</v>
      </c>
      <c r="B12" s="39" t="s">
        <v>130</v>
      </c>
      <c r="D12" s="48">
        <v>116.122124327347</v>
      </c>
      <c r="E12" s="48">
        <v>42.212952995916403</v>
      </c>
      <c r="F12" s="52">
        <v>127.975237301699</v>
      </c>
      <c r="G12" s="122">
        <f t="shared" si="0"/>
        <v>0.32985250807857641</v>
      </c>
      <c r="H12" s="53">
        <v>0.32009540578490298</v>
      </c>
      <c r="I12" s="54">
        <v>0.27102417906477899</v>
      </c>
      <c r="J12" s="54">
        <v>6.1557037841758096E-3</v>
      </c>
      <c r="K12" s="54">
        <v>25.7749748572712</v>
      </c>
      <c r="L12" s="54">
        <v>0.58525952546460602</v>
      </c>
      <c r="M12" s="54">
        <v>0.68674641595656105</v>
      </c>
      <c r="N12" s="54">
        <v>7.0580555871792598E-3</v>
      </c>
      <c r="O12" s="54">
        <v>0.45262489003920398</v>
      </c>
      <c r="P12" s="54">
        <v>0.18294880025237301</v>
      </c>
      <c r="Q12" s="54">
        <v>5.1263725544113603E-3</v>
      </c>
      <c r="R12" s="54">
        <v>2.2703469718478</v>
      </c>
      <c r="S12" s="52">
        <v>3312.0349999999999</v>
      </c>
      <c r="T12" s="67">
        <v>35.672500000000099</v>
      </c>
      <c r="U12" s="52">
        <v>3338.0389676558698</v>
      </c>
      <c r="V12" s="67">
        <v>22.310471019382199</v>
      </c>
      <c r="W12" s="52">
        <v>3370.1948473887601</v>
      </c>
      <c r="X12" s="67">
        <v>27.035827615946801</v>
      </c>
      <c r="Y12" s="52">
        <v>3395.8626473141699</v>
      </c>
      <c r="Z12" s="67">
        <v>87.590784065906305</v>
      </c>
      <c r="AA12" s="71">
        <f t="shared" si="1"/>
        <v>0.99041301164524886</v>
      </c>
      <c r="AB12" s="48">
        <v>32.731290000000001</v>
      </c>
      <c r="AC12" s="52">
        <v>505.88696949096902</v>
      </c>
      <c r="AD12" s="53">
        <v>1.7292993969547299</v>
      </c>
      <c r="AE12" s="52">
        <v>708.06802426827699</v>
      </c>
      <c r="AF12" s="53">
        <v>0.70713825530222896</v>
      </c>
      <c r="AG12" s="53">
        <v>0.18682458205611799</v>
      </c>
      <c r="AH12" s="53">
        <v>0.13830639003641401</v>
      </c>
      <c r="AI12" s="53">
        <v>3.70622412947582</v>
      </c>
      <c r="AJ12" s="53">
        <v>0.124729032479763</v>
      </c>
      <c r="AK12" s="53">
        <v>1.36542648590672</v>
      </c>
      <c r="AL12" s="53">
        <v>3.0332433454630299</v>
      </c>
      <c r="AM12" s="53">
        <v>0.81877476000161298</v>
      </c>
      <c r="AN12" s="48">
        <v>15.3175339411736</v>
      </c>
      <c r="AO12" s="53">
        <v>5.1160265152799402</v>
      </c>
      <c r="AP12" s="48">
        <v>60.991116785481097</v>
      </c>
      <c r="AQ12" s="48">
        <v>22.480977143629001</v>
      </c>
      <c r="AR12" s="52">
        <v>105.882136692732</v>
      </c>
      <c r="AS12" s="48">
        <v>22.4766321531981</v>
      </c>
      <c r="AT12" s="52">
        <v>210.930693181983</v>
      </c>
      <c r="AU12" s="48">
        <v>43.611649238149198</v>
      </c>
      <c r="AV12" s="52">
        <v>9014.0724718594502</v>
      </c>
      <c r="AW12" s="53">
        <v>0.35596342429716599</v>
      </c>
      <c r="AX12" s="64">
        <v>5.5804402389526497E-2</v>
      </c>
      <c r="AY12" s="64">
        <v>0</v>
      </c>
      <c r="AZ12" s="53">
        <v>0.32009540578490298</v>
      </c>
      <c r="BA12" s="64">
        <v>0</v>
      </c>
      <c r="BB12" s="48">
        <v>116.122124327347</v>
      </c>
      <c r="BC12" s="48">
        <v>42.212952995916403</v>
      </c>
      <c r="BD12" s="52">
        <v>127.975237301699</v>
      </c>
    </row>
    <row r="13" spans="1:56" s="39" customFormat="1" ht="12" customHeight="1">
      <c r="A13" s="47" t="s">
        <v>16</v>
      </c>
      <c r="B13" s="39" t="s">
        <v>131</v>
      </c>
      <c r="D13" s="48">
        <v>149.26454233169201</v>
      </c>
      <c r="E13" s="48">
        <v>50.547507501184803</v>
      </c>
      <c r="F13" s="52">
        <v>168.40791754807</v>
      </c>
      <c r="G13" s="122">
        <f t="shared" si="0"/>
        <v>0.3001492342945018</v>
      </c>
      <c r="H13" s="53">
        <v>0.31244881517891798</v>
      </c>
      <c r="I13" s="54">
        <v>0.26894390590205602</v>
      </c>
      <c r="J13" s="54">
        <v>6.08226652653324E-3</v>
      </c>
      <c r="K13" s="54">
        <v>25.0120145431205</v>
      </c>
      <c r="L13" s="54">
        <v>0.55648217653155496</v>
      </c>
      <c r="M13" s="54">
        <v>0.67175496177912197</v>
      </c>
      <c r="N13" s="54">
        <v>6.3803535517596398E-3</v>
      </c>
      <c r="O13" s="54">
        <v>0.426905033430721</v>
      </c>
      <c r="P13" s="54">
        <v>0.17452705506112101</v>
      </c>
      <c r="Q13" s="54">
        <v>4.8164680627488096E-3</v>
      </c>
      <c r="R13" s="54">
        <v>2.5385395749030399</v>
      </c>
      <c r="S13" s="52">
        <v>3299.69</v>
      </c>
      <c r="T13" s="67">
        <v>35.492499999999801</v>
      </c>
      <c r="U13" s="52">
        <v>3308.68510849317</v>
      </c>
      <c r="V13" s="67">
        <v>21.838575501487401</v>
      </c>
      <c r="W13" s="52">
        <v>3312.6443188562398</v>
      </c>
      <c r="X13" s="67">
        <v>24.668072923105999</v>
      </c>
      <c r="Y13" s="52">
        <v>3251.4514449266198</v>
      </c>
      <c r="Z13" s="67">
        <v>82.885747192734399</v>
      </c>
      <c r="AA13" s="71">
        <f t="shared" si="1"/>
        <v>0.9988041040982748</v>
      </c>
      <c r="AB13" s="48">
        <v>32.731290000000001</v>
      </c>
      <c r="AC13" s="52">
        <v>569.45833650299403</v>
      </c>
      <c r="AD13" s="53">
        <v>8.8339266789720003</v>
      </c>
      <c r="AE13" s="52">
        <v>1102.07163429262</v>
      </c>
      <c r="AF13" s="53">
        <v>1.5141009672157499</v>
      </c>
      <c r="AG13" s="53">
        <v>0.204241249717976</v>
      </c>
      <c r="AH13" s="53">
        <v>0.337356604873357</v>
      </c>
      <c r="AI13" s="53">
        <v>4.8240951750028396</v>
      </c>
      <c r="AJ13" s="53">
        <v>0.26824616236306498</v>
      </c>
      <c r="AK13" s="53">
        <v>2.6666811473273202</v>
      </c>
      <c r="AL13" s="53">
        <v>4.7265884681745103</v>
      </c>
      <c r="AM13" s="53">
        <v>1.1851702186408</v>
      </c>
      <c r="AN13" s="48">
        <v>27.6043250697061</v>
      </c>
      <c r="AO13" s="53">
        <v>9.0908731298363694</v>
      </c>
      <c r="AP13" s="52">
        <v>100.703273493143</v>
      </c>
      <c r="AQ13" s="48">
        <v>37.314902818060197</v>
      </c>
      <c r="AR13" s="52">
        <v>162.069597510054</v>
      </c>
      <c r="AS13" s="48">
        <v>33.576919419777902</v>
      </c>
      <c r="AT13" s="52">
        <v>307.37579325296298</v>
      </c>
      <c r="AU13" s="48">
        <v>62.260023680524498</v>
      </c>
      <c r="AV13" s="52">
        <v>9558.9332100219308</v>
      </c>
      <c r="AW13" s="53">
        <v>0.54433325304259395</v>
      </c>
      <c r="AX13" s="64">
        <v>3.6767404723093297E-2</v>
      </c>
      <c r="AY13" s="64">
        <v>0</v>
      </c>
      <c r="AZ13" s="53">
        <v>0.31244881517891798</v>
      </c>
      <c r="BA13" s="64">
        <v>0</v>
      </c>
      <c r="BB13" s="48">
        <v>149.26454233169201</v>
      </c>
      <c r="BC13" s="48">
        <v>50.547507501184803</v>
      </c>
      <c r="BD13" s="52">
        <v>168.40791754807</v>
      </c>
    </row>
    <row r="14" spans="1:56" s="39" customFormat="1" ht="12" customHeight="1">
      <c r="A14" s="47" t="s">
        <v>16</v>
      </c>
      <c r="B14" s="39" t="s">
        <v>132</v>
      </c>
      <c r="D14" s="48">
        <v>178.64606221096901</v>
      </c>
      <c r="E14" s="48">
        <v>87.1484097295521</v>
      </c>
      <c r="F14" s="52">
        <v>229.685045593712</v>
      </c>
      <c r="G14" s="122">
        <f t="shared" si="0"/>
        <v>0.37942570228846423</v>
      </c>
      <c r="H14" s="53">
        <v>0.74139280978294997</v>
      </c>
      <c r="I14" s="54">
        <v>0.25913922578913201</v>
      </c>
      <c r="J14" s="54">
        <v>5.7478461103456502E-3</v>
      </c>
      <c r="K14" s="54">
        <v>21.905790821217899</v>
      </c>
      <c r="L14" s="54">
        <v>0.67199724831819097</v>
      </c>
      <c r="M14" s="54">
        <v>0.60639503978730602</v>
      </c>
      <c r="N14" s="54">
        <v>1.2551977669422801E-2</v>
      </c>
      <c r="O14" s="54">
        <v>0.67475787107544305</v>
      </c>
      <c r="P14" s="54">
        <v>0.17242708646928701</v>
      </c>
      <c r="Q14" s="54">
        <v>4.4975116785530202E-3</v>
      </c>
      <c r="R14" s="54">
        <v>1.86786002793577</v>
      </c>
      <c r="S14" s="52">
        <v>3241.665</v>
      </c>
      <c r="T14" s="67">
        <v>35.182500000000097</v>
      </c>
      <c r="U14" s="52">
        <v>3179.5600882183799</v>
      </c>
      <c r="V14" s="67">
        <v>29.867099527357102</v>
      </c>
      <c r="W14" s="52">
        <v>3055.5523785895198</v>
      </c>
      <c r="X14" s="67">
        <v>50.397719967884001</v>
      </c>
      <c r="Y14" s="52">
        <v>3215.2811121678701</v>
      </c>
      <c r="Z14" s="67">
        <v>77.535511009179302</v>
      </c>
      <c r="AA14" s="71">
        <f t="shared" si="1"/>
        <v>0.96022278337752376</v>
      </c>
      <c r="AB14" s="48">
        <v>32.731290000000001</v>
      </c>
      <c r="AC14" s="52">
        <v>573.04652861009697</v>
      </c>
      <c r="AD14" s="53">
        <v>9.1012476484161002</v>
      </c>
      <c r="AE14" s="52">
        <v>1411.09813415334</v>
      </c>
      <c r="AF14" s="53">
        <v>2.6413804518735402</v>
      </c>
      <c r="AG14" s="53">
        <v>4.0306872169289196</v>
      </c>
      <c r="AH14" s="53">
        <v>0.22568891622724399</v>
      </c>
      <c r="AI14" s="53">
        <v>9.5574473283125592</v>
      </c>
      <c r="AJ14" s="53">
        <v>0.27498351305199398</v>
      </c>
      <c r="AK14" s="53">
        <v>2.2529172538915501</v>
      </c>
      <c r="AL14" s="53">
        <v>3.31011181077695</v>
      </c>
      <c r="AM14" s="53">
        <v>2.16674299754369</v>
      </c>
      <c r="AN14" s="48">
        <v>22.1943129232628</v>
      </c>
      <c r="AO14" s="53">
        <v>8.2352038923990101</v>
      </c>
      <c r="AP14" s="52">
        <v>109.995640251607</v>
      </c>
      <c r="AQ14" s="48">
        <v>46.114849061604303</v>
      </c>
      <c r="AR14" s="52">
        <v>218.72052284592999</v>
      </c>
      <c r="AS14" s="48">
        <v>47.858623417447099</v>
      </c>
      <c r="AT14" s="52">
        <v>448.66028426201098</v>
      </c>
      <c r="AU14" s="48">
        <v>95.062273825198005</v>
      </c>
      <c r="AV14" s="52">
        <v>8200.2967325584304</v>
      </c>
      <c r="AW14" s="53">
        <v>0.91248236577969299</v>
      </c>
      <c r="AX14" s="64">
        <v>0.17068708757324799</v>
      </c>
      <c r="AY14" s="64">
        <v>0</v>
      </c>
      <c r="AZ14" s="53">
        <v>0.74139280978294997</v>
      </c>
      <c r="BA14" s="64">
        <v>4.9783402666668799E-3</v>
      </c>
      <c r="BB14" s="48">
        <v>178.64606221096901</v>
      </c>
      <c r="BC14" s="48">
        <v>87.1484097295521</v>
      </c>
      <c r="BD14" s="52">
        <v>229.685045593712</v>
      </c>
    </row>
    <row r="15" spans="1:56" s="39" customFormat="1" ht="12" customHeight="1">
      <c r="A15" s="47" t="s">
        <v>16</v>
      </c>
      <c r="B15" s="39" t="s">
        <v>133</v>
      </c>
      <c r="C15" s="39" t="s">
        <v>126</v>
      </c>
      <c r="D15" s="48">
        <v>229.669604711478</v>
      </c>
      <c r="E15" s="48">
        <v>78.716669909262606</v>
      </c>
      <c r="F15" s="52">
        <v>251.651532532516</v>
      </c>
      <c r="G15" s="122">
        <f t="shared" si="0"/>
        <v>0.31280028028079498</v>
      </c>
      <c r="H15" s="48">
        <v>27.116003008521599</v>
      </c>
      <c r="I15" s="54">
        <v>0.25084303988392598</v>
      </c>
      <c r="J15" s="54">
        <v>7.1592438521369296E-3</v>
      </c>
      <c r="K15" s="54">
        <v>22.177714105373301</v>
      </c>
      <c r="L15" s="54">
        <v>1.19348093543839</v>
      </c>
      <c r="M15" s="54">
        <v>0.615914461403407</v>
      </c>
      <c r="N15" s="54">
        <v>1.5123708428266601E-2</v>
      </c>
      <c r="O15" s="54">
        <v>0.45628814919419802</v>
      </c>
      <c r="P15" s="54">
        <v>0.260606356964242</v>
      </c>
      <c r="Q15" s="54">
        <v>5.9331797535243001E-2</v>
      </c>
      <c r="R15" s="54">
        <v>2.35912578201606</v>
      </c>
      <c r="S15" s="52">
        <v>3189.8150000000001</v>
      </c>
      <c r="T15" s="67">
        <v>45.057500000000097</v>
      </c>
      <c r="U15" s="52">
        <v>3191.5430959995301</v>
      </c>
      <c r="V15" s="67">
        <v>52.329743317947198</v>
      </c>
      <c r="W15" s="52">
        <v>3093.6407825822298</v>
      </c>
      <c r="X15" s="67">
        <v>60.356569996050702</v>
      </c>
      <c r="Y15" s="52">
        <v>4681.0073955035105</v>
      </c>
      <c r="Z15" s="67">
        <v>951.31032493355599</v>
      </c>
      <c r="AA15" s="71">
        <f t="shared" si="1"/>
        <v>0.96884663509975411</v>
      </c>
      <c r="AB15" s="48">
        <v>32.731290000000001</v>
      </c>
      <c r="AC15" s="52">
        <v>582.15931099438797</v>
      </c>
      <c r="AD15" s="53">
        <v>4.8393012727171696</v>
      </c>
      <c r="AE15" s="52">
        <v>1187.3128860095701</v>
      </c>
      <c r="AF15" s="53">
        <v>1.27606402945123</v>
      </c>
      <c r="AG15" s="53">
        <v>2.1967081305549701</v>
      </c>
      <c r="AH15" s="53">
        <v>0.28166488337412399</v>
      </c>
      <c r="AI15" s="53">
        <v>7.4760636864390699</v>
      </c>
      <c r="AJ15" s="53">
        <v>0.47037959449632499</v>
      </c>
      <c r="AK15" s="53">
        <v>4.9329817592165703</v>
      </c>
      <c r="AL15" s="53">
        <v>6.8249383750328203</v>
      </c>
      <c r="AM15" s="53">
        <v>3.5996905221450199</v>
      </c>
      <c r="AN15" s="48">
        <v>31.9578412917324</v>
      </c>
      <c r="AO15" s="53">
        <v>9.9347088974311006</v>
      </c>
      <c r="AP15" s="52">
        <v>108.747986436646</v>
      </c>
      <c r="AQ15" s="48">
        <v>39.079825618832899</v>
      </c>
      <c r="AR15" s="52">
        <v>170.212258446448</v>
      </c>
      <c r="AS15" s="48">
        <v>36.277528843192499</v>
      </c>
      <c r="AT15" s="52">
        <v>333.54013090021198</v>
      </c>
      <c r="AU15" s="48">
        <v>67.427519178923205</v>
      </c>
      <c r="AV15" s="52">
        <v>8767.2600066774703</v>
      </c>
      <c r="AW15" s="53">
        <v>1.0663964841900799</v>
      </c>
      <c r="AX15" s="64">
        <v>0.123497226933931</v>
      </c>
      <c r="AY15" s="64">
        <v>0</v>
      </c>
      <c r="AZ15" s="48">
        <v>27.116003008521599</v>
      </c>
      <c r="BA15" s="64">
        <v>2.0193460467110701E-2</v>
      </c>
      <c r="BB15" s="48">
        <v>229.669604711478</v>
      </c>
      <c r="BC15" s="48">
        <v>78.716669909262606</v>
      </c>
      <c r="BD15" s="52">
        <v>251.651532532516</v>
      </c>
    </row>
    <row r="16" spans="1:56" s="40" customFormat="1" ht="12" customHeight="1">
      <c r="A16" s="47" t="s">
        <v>16</v>
      </c>
      <c r="B16" s="40" t="s">
        <v>134</v>
      </c>
      <c r="C16" s="40" t="s">
        <v>135</v>
      </c>
      <c r="D16" s="49">
        <v>86.064250869428605</v>
      </c>
      <c r="E16" s="56">
        <v>172.96518443676399</v>
      </c>
      <c r="F16" s="56">
        <v>232.819448652326</v>
      </c>
      <c r="G16" s="122">
        <f t="shared" si="0"/>
        <v>0.74291553149005352</v>
      </c>
      <c r="H16" s="57">
        <v>0</v>
      </c>
      <c r="I16" s="58">
        <v>0.10090074161297601</v>
      </c>
      <c r="J16" s="58">
        <v>2.3586030121009699E-3</v>
      </c>
      <c r="K16" s="58">
        <v>3.98201977394113</v>
      </c>
      <c r="L16" s="58">
        <v>9.0770596165590398E-2</v>
      </c>
      <c r="M16" s="58">
        <v>0.28482459713464298</v>
      </c>
      <c r="N16" s="58">
        <v>2.4272114954751499E-3</v>
      </c>
      <c r="O16" s="58">
        <v>0.373842225177203</v>
      </c>
      <c r="P16" s="58">
        <v>8.1839523517808793E-2</v>
      </c>
      <c r="Q16" s="58">
        <v>2.2194103791641699E-3</v>
      </c>
      <c r="R16" s="58">
        <v>0.97385759328474797</v>
      </c>
      <c r="S16" s="56">
        <v>1642.59</v>
      </c>
      <c r="T16" s="68">
        <v>42.747499999999903</v>
      </c>
      <c r="U16" s="56">
        <v>1630.5380371721701</v>
      </c>
      <c r="V16" s="68">
        <v>18.533107902218401</v>
      </c>
      <c r="W16" s="56">
        <v>1615.6145608112599</v>
      </c>
      <c r="X16" s="68">
        <v>12.2093787124527</v>
      </c>
      <c r="Y16" s="56">
        <v>1589.95158657969</v>
      </c>
      <c r="Z16" s="68">
        <v>41.465696637788703</v>
      </c>
      <c r="AA16" s="71">
        <f t="shared" si="1"/>
        <v>0.99080543756927453</v>
      </c>
      <c r="AB16" s="49">
        <v>32.731290000000001</v>
      </c>
      <c r="AC16" s="56">
        <v>551.25015467545904</v>
      </c>
      <c r="AD16" s="49">
        <v>10.5872224977733</v>
      </c>
      <c r="AE16" s="56">
        <v>714.59252419340896</v>
      </c>
      <c r="AF16" s="59">
        <v>1.8857398344932901</v>
      </c>
      <c r="AG16" s="59">
        <v>1.31287012385468E-2</v>
      </c>
      <c r="AH16" s="59">
        <v>1.1098348537573599E-2</v>
      </c>
      <c r="AI16" s="49">
        <v>12.211680505614</v>
      </c>
      <c r="AJ16" s="72">
        <v>7.4449213206784007E-2</v>
      </c>
      <c r="AK16" s="59">
        <v>1.16192196176897</v>
      </c>
      <c r="AL16" s="59">
        <v>2.36762754531307</v>
      </c>
      <c r="AM16" s="59">
        <v>0.21029909953018899</v>
      </c>
      <c r="AN16" s="49">
        <v>13.686973282797201</v>
      </c>
      <c r="AO16" s="59">
        <v>4.7323372439258398</v>
      </c>
      <c r="AP16" s="49">
        <v>61.614231494063297</v>
      </c>
      <c r="AQ16" s="49">
        <v>24.1008892479209</v>
      </c>
      <c r="AR16" s="56">
        <v>108.212508174704</v>
      </c>
      <c r="AS16" s="49">
        <v>23.002052220320198</v>
      </c>
      <c r="AT16" s="56">
        <v>213.827904254891</v>
      </c>
      <c r="AU16" s="49">
        <v>41.425510952515502</v>
      </c>
      <c r="AV16" s="56">
        <v>9369.1033942644408</v>
      </c>
      <c r="AW16" s="59">
        <v>0.98810949929124403</v>
      </c>
      <c r="AX16" s="72">
        <v>1.27482541816458E-2</v>
      </c>
      <c r="AY16" s="72">
        <v>0</v>
      </c>
      <c r="AZ16" s="57">
        <v>0</v>
      </c>
      <c r="BA16" s="72">
        <v>2.7440226383994099E-2</v>
      </c>
      <c r="BB16" s="49">
        <v>86.064250869428605</v>
      </c>
      <c r="BC16" s="56">
        <v>172.96518443676399</v>
      </c>
      <c r="BD16" s="56">
        <v>232.819448652326</v>
      </c>
    </row>
    <row r="17" spans="1:56" s="40" customFormat="1" ht="12" customHeight="1">
      <c r="A17" s="47" t="s">
        <v>16</v>
      </c>
      <c r="B17" s="40" t="s">
        <v>136</v>
      </c>
      <c r="C17" s="40" t="s">
        <v>126</v>
      </c>
      <c r="D17" s="49">
        <v>373.037195178437</v>
      </c>
      <c r="E17" s="49">
        <v>63.310181237709898</v>
      </c>
      <c r="F17" s="56">
        <v>527.80859749791705</v>
      </c>
      <c r="G17" s="122">
        <f t="shared" si="0"/>
        <v>0.11994912841100461</v>
      </c>
      <c r="H17" s="59">
        <v>1.4236533701599601</v>
      </c>
      <c r="I17" s="58">
        <v>0.30475761256252998</v>
      </c>
      <c r="J17" s="58">
        <v>5.5354579382514901E-3</v>
      </c>
      <c r="K17" s="58">
        <v>23.383060689533</v>
      </c>
      <c r="L17" s="58">
        <v>0.55111777650680704</v>
      </c>
      <c r="M17" s="58">
        <v>0.55173631354731401</v>
      </c>
      <c r="N17" s="58">
        <v>8.0787857781735497E-3</v>
      </c>
      <c r="O17" s="58">
        <v>0.62125723686207102</v>
      </c>
      <c r="P17" s="58">
        <v>0.17999865553586</v>
      </c>
      <c r="Q17" s="58">
        <v>4.0787247967204602E-3</v>
      </c>
      <c r="R17" s="58">
        <v>6.3724932560357699</v>
      </c>
      <c r="S17" s="56">
        <v>3494.75</v>
      </c>
      <c r="T17" s="68">
        <v>28.8599999999999</v>
      </c>
      <c r="U17" s="56">
        <v>3243.0204164812799</v>
      </c>
      <c r="V17" s="68">
        <v>23.055887364098499</v>
      </c>
      <c r="W17" s="56">
        <v>2832.3900484211499</v>
      </c>
      <c r="X17" s="68">
        <v>33.596720344989997</v>
      </c>
      <c r="Y17" s="56">
        <v>3345.3926043564302</v>
      </c>
      <c r="Z17" s="68">
        <v>69.864585673786394</v>
      </c>
      <c r="AA17" s="71">
        <f t="shared" si="1"/>
        <v>0.86482218100905728</v>
      </c>
      <c r="AB17" s="49">
        <v>32.731290000000001</v>
      </c>
      <c r="AC17" s="56">
        <v>480.49865015871802</v>
      </c>
      <c r="AD17" s="59">
        <v>6.8509895264720297</v>
      </c>
      <c r="AE17" s="56">
        <v>814.76108662464605</v>
      </c>
      <c r="AF17" s="59">
        <v>2.1483864451109902</v>
      </c>
      <c r="AG17" s="59">
        <v>7.5823495976410902</v>
      </c>
      <c r="AH17" s="59">
        <v>0.86203170410274799</v>
      </c>
      <c r="AI17" s="59">
        <v>8.9574858478136807</v>
      </c>
      <c r="AJ17" s="59">
        <v>0.72237448890150502</v>
      </c>
      <c r="AK17" s="59">
        <v>4.7278588740947498</v>
      </c>
      <c r="AL17" s="59">
        <v>3.9884442887059302</v>
      </c>
      <c r="AM17" s="49">
        <v>14.6176651434284</v>
      </c>
      <c r="AN17" s="49">
        <v>15.8248766797072</v>
      </c>
      <c r="AO17" s="59">
        <v>5.4281808964155598</v>
      </c>
      <c r="AP17" s="49">
        <v>66.715387445742806</v>
      </c>
      <c r="AQ17" s="49">
        <v>26.134693565027</v>
      </c>
      <c r="AR17" s="56">
        <v>126.69629521470701</v>
      </c>
      <c r="AS17" s="49">
        <v>28.680416209676</v>
      </c>
      <c r="AT17" s="56">
        <v>285.53425965674001</v>
      </c>
      <c r="AU17" s="49">
        <v>60.263766117545003</v>
      </c>
      <c r="AV17" s="56">
        <v>9721.2228156744495</v>
      </c>
      <c r="AW17" s="59">
        <v>2.45050904245559</v>
      </c>
      <c r="AX17" s="72">
        <v>0.52669087239260004</v>
      </c>
      <c r="AY17" s="72">
        <v>0</v>
      </c>
      <c r="AZ17" s="59">
        <v>1.4236533701599601</v>
      </c>
      <c r="BA17" s="72">
        <v>2.6589629994919602E-2</v>
      </c>
      <c r="BB17" s="49">
        <v>373.037195178437</v>
      </c>
      <c r="BC17" s="49">
        <v>63.310181237709898</v>
      </c>
      <c r="BD17" s="56">
        <v>527.80859749791705</v>
      </c>
    </row>
    <row r="18" spans="1:56" s="40" customFormat="1" ht="12" customHeight="1">
      <c r="A18" s="47" t="s">
        <v>16</v>
      </c>
      <c r="B18" s="40" t="s">
        <v>137</v>
      </c>
      <c r="C18" s="40" t="s">
        <v>135</v>
      </c>
      <c r="D18" s="49">
        <v>276.66461513452498</v>
      </c>
      <c r="E18" s="56">
        <v>136.94833387000301</v>
      </c>
      <c r="F18" s="56">
        <v>235.094278355575</v>
      </c>
      <c r="G18" s="122">
        <f t="shared" si="0"/>
        <v>0.58252516746865113</v>
      </c>
      <c r="H18" s="59">
        <v>0.28930801647587201</v>
      </c>
      <c r="I18" s="58">
        <v>0.36525256554678998</v>
      </c>
      <c r="J18" s="58">
        <v>7.4202045687530097E-3</v>
      </c>
      <c r="K18" s="58">
        <v>40.687041191389</v>
      </c>
      <c r="L18" s="58">
        <v>0.90350460814677502</v>
      </c>
      <c r="M18" s="58">
        <v>0.80403176547696797</v>
      </c>
      <c r="N18" s="58">
        <v>1.0126145454184599E-2</v>
      </c>
      <c r="O18" s="58">
        <v>0.56714837357924397</v>
      </c>
      <c r="P18" s="58">
        <v>0.212686143129348</v>
      </c>
      <c r="Q18" s="58">
        <v>6.0371919296309199E-3</v>
      </c>
      <c r="R18" s="58">
        <v>1.2975187247847499</v>
      </c>
      <c r="S18" s="56">
        <v>3771.915</v>
      </c>
      <c r="T18" s="68">
        <v>30.812500000000199</v>
      </c>
      <c r="U18" s="56">
        <v>3787.57203402708</v>
      </c>
      <c r="V18" s="68">
        <v>22.157117619742301</v>
      </c>
      <c r="W18" s="56">
        <v>3803.5392737658499</v>
      </c>
      <c r="X18" s="68">
        <v>36.242380237243601</v>
      </c>
      <c r="Y18" s="56">
        <v>3897.68271153461</v>
      </c>
      <c r="Z18" s="68">
        <v>100.623811739506</v>
      </c>
      <c r="AA18" s="71">
        <f t="shared" si="1"/>
        <v>0.9957931746508899</v>
      </c>
      <c r="AB18" s="49">
        <v>32.731290000000001</v>
      </c>
      <c r="AC18" s="56">
        <v>536.68804614261501</v>
      </c>
      <c r="AD18" s="59">
        <v>9.5841666802066303</v>
      </c>
      <c r="AE18" s="56">
        <v>1160.4299156832501</v>
      </c>
      <c r="AF18" s="59">
        <v>2.4703859885872799</v>
      </c>
      <c r="AG18" s="59">
        <v>1.1760917244558899</v>
      </c>
      <c r="AH18" s="59">
        <v>9.4504364034408594E-2</v>
      </c>
      <c r="AI18" s="49">
        <v>11.934926575215201</v>
      </c>
      <c r="AJ18" s="59">
        <v>0.31051469933113701</v>
      </c>
      <c r="AK18" s="59">
        <v>3.5887684226966798</v>
      </c>
      <c r="AL18" s="59">
        <v>4.4843626338732303</v>
      </c>
      <c r="AM18" s="59">
        <v>2.5640374147442402</v>
      </c>
      <c r="AN18" s="49">
        <v>23.2725653582227</v>
      </c>
      <c r="AO18" s="59">
        <v>8.0733204995979708</v>
      </c>
      <c r="AP18" s="49">
        <v>99.065947346376703</v>
      </c>
      <c r="AQ18" s="49">
        <v>39.592863347899097</v>
      </c>
      <c r="AR18" s="56">
        <v>179.76528930675701</v>
      </c>
      <c r="AS18" s="49">
        <v>37.914841466373197</v>
      </c>
      <c r="AT18" s="56">
        <v>356.01020357743698</v>
      </c>
      <c r="AU18" s="49">
        <v>75.754465581678701</v>
      </c>
      <c r="AV18" s="56">
        <v>8995.4562545896406</v>
      </c>
      <c r="AW18" s="59">
        <v>0.77438482835429701</v>
      </c>
      <c r="AX18" s="72">
        <v>0.15316357506459299</v>
      </c>
      <c r="AY18" s="72">
        <v>0</v>
      </c>
      <c r="AZ18" s="59">
        <v>0.28930801647587201</v>
      </c>
      <c r="BA18" s="72">
        <v>0</v>
      </c>
      <c r="BB18" s="49">
        <v>276.66461513452498</v>
      </c>
      <c r="BC18" s="56">
        <v>136.94833387000301</v>
      </c>
      <c r="BD18" s="56">
        <v>235.094278355575</v>
      </c>
    </row>
    <row r="19" spans="1:56" s="40" customFormat="1" ht="12" customHeight="1">
      <c r="A19" s="47" t="s">
        <v>16</v>
      </c>
      <c r="B19" s="40" t="s">
        <v>138</v>
      </c>
      <c r="C19" s="40" t="s">
        <v>135</v>
      </c>
      <c r="D19" s="49">
        <v>271.75420665495</v>
      </c>
      <c r="E19" s="49">
        <v>84.090498566315304</v>
      </c>
      <c r="F19" s="56">
        <v>346.32342630291703</v>
      </c>
      <c r="G19" s="122">
        <f t="shared" si="0"/>
        <v>0.24280915519923355</v>
      </c>
      <c r="H19" s="59">
        <v>1.2663972223103901</v>
      </c>
      <c r="I19" s="58">
        <v>0.32473426753467499</v>
      </c>
      <c r="J19" s="58">
        <v>7.7562026954375697E-3</v>
      </c>
      <c r="K19" s="58">
        <v>26.8126100813279</v>
      </c>
      <c r="L19" s="58">
        <v>0.86250116237896202</v>
      </c>
      <c r="M19" s="58">
        <v>0.59001332071242596</v>
      </c>
      <c r="N19" s="58">
        <v>1.0549811385230701E-2</v>
      </c>
      <c r="O19" s="58">
        <v>0.555855979551241</v>
      </c>
      <c r="P19" s="58">
        <v>0.189118796902467</v>
      </c>
      <c r="Q19" s="58">
        <v>4.8627781285225796E-3</v>
      </c>
      <c r="R19" s="58">
        <v>3.1353139864702899</v>
      </c>
      <c r="S19" s="56">
        <v>3592.28</v>
      </c>
      <c r="T19" s="68">
        <v>36.724999999999902</v>
      </c>
      <c r="U19" s="56">
        <v>3376.64570025786</v>
      </c>
      <c r="V19" s="68">
        <v>31.571806744404501</v>
      </c>
      <c r="W19" s="56">
        <v>2989.4755455510299</v>
      </c>
      <c r="X19" s="68">
        <v>42.802707121904199</v>
      </c>
      <c r="Y19" s="56">
        <v>3501.01113710352</v>
      </c>
      <c r="Z19" s="68">
        <v>82.655814069549805</v>
      </c>
      <c r="AA19" s="71">
        <f t="shared" si="1"/>
        <v>0.87836544741848199</v>
      </c>
      <c r="AB19" s="49">
        <v>32.731290000000001</v>
      </c>
      <c r="AC19" s="56">
        <v>549.03398166089403</v>
      </c>
      <c r="AD19" s="49">
        <v>12.0938635345591</v>
      </c>
      <c r="AE19" s="56">
        <v>997.345554785589</v>
      </c>
      <c r="AF19" s="59">
        <v>1.82557268571624</v>
      </c>
      <c r="AG19" s="59">
        <v>5.0267554603114997</v>
      </c>
      <c r="AH19" s="59">
        <v>1.1030729871363001</v>
      </c>
      <c r="AI19" s="49">
        <v>19.791449463889499</v>
      </c>
      <c r="AJ19" s="59">
        <v>1.6375975653160999</v>
      </c>
      <c r="AK19" s="49">
        <v>13.0447098043935</v>
      </c>
      <c r="AL19" s="49">
        <v>10.818543908661299</v>
      </c>
      <c r="AM19" s="59">
        <v>5.1555287449501099</v>
      </c>
      <c r="AN19" s="49">
        <v>33.880851443666202</v>
      </c>
      <c r="AO19" s="59">
        <v>9.1292179890809706</v>
      </c>
      <c r="AP19" s="49">
        <v>94.678578993931097</v>
      </c>
      <c r="AQ19" s="49">
        <v>32.9702348084408</v>
      </c>
      <c r="AR19" s="56">
        <v>139.16119671529</v>
      </c>
      <c r="AS19" s="49">
        <v>29.3015025688699</v>
      </c>
      <c r="AT19" s="56">
        <v>278.64487177650801</v>
      </c>
      <c r="AU19" s="49">
        <v>56.771834156159898</v>
      </c>
      <c r="AV19" s="56">
        <v>9047.2227639491302</v>
      </c>
      <c r="AW19" s="59">
        <v>1.07420464831726</v>
      </c>
      <c r="AX19" s="72">
        <v>0.94153570428691902</v>
      </c>
      <c r="AY19" s="72">
        <v>0</v>
      </c>
      <c r="AZ19" s="59">
        <v>1.2663972223103901</v>
      </c>
      <c r="BA19" s="72">
        <v>9.67440170242349E-3</v>
      </c>
      <c r="BB19" s="49">
        <v>271.75420665495</v>
      </c>
      <c r="BC19" s="49">
        <v>84.090498566315304</v>
      </c>
      <c r="BD19" s="56">
        <v>346.32342630291703</v>
      </c>
    </row>
    <row r="20" spans="1:56" s="40" customFormat="1" ht="12" customHeight="1">
      <c r="A20" s="47" t="s">
        <v>16</v>
      </c>
      <c r="B20" s="40" t="s">
        <v>139</v>
      </c>
      <c r="C20" s="40" t="s">
        <v>126</v>
      </c>
      <c r="D20" s="49">
        <v>291.965161074707</v>
      </c>
      <c r="E20" s="49">
        <v>74.840193892511607</v>
      </c>
      <c r="F20" s="56">
        <v>285.61644502755797</v>
      </c>
      <c r="G20" s="122">
        <f t="shared" si="0"/>
        <v>0.26203040894683283</v>
      </c>
      <c r="H20" s="49">
        <v>28.542160173849801</v>
      </c>
      <c r="I20" s="58">
        <v>0.32801380549139603</v>
      </c>
      <c r="J20" s="58">
        <v>8.1270622407736293E-3</v>
      </c>
      <c r="K20" s="58">
        <v>32.046393093658097</v>
      </c>
      <c r="L20" s="58">
        <v>1.10029701009443</v>
      </c>
      <c r="M20" s="58">
        <v>0.69840296929872903</v>
      </c>
      <c r="N20" s="58">
        <v>1.4442737343640899E-2</v>
      </c>
      <c r="O20" s="58">
        <v>0.60229971667523396</v>
      </c>
      <c r="P20" s="58">
        <v>0.26787013625725298</v>
      </c>
      <c r="Q20" s="58">
        <v>3.6391974768675998E-2</v>
      </c>
      <c r="R20" s="58">
        <v>2.7209163802735601</v>
      </c>
      <c r="S20" s="56">
        <v>3609.26</v>
      </c>
      <c r="T20" s="68">
        <v>37.96</v>
      </c>
      <c r="U20" s="56">
        <v>3551.7209986350099</v>
      </c>
      <c r="V20" s="68">
        <v>33.893870131335298</v>
      </c>
      <c r="W20" s="56">
        <v>3414.5906829791702</v>
      </c>
      <c r="X20" s="68">
        <v>54.849480273768599</v>
      </c>
      <c r="Y20" s="56">
        <v>4797.1386471800497</v>
      </c>
      <c r="Z20" s="68">
        <v>580.15634634056005</v>
      </c>
      <c r="AA20" s="71">
        <f t="shared" si="1"/>
        <v>0.96063043919847557</v>
      </c>
      <c r="AB20" s="49">
        <v>32.731290000000001</v>
      </c>
      <c r="AC20" s="56">
        <v>563.66591408809904</v>
      </c>
      <c r="AD20" s="59">
        <v>2.9414928373381701</v>
      </c>
      <c r="AE20" s="56">
        <v>556.88491267543804</v>
      </c>
      <c r="AF20" s="59">
        <v>1.08230539001245</v>
      </c>
      <c r="AG20" s="59">
        <v>5.4184964173573702</v>
      </c>
      <c r="AH20" s="59">
        <v>1.0443109566151101</v>
      </c>
      <c r="AI20" s="49">
        <v>14.53312379177</v>
      </c>
      <c r="AJ20" s="59">
        <v>1.0226561945666901</v>
      </c>
      <c r="AK20" s="59">
        <v>6.2216884947485998</v>
      </c>
      <c r="AL20" s="59">
        <v>3.81561871654467</v>
      </c>
      <c r="AM20" s="59">
        <v>4.9414564394603504</v>
      </c>
      <c r="AN20" s="49">
        <v>13.805142519813099</v>
      </c>
      <c r="AO20" s="59">
        <v>3.9650871222957398</v>
      </c>
      <c r="AP20" s="49">
        <v>47.004693630536401</v>
      </c>
      <c r="AQ20" s="49">
        <v>17.582149515891</v>
      </c>
      <c r="AR20" s="49">
        <v>82.681827802889501</v>
      </c>
      <c r="AS20" s="49">
        <v>18.753968014723</v>
      </c>
      <c r="AT20" s="56">
        <v>179.633137292382</v>
      </c>
      <c r="AU20" s="49">
        <v>38.713192387033601</v>
      </c>
      <c r="AV20" s="56">
        <v>10102.214376620601</v>
      </c>
      <c r="AW20" s="59">
        <v>0.81274606701419705</v>
      </c>
      <c r="AX20" s="72">
        <v>0.29540748431380898</v>
      </c>
      <c r="AY20" s="72">
        <v>0</v>
      </c>
      <c r="AZ20" s="49">
        <v>28.542160173849801</v>
      </c>
      <c r="BA20" s="72">
        <v>8.8746107034734598E-5</v>
      </c>
      <c r="BB20" s="49">
        <v>291.965161074707</v>
      </c>
      <c r="BC20" s="49">
        <v>74.840193892511607</v>
      </c>
      <c r="BD20" s="56">
        <v>285.61644502755797</v>
      </c>
    </row>
    <row r="21" spans="1:56" s="41" customFormat="1" ht="12" customHeight="1">
      <c r="A21" s="47" t="s">
        <v>16</v>
      </c>
      <c r="B21" s="41" t="s">
        <v>140</v>
      </c>
      <c r="C21" s="41" t="s">
        <v>135</v>
      </c>
      <c r="D21" s="50">
        <v>242.12151826570499</v>
      </c>
      <c r="E21" s="50">
        <v>63.957112015598298</v>
      </c>
      <c r="F21" s="60">
        <v>248.46103220836301</v>
      </c>
      <c r="G21" s="122">
        <f t="shared" si="0"/>
        <v>0.25741304963251921</v>
      </c>
      <c r="H21" s="61">
        <v>1.2759928988538101</v>
      </c>
      <c r="I21" s="62">
        <v>0.36180496273391499</v>
      </c>
      <c r="J21" s="62">
        <v>6.7532560028625297E-3</v>
      </c>
      <c r="K21" s="62">
        <v>35.251760703400002</v>
      </c>
      <c r="L21" s="62">
        <v>0.81727325752276903</v>
      </c>
      <c r="M21" s="62">
        <v>0.70224100535463996</v>
      </c>
      <c r="N21" s="62">
        <v>1.05661711579247E-2</v>
      </c>
      <c r="O21" s="62">
        <v>0.64900042496374</v>
      </c>
      <c r="P21" s="62">
        <v>0.225578693020064</v>
      </c>
      <c r="Q21" s="62">
        <v>5.4883099065651903E-3</v>
      </c>
      <c r="R21" s="62">
        <v>3.1325333649101799</v>
      </c>
      <c r="S21" s="60">
        <v>3757.71</v>
      </c>
      <c r="T21" s="69">
        <v>29.170000000000101</v>
      </c>
      <c r="U21" s="60">
        <v>3645.7206186215399</v>
      </c>
      <c r="V21" s="69">
        <v>23.025025558019301</v>
      </c>
      <c r="W21" s="60">
        <v>3429.1417978573099</v>
      </c>
      <c r="X21" s="69">
        <v>40.057084251599697</v>
      </c>
      <c r="Y21" s="60">
        <v>4111.4327420946502</v>
      </c>
      <c r="Z21" s="69">
        <v>90.513137983934001</v>
      </c>
      <c r="AA21" s="71">
        <f t="shared" si="1"/>
        <v>0.93877511447861595</v>
      </c>
      <c r="AB21" s="50">
        <v>32.731290000000001</v>
      </c>
      <c r="AC21" s="60">
        <v>540.74036397681698</v>
      </c>
      <c r="AD21" s="61">
        <v>2.3018356356363201</v>
      </c>
      <c r="AE21" s="60">
        <v>737.31730223894601</v>
      </c>
      <c r="AF21" s="61">
        <v>1.21566832228725</v>
      </c>
      <c r="AG21" s="61">
        <v>1.12585605663058</v>
      </c>
      <c r="AH21" s="61">
        <v>0.74390812512805404</v>
      </c>
      <c r="AI21" s="61">
        <v>9.4405591314006099</v>
      </c>
      <c r="AJ21" s="61">
        <v>0.52326001274051104</v>
      </c>
      <c r="AK21" s="61">
        <v>3.3975169703304098</v>
      </c>
      <c r="AL21" s="61">
        <v>2.6295543110734498</v>
      </c>
      <c r="AM21" s="61">
        <v>0.67739662198901296</v>
      </c>
      <c r="AN21" s="50">
        <v>15.0335537253436</v>
      </c>
      <c r="AO21" s="61">
        <v>5.1217317374374103</v>
      </c>
      <c r="AP21" s="50">
        <v>62.3487357008039</v>
      </c>
      <c r="AQ21" s="50">
        <v>24.524698662382701</v>
      </c>
      <c r="AR21" s="60">
        <v>114.801915722282</v>
      </c>
      <c r="AS21" s="50">
        <v>25.291520735423301</v>
      </c>
      <c r="AT21" s="60">
        <v>244.718389836802</v>
      </c>
      <c r="AU21" s="50">
        <v>50.281917319120303</v>
      </c>
      <c r="AV21" s="60">
        <v>10380.0628518101</v>
      </c>
      <c r="AW21" s="61">
        <v>0.79155516525030001</v>
      </c>
      <c r="AX21" s="65">
        <v>6.31939999310943E-2</v>
      </c>
      <c r="AY21" s="65">
        <v>0</v>
      </c>
      <c r="AZ21" s="61">
        <v>1.2759928988538101</v>
      </c>
      <c r="BA21" s="65">
        <v>6.7953562398538198E-3</v>
      </c>
      <c r="BB21" s="50">
        <v>242.12151826570499</v>
      </c>
      <c r="BC21" s="50">
        <v>63.957112015598298</v>
      </c>
      <c r="BD21" s="60">
        <v>248.46103220836301</v>
      </c>
    </row>
    <row r="22" spans="1:56" s="41" customFormat="1" ht="12" customHeight="1">
      <c r="A22" s="47" t="s">
        <v>16</v>
      </c>
      <c r="B22" s="41" t="s">
        <v>141</v>
      </c>
      <c r="C22" s="41" t="s">
        <v>135</v>
      </c>
      <c r="D22" s="50">
        <v>214.25578539863699</v>
      </c>
      <c r="E22" s="60">
        <v>141.110175217722</v>
      </c>
      <c r="F22" s="60">
        <v>230.34437400563999</v>
      </c>
      <c r="G22" s="122">
        <f t="shared" si="0"/>
        <v>0.6126052603927149</v>
      </c>
      <c r="H22" s="63">
        <v>0</v>
      </c>
      <c r="I22" s="62">
        <v>0.313996264235681</v>
      </c>
      <c r="J22" s="62">
        <v>5.7830670790698403E-3</v>
      </c>
      <c r="K22" s="62">
        <v>29.5441882070944</v>
      </c>
      <c r="L22" s="62">
        <v>0.63409574050842799</v>
      </c>
      <c r="M22" s="62">
        <v>0.67866243457393205</v>
      </c>
      <c r="N22" s="62">
        <v>8.7079549196437105E-3</v>
      </c>
      <c r="O22" s="62">
        <v>0.59783259062583805</v>
      </c>
      <c r="P22" s="62">
        <v>0.161661766434021</v>
      </c>
      <c r="Q22" s="62">
        <v>5.4234951919533798E-3</v>
      </c>
      <c r="R22" s="62">
        <v>3.96538254152606</v>
      </c>
      <c r="S22" s="60">
        <v>3540.7</v>
      </c>
      <c r="T22" s="69">
        <v>28.395</v>
      </c>
      <c r="U22" s="60">
        <v>3471.7717711322598</v>
      </c>
      <c r="V22" s="69">
        <v>21.211087575215299</v>
      </c>
      <c r="W22" s="60">
        <v>3339.2251823182501</v>
      </c>
      <c r="X22" s="69">
        <v>33.488945306119298</v>
      </c>
      <c r="Y22" s="60">
        <v>3028.83349687189</v>
      </c>
      <c r="Z22" s="69">
        <v>94.365612008307195</v>
      </c>
      <c r="AA22" s="71">
        <f t="shared" si="1"/>
        <v>0.96107865273765525</v>
      </c>
      <c r="AB22" s="50">
        <v>32.731290000000001</v>
      </c>
      <c r="AC22" s="60">
        <v>533.84245705680098</v>
      </c>
      <c r="AD22" s="50">
        <v>12.4103846101576</v>
      </c>
      <c r="AE22" s="60">
        <v>1121.1028757858801</v>
      </c>
      <c r="AF22" s="61">
        <v>9.4422072156740509</v>
      </c>
      <c r="AG22" s="61">
        <v>2.59157832436067</v>
      </c>
      <c r="AH22" s="61">
        <v>1.9043191712902401</v>
      </c>
      <c r="AI22" s="50">
        <v>29.262189927300099</v>
      </c>
      <c r="AJ22" s="61">
        <v>0.98746992076859796</v>
      </c>
      <c r="AK22" s="61">
        <v>8.0256138183372308</v>
      </c>
      <c r="AL22" s="61">
        <v>9.3437141902027907</v>
      </c>
      <c r="AM22" s="61">
        <v>3.1620630803729202</v>
      </c>
      <c r="AN22" s="50">
        <v>41.756761825648098</v>
      </c>
      <c r="AO22" s="50">
        <v>12.2611446822982</v>
      </c>
      <c r="AP22" s="60">
        <v>127.470312035994</v>
      </c>
      <c r="AQ22" s="50">
        <v>43.618504992168099</v>
      </c>
      <c r="AR22" s="60">
        <v>171.02234544667201</v>
      </c>
      <c r="AS22" s="50">
        <v>32.912346837853597</v>
      </c>
      <c r="AT22" s="60">
        <v>268.79028531015302</v>
      </c>
      <c r="AU22" s="50">
        <v>49.9462586544727</v>
      </c>
      <c r="AV22" s="60">
        <v>8225.7757041880195</v>
      </c>
      <c r="AW22" s="61">
        <v>2.16866690385522</v>
      </c>
      <c r="AX22" s="65">
        <v>0.25534595587782399</v>
      </c>
      <c r="AY22" s="65">
        <v>0</v>
      </c>
      <c r="AZ22" s="63">
        <v>0</v>
      </c>
      <c r="BA22" s="65">
        <v>1.0329241301097901E-3</v>
      </c>
      <c r="BB22" s="50">
        <v>214.25578539863699</v>
      </c>
      <c r="BC22" s="60">
        <v>141.110175217722</v>
      </c>
      <c r="BD22" s="60">
        <v>230.34437400563999</v>
      </c>
    </row>
    <row r="23" spans="1:56" s="41" customFormat="1" ht="12" customHeight="1">
      <c r="A23" s="38"/>
      <c r="D23" s="50"/>
      <c r="E23" s="50"/>
      <c r="F23" s="60"/>
      <c r="G23" s="122"/>
      <c r="H23" s="50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0"/>
      <c r="T23" s="69"/>
      <c r="U23" s="60"/>
      <c r="V23" s="69"/>
      <c r="W23" s="60"/>
      <c r="X23" s="69"/>
      <c r="Y23" s="60"/>
      <c r="Z23" s="69"/>
      <c r="AA23" s="71"/>
      <c r="AB23" s="50"/>
      <c r="AC23" s="60"/>
      <c r="AD23" s="61"/>
      <c r="AE23" s="60"/>
      <c r="AF23" s="61"/>
      <c r="AG23" s="61"/>
      <c r="AH23" s="61"/>
      <c r="AI23" s="61"/>
      <c r="AJ23" s="61"/>
      <c r="AK23" s="61"/>
      <c r="AL23" s="61"/>
      <c r="AM23" s="61"/>
      <c r="AN23" s="50"/>
      <c r="AO23" s="61"/>
      <c r="AP23" s="60"/>
      <c r="AQ23" s="50"/>
      <c r="AR23" s="60"/>
      <c r="AS23" s="50"/>
      <c r="AT23" s="60"/>
      <c r="AU23" s="50"/>
      <c r="AV23" s="60"/>
      <c r="AW23" s="61"/>
      <c r="AX23" s="65"/>
      <c r="AY23" s="65"/>
      <c r="AZ23" s="50"/>
      <c r="BA23" s="65"/>
      <c r="BB23" s="50"/>
      <c r="BC23" s="50"/>
      <c r="BD23" s="60"/>
    </row>
    <row r="24" spans="1:56" s="39" customFormat="1" ht="12" customHeight="1">
      <c r="A24" s="47" t="s">
        <v>19</v>
      </c>
      <c r="B24" s="39" t="s">
        <v>142</v>
      </c>
      <c r="D24" s="48">
        <v>227.63144991910499</v>
      </c>
      <c r="E24" s="52">
        <v>119.438345393421</v>
      </c>
      <c r="F24" s="52">
        <v>245.25594111775601</v>
      </c>
      <c r="G24" s="122">
        <f t="shared" si="0"/>
        <v>0.48699470785123389</v>
      </c>
      <c r="H24" s="55">
        <v>0</v>
      </c>
      <c r="I24" s="54">
        <v>0.27002529515656698</v>
      </c>
      <c r="J24" s="54">
        <v>4.7535808249718602E-3</v>
      </c>
      <c r="K24" s="54">
        <v>25.3170830817695</v>
      </c>
      <c r="L24" s="54">
        <v>0.46312214855852402</v>
      </c>
      <c r="M24" s="54">
        <v>0.67670287081448099</v>
      </c>
      <c r="N24" s="54">
        <v>5.76655917191335E-3</v>
      </c>
      <c r="O24" s="54">
        <v>0.46584007742755301</v>
      </c>
      <c r="P24" s="54">
        <v>0.17409973531724601</v>
      </c>
      <c r="Q24" s="54">
        <v>3.4054325835017E-3</v>
      </c>
      <c r="R24" s="54">
        <v>1.5272361505352301</v>
      </c>
      <c r="S24" s="52">
        <v>3306.48</v>
      </c>
      <c r="T24" s="67">
        <v>60.1875</v>
      </c>
      <c r="U24" s="52">
        <v>3320.5242170430201</v>
      </c>
      <c r="V24" s="67">
        <v>18.010582785034298</v>
      </c>
      <c r="W24" s="52">
        <v>3331.69565280591</v>
      </c>
      <c r="X24" s="67">
        <v>22.243549602903599</v>
      </c>
      <c r="Y24" s="52">
        <v>3244.0964369764902</v>
      </c>
      <c r="Z24" s="67">
        <v>58.6248161905472</v>
      </c>
      <c r="AA24" s="71">
        <f t="shared" si="1"/>
        <v>0.99664129088290543</v>
      </c>
      <c r="AB24" s="48">
        <v>32.731290000000001</v>
      </c>
      <c r="AC24" s="52">
        <v>567.64733884823602</v>
      </c>
      <c r="AD24" s="48">
        <v>13.794931072102999</v>
      </c>
      <c r="AE24" s="52">
        <v>1533.0300269300601</v>
      </c>
      <c r="AF24" s="53">
        <v>1.7708481344995499</v>
      </c>
      <c r="AG24" s="53">
        <v>0.85786243937654305</v>
      </c>
      <c r="AH24" s="53">
        <v>7.0154352375804696E-2</v>
      </c>
      <c r="AI24" s="53">
        <v>5.5875970025600701</v>
      </c>
      <c r="AJ24" s="53">
        <v>0.17417398822615199</v>
      </c>
      <c r="AK24" s="53">
        <v>2.99714248433266</v>
      </c>
      <c r="AL24" s="53">
        <v>6.2886786303930498</v>
      </c>
      <c r="AM24" s="53">
        <v>1.9984115299601599</v>
      </c>
      <c r="AN24" s="48">
        <v>35.987334359871802</v>
      </c>
      <c r="AO24" s="48">
        <v>11.869070018224299</v>
      </c>
      <c r="AP24" s="52">
        <v>139.37829951894099</v>
      </c>
      <c r="AQ24" s="48">
        <v>51.696623599071501</v>
      </c>
      <c r="AR24" s="52">
        <v>227.34994294311599</v>
      </c>
      <c r="AS24" s="48">
        <v>47.159617212082303</v>
      </c>
      <c r="AT24" s="52">
        <v>434.87957464843402</v>
      </c>
      <c r="AU24" s="48">
        <v>88.477779206762605</v>
      </c>
      <c r="AV24" s="52">
        <v>8110.9657531927796</v>
      </c>
      <c r="AW24" s="53">
        <v>0.76254048934135299</v>
      </c>
      <c r="AX24" s="64">
        <v>0.236373091627361</v>
      </c>
      <c r="AY24" s="64">
        <v>0</v>
      </c>
      <c r="AZ24" s="55">
        <v>0</v>
      </c>
      <c r="BA24" s="64">
        <v>1.97265186334389E-3</v>
      </c>
      <c r="BB24" s="48">
        <v>227.63144991910499</v>
      </c>
      <c r="BC24" s="52">
        <v>119.438345393421</v>
      </c>
      <c r="BD24" s="52">
        <v>245.25594111775601</v>
      </c>
    </row>
    <row r="25" spans="1:56" s="39" customFormat="1" ht="12" customHeight="1">
      <c r="A25" s="47" t="s">
        <v>19</v>
      </c>
      <c r="B25" s="39" t="s">
        <v>143</v>
      </c>
      <c r="D25" s="48">
        <v>218.26312709814599</v>
      </c>
      <c r="E25" s="52">
        <v>131.82025126370101</v>
      </c>
      <c r="F25" s="52">
        <v>226.25428031073201</v>
      </c>
      <c r="G25" s="122">
        <f t="shared" si="0"/>
        <v>0.58261992251665851</v>
      </c>
      <c r="H25" s="55">
        <v>0</v>
      </c>
      <c r="I25" s="54">
        <v>0.27418153775463999</v>
      </c>
      <c r="J25" s="54">
        <v>4.4842463840632403E-3</v>
      </c>
      <c r="K25" s="54">
        <v>25.9857240633835</v>
      </c>
      <c r="L25" s="54">
        <v>0.43104872389333698</v>
      </c>
      <c r="M25" s="54">
        <v>0.68429873122062901</v>
      </c>
      <c r="N25" s="54">
        <v>5.0306215485422801E-3</v>
      </c>
      <c r="O25" s="54">
        <v>0.44318430391880198</v>
      </c>
      <c r="P25" s="54">
        <v>0.18140880602588</v>
      </c>
      <c r="Q25" s="54">
        <v>3.2885880927620301E-3</v>
      </c>
      <c r="R25" s="54">
        <v>1.2737273878908499</v>
      </c>
      <c r="S25" s="52">
        <v>3331.48</v>
      </c>
      <c r="T25" s="67">
        <v>24.842500000000001</v>
      </c>
      <c r="U25" s="52">
        <v>3345.9998860534001</v>
      </c>
      <c r="V25" s="67">
        <v>16.377746755076501</v>
      </c>
      <c r="W25" s="52">
        <v>3360.8334821865401</v>
      </c>
      <c r="X25" s="67">
        <v>19.339332781769901</v>
      </c>
      <c r="Y25" s="52">
        <v>3369.53268829541</v>
      </c>
      <c r="Z25" s="67">
        <v>56.263076167546501</v>
      </c>
      <c r="AA25" s="71">
        <f t="shared" si="1"/>
        <v>0.99557657233490127</v>
      </c>
      <c r="AB25" s="48">
        <v>32.731290000000001</v>
      </c>
      <c r="AC25" s="52">
        <v>679.60412569698701</v>
      </c>
      <c r="AD25" s="53">
        <v>3.16334602160939</v>
      </c>
      <c r="AE25" s="52">
        <v>1721.3654678965399</v>
      </c>
      <c r="AF25" s="53">
        <v>1.43408468159244</v>
      </c>
      <c r="AG25" s="53">
        <v>0.25181803606442099</v>
      </c>
      <c r="AH25" s="53">
        <v>3.1452406330816203E-2</v>
      </c>
      <c r="AI25" s="53">
        <v>6.2904508731346196</v>
      </c>
      <c r="AJ25" s="53">
        <v>0.178275105337522</v>
      </c>
      <c r="AK25" s="53">
        <v>3.25510603444391</v>
      </c>
      <c r="AL25" s="53">
        <v>6.8435372077863796</v>
      </c>
      <c r="AM25" s="53">
        <v>2.1935023159561902</v>
      </c>
      <c r="AN25" s="48">
        <v>41.025859548841403</v>
      </c>
      <c r="AO25" s="48">
        <v>13.343825677945199</v>
      </c>
      <c r="AP25" s="52">
        <v>154.54398664495301</v>
      </c>
      <c r="AQ25" s="48">
        <v>57.973586637195602</v>
      </c>
      <c r="AR25" s="52">
        <v>251.28306784825901</v>
      </c>
      <c r="AS25" s="48">
        <v>52.383748898175703</v>
      </c>
      <c r="AT25" s="52">
        <v>481.654407435015</v>
      </c>
      <c r="AU25" s="48">
        <v>98.607388560092701</v>
      </c>
      <c r="AV25" s="52">
        <v>7676.5172854767497</v>
      </c>
      <c r="AW25" s="53">
        <v>0.58880595903345101</v>
      </c>
      <c r="AX25" s="64">
        <v>6.5956338884460994E-2</v>
      </c>
      <c r="AY25" s="64">
        <v>0</v>
      </c>
      <c r="AZ25" s="55">
        <v>0</v>
      </c>
      <c r="BA25" s="64">
        <v>8.5307525831208892E-3</v>
      </c>
      <c r="BB25" s="48">
        <v>218.26312709814599</v>
      </c>
      <c r="BC25" s="52">
        <v>131.82025126370101</v>
      </c>
      <c r="BD25" s="52">
        <v>226.25428031073201</v>
      </c>
    </row>
    <row r="26" spans="1:56" s="39" customFormat="1" ht="12" customHeight="1">
      <c r="A26" s="47" t="s">
        <v>19</v>
      </c>
      <c r="B26" s="39" t="s">
        <v>144</v>
      </c>
      <c r="D26" s="48">
        <v>247.247415587646</v>
      </c>
      <c r="E26" s="52">
        <v>158.50371639438299</v>
      </c>
      <c r="F26" s="52">
        <v>262.29214953303898</v>
      </c>
      <c r="G26" s="122">
        <f t="shared" si="0"/>
        <v>0.60430217479466519</v>
      </c>
      <c r="H26" s="53">
        <v>0.13440646013313601</v>
      </c>
      <c r="I26" s="54">
        <v>0.27230341134949998</v>
      </c>
      <c r="J26" s="54">
        <v>4.3714383287177501E-3</v>
      </c>
      <c r="K26" s="54">
        <v>25.0055257731042</v>
      </c>
      <c r="L26" s="54">
        <v>0.39877311555054901</v>
      </c>
      <c r="M26" s="54">
        <v>0.66308503842282196</v>
      </c>
      <c r="N26" s="54">
        <v>4.3796690765032197E-3</v>
      </c>
      <c r="O26" s="54">
        <v>0.41417338481962901</v>
      </c>
      <c r="P26" s="54">
        <v>0.17759510573752699</v>
      </c>
      <c r="Q26" s="54">
        <v>3.0295176851844602E-3</v>
      </c>
      <c r="R26" s="54">
        <v>1.2324961738276701</v>
      </c>
      <c r="S26" s="52">
        <v>3319.4450000000002</v>
      </c>
      <c r="T26" s="67">
        <v>24.997499999999899</v>
      </c>
      <c r="U26" s="52">
        <v>3308.43178674419</v>
      </c>
      <c r="V26" s="67">
        <v>15.731748486735</v>
      </c>
      <c r="W26" s="52">
        <v>3279.12544370875</v>
      </c>
      <c r="X26" s="67">
        <v>17.0684767485245</v>
      </c>
      <c r="Y26" s="52">
        <v>3304.18014857249</v>
      </c>
      <c r="Z26" s="67">
        <v>51.9986055401667</v>
      </c>
      <c r="AA26" s="71">
        <f t="shared" si="1"/>
        <v>0.99110251584609765</v>
      </c>
      <c r="AB26" s="48">
        <v>32.731290000000001</v>
      </c>
      <c r="AC26" s="52">
        <v>598.93600356895297</v>
      </c>
      <c r="AD26" s="53">
        <v>4.6751660291178396</v>
      </c>
      <c r="AE26" s="52">
        <v>1715.5529171789699</v>
      </c>
      <c r="AF26" s="53">
        <v>1.75177784195041</v>
      </c>
      <c r="AG26" s="53">
        <v>0.69292692371708398</v>
      </c>
      <c r="AH26" s="53">
        <v>0.465945511533153</v>
      </c>
      <c r="AI26" s="53">
        <v>9.6344403899874305</v>
      </c>
      <c r="AJ26" s="53">
        <v>0.38161285693406599</v>
      </c>
      <c r="AK26" s="53">
        <v>3.7019634065477001</v>
      </c>
      <c r="AL26" s="53">
        <v>6.8433959658731904</v>
      </c>
      <c r="AM26" s="53">
        <v>2.0931158072293998</v>
      </c>
      <c r="AN26" s="48">
        <v>40.066264964190502</v>
      </c>
      <c r="AO26" s="48">
        <v>13.2876605743733</v>
      </c>
      <c r="AP26" s="52">
        <v>153.447141105383</v>
      </c>
      <c r="AQ26" s="48">
        <v>57.082284173386398</v>
      </c>
      <c r="AR26" s="52">
        <v>249.42934521915899</v>
      </c>
      <c r="AS26" s="48">
        <v>51.069225841309198</v>
      </c>
      <c r="AT26" s="52">
        <v>468.70873150608298</v>
      </c>
      <c r="AU26" s="48">
        <v>95.204902034874706</v>
      </c>
      <c r="AV26" s="52">
        <v>8000.8755248449197</v>
      </c>
      <c r="AW26" s="53">
        <v>0.67657332014368599</v>
      </c>
      <c r="AX26" s="64">
        <v>3.0151899967147001E-2</v>
      </c>
      <c r="AY26" s="64">
        <v>0</v>
      </c>
      <c r="AZ26" s="53">
        <v>0.13440646013313601</v>
      </c>
      <c r="BA26" s="64">
        <v>6.4347097479953404E-3</v>
      </c>
      <c r="BB26" s="48">
        <v>247.247415587646</v>
      </c>
      <c r="BC26" s="52">
        <v>158.50371639438299</v>
      </c>
      <c r="BD26" s="52">
        <v>262.29214953303898</v>
      </c>
    </row>
    <row r="27" spans="1:56" s="39" customFormat="1" ht="12" customHeight="1">
      <c r="A27" s="47" t="s">
        <v>19</v>
      </c>
      <c r="B27" s="39" t="s">
        <v>145</v>
      </c>
      <c r="D27" s="48">
        <v>310.15699358965401</v>
      </c>
      <c r="E27" s="52">
        <v>136.21055320998701</v>
      </c>
      <c r="F27" s="52">
        <v>346.02625989532902</v>
      </c>
      <c r="G27" s="122">
        <f t="shared" si="0"/>
        <v>0.39364224336959264</v>
      </c>
      <c r="H27" s="53">
        <v>0.17253376579913199</v>
      </c>
      <c r="I27" s="54">
        <v>0.270487884198374</v>
      </c>
      <c r="J27" s="54">
        <v>4.2891456932968699E-3</v>
      </c>
      <c r="K27" s="54">
        <v>25.112722136404699</v>
      </c>
      <c r="L27" s="54">
        <v>0.45402461271207001</v>
      </c>
      <c r="M27" s="54">
        <v>0.67008729810534695</v>
      </c>
      <c r="N27" s="54">
        <v>7.0892977970837901E-3</v>
      </c>
      <c r="O27" s="54">
        <v>0.58517562676675405</v>
      </c>
      <c r="P27" s="54">
        <v>0.178394043703615</v>
      </c>
      <c r="Q27" s="54">
        <v>3.1169769209521301E-3</v>
      </c>
      <c r="R27" s="54">
        <v>1.86991878552622</v>
      </c>
      <c r="S27" s="52">
        <v>3308.95</v>
      </c>
      <c r="T27" s="67">
        <v>58.180000000000099</v>
      </c>
      <c r="U27" s="52">
        <v>3312.60865486691</v>
      </c>
      <c r="V27" s="67">
        <v>17.797695173365302</v>
      </c>
      <c r="W27" s="52">
        <v>3306.21047140685</v>
      </c>
      <c r="X27" s="67">
        <v>27.422348419516702</v>
      </c>
      <c r="Y27" s="52">
        <v>3317.8884606582101</v>
      </c>
      <c r="Z27" s="67">
        <v>53.4634825886721</v>
      </c>
      <c r="AA27" s="71">
        <f t="shared" si="1"/>
        <v>0.99806666919340281</v>
      </c>
      <c r="AB27" s="48">
        <v>32.731290000000001</v>
      </c>
      <c r="AC27" s="52">
        <v>574.42748488407506</v>
      </c>
      <c r="AD27" s="53">
        <v>4.6051706285205896</v>
      </c>
      <c r="AE27" s="52">
        <v>1501.3579792180301</v>
      </c>
      <c r="AF27" s="53">
        <v>2.71924698155471</v>
      </c>
      <c r="AG27" s="53">
        <v>0.78709836347492101</v>
      </c>
      <c r="AH27" s="53">
        <v>0.27249291286302302</v>
      </c>
      <c r="AI27" s="53">
        <v>8.3967022290710904</v>
      </c>
      <c r="AJ27" s="53">
        <v>0.23309183489270399</v>
      </c>
      <c r="AK27" s="53">
        <v>2.02845919517716</v>
      </c>
      <c r="AL27" s="53">
        <v>3.2041538968344199</v>
      </c>
      <c r="AM27" s="53">
        <v>1.35040489872539</v>
      </c>
      <c r="AN27" s="48">
        <v>24.7896434653405</v>
      </c>
      <c r="AO27" s="53">
        <v>9.4135959902743593</v>
      </c>
      <c r="AP27" s="52">
        <v>122.839561645795</v>
      </c>
      <c r="AQ27" s="48">
        <v>48.657064190184997</v>
      </c>
      <c r="AR27" s="52">
        <v>225.53175921774101</v>
      </c>
      <c r="AS27" s="48">
        <v>47.395337928608598</v>
      </c>
      <c r="AT27" s="52">
        <v>439.37080492294098</v>
      </c>
      <c r="AU27" s="48">
        <v>90.029999525278697</v>
      </c>
      <c r="AV27" s="52">
        <v>9394.3029417522102</v>
      </c>
      <c r="AW27" s="53">
        <v>1.34656140259537</v>
      </c>
      <c r="AX27" s="64">
        <v>0.18495530107666999</v>
      </c>
      <c r="AY27" s="64">
        <v>0</v>
      </c>
      <c r="AZ27" s="53">
        <v>0.17253376579913199</v>
      </c>
      <c r="BA27" s="64">
        <v>0</v>
      </c>
      <c r="BB27" s="48">
        <v>310.15699358965401</v>
      </c>
      <c r="BC27" s="52">
        <v>136.21055320998701</v>
      </c>
      <c r="BD27" s="52">
        <v>346.02625989532902</v>
      </c>
    </row>
    <row r="28" spans="1:56" s="39" customFormat="1" ht="12" customHeight="1">
      <c r="A28" s="47" t="s">
        <v>19</v>
      </c>
      <c r="B28" s="39" t="s">
        <v>146</v>
      </c>
      <c r="D28" s="48">
        <v>238.927746009815</v>
      </c>
      <c r="E28" s="52">
        <v>140.42368109263299</v>
      </c>
      <c r="F28" s="52">
        <v>265.04256901872901</v>
      </c>
      <c r="G28" s="122">
        <f t="shared" si="0"/>
        <v>0.52981557495660281</v>
      </c>
      <c r="H28" s="53">
        <v>1.17646092280859</v>
      </c>
      <c r="I28" s="54">
        <v>0.27504534172001199</v>
      </c>
      <c r="J28" s="54">
        <v>4.3345648388416298E-3</v>
      </c>
      <c r="K28" s="54">
        <v>24.483177272079899</v>
      </c>
      <c r="L28" s="54">
        <v>0.381017188129325</v>
      </c>
      <c r="M28" s="54">
        <v>0.64294835750608603</v>
      </c>
      <c r="N28" s="54">
        <v>4.3141378948749198E-3</v>
      </c>
      <c r="O28" s="54">
        <v>0.43116265826443601</v>
      </c>
      <c r="P28" s="54">
        <v>0.17350948978793901</v>
      </c>
      <c r="Q28" s="54">
        <v>2.8822416388197799E-3</v>
      </c>
      <c r="R28" s="54">
        <v>1.40824422938995</v>
      </c>
      <c r="S28" s="52">
        <v>3334.87</v>
      </c>
      <c r="T28" s="67">
        <v>25.462500000000102</v>
      </c>
      <c r="U28" s="52">
        <v>3287.8291309706101</v>
      </c>
      <c r="V28" s="67">
        <v>15.345455488767501</v>
      </c>
      <c r="W28" s="52">
        <v>3200.59569207304</v>
      </c>
      <c r="X28" s="67">
        <v>17.015328519753499</v>
      </c>
      <c r="Y28" s="52">
        <v>3233.9327542194401</v>
      </c>
      <c r="Z28" s="67">
        <v>49.642995484510301</v>
      </c>
      <c r="AA28" s="71">
        <f t="shared" si="1"/>
        <v>0.97311105814534204</v>
      </c>
      <c r="AB28" s="48">
        <v>32.731290000000001</v>
      </c>
      <c r="AC28" s="52">
        <v>572.77646154710305</v>
      </c>
      <c r="AD28" s="48">
        <v>12.742476620292599</v>
      </c>
      <c r="AE28" s="52">
        <v>1591.5399987129499</v>
      </c>
      <c r="AF28" s="53">
        <v>2.37233489863105</v>
      </c>
      <c r="AG28" s="53">
        <v>2.0922821382632399</v>
      </c>
      <c r="AH28" s="53">
        <v>1.18830745151371</v>
      </c>
      <c r="AI28" s="48">
        <v>14.3653750748039</v>
      </c>
      <c r="AJ28" s="53">
        <v>0.860894331425477</v>
      </c>
      <c r="AK28" s="53">
        <v>5.4321189663349303</v>
      </c>
      <c r="AL28" s="53">
        <v>5.7098092745814704</v>
      </c>
      <c r="AM28" s="53">
        <v>2.2166163486522801</v>
      </c>
      <c r="AN28" s="48">
        <v>30.4371517100418</v>
      </c>
      <c r="AO28" s="48">
        <v>11.098414400831301</v>
      </c>
      <c r="AP28" s="52">
        <v>135.11168801318701</v>
      </c>
      <c r="AQ28" s="48">
        <v>52.282091017880397</v>
      </c>
      <c r="AR28" s="52">
        <v>236.21028052563099</v>
      </c>
      <c r="AS28" s="48">
        <v>48.978392411903599</v>
      </c>
      <c r="AT28" s="52">
        <v>462.588572932094</v>
      </c>
      <c r="AU28" s="48">
        <v>94.400281925200503</v>
      </c>
      <c r="AV28" s="52">
        <v>7775.7902693664801</v>
      </c>
      <c r="AW28" s="53">
        <v>0.87720837558449705</v>
      </c>
      <c r="AX28" s="64">
        <v>0.71411884844524498</v>
      </c>
      <c r="AY28" s="64">
        <v>0</v>
      </c>
      <c r="AZ28" s="53">
        <v>1.17646092280859</v>
      </c>
      <c r="BA28" s="64">
        <v>2.13439977216342E-2</v>
      </c>
      <c r="BB28" s="48">
        <v>238.927746009815</v>
      </c>
      <c r="BC28" s="52">
        <v>140.42368109263299</v>
      </c>
      <c r="BD28" s="52">
        <v>265.04256901872901</v>
      </c>
    </row>
    <row r="29" spans="1:56" s="39" customFormat="1" ht="12" customHeight="1">
      <c r="A29" s="47" t="s">
        <v>19</v>
      </c>
      <c r="B29" s="39" t="s">
        <v>147</v>
      </c>
      <c r="D29" s="48">
        <v>304.85194866616098</v>
      </c>
      <c r="E29" s="52">
        <v>166.986434363798</v>
      </c>
      <c r="F29" s="52">
        <v>325.21459781074498</v>
      </c>
      <c r="G29" s="122">
        <f t="shared" si="0"/>
        <v>0.51346537175115947</v>
      </c>
      <c r="H29" s="53">
        <v>0.43732313066981598</v>
      </c>
      <c r="I29" s="54">
        <v>0.27435482973574599</v>
      </c>
      <c r="J29" s="54">
        <v>4.2334809119663501E-3</v>
      </c>
      <c r="K29" s="54">
        <v>25.601901155703999</v>
      </c>
      <c r="L29" s="54">
        <v>0.39672560777954002</v>
      </c>
      <c r="M29" s="54">
        <v>0.673768930790558</v>
      </c>
      <c r="N29" s="54">
        <v>4.4164427637875597E-3</v>
      </c>
      <c r="O29" s="54">
        <v>0.42300315648506798</v>
      </c>
      <c r="P29" s="54">
        <v>0.17600046154395599</v>
      </c>
      <c r="Q29" s="54">
        <v>2.92655947781029E-3</v>
      </c>
      <c r="R29" s="54">
        <v>1.4397011125567101</v>
      </c>
      <c r="S29" s="52">
        <v>3331.17</v>
      </c>
      <c r="T29" s="67">
        <v>24.3799999999999</v>
      </c>
      <c r="U29" s="52">
        <v>3331.45421663461</v>
      </c>
      <c r="V29" s="67">
        <v>15.3113596207203</v>
      </c>
      <c r="W29" s="52">
        <v>3320.4056623007</v>
      </c>
      <c r="X29" s="67">
        <v>17.1038890385434</v>
      </c>
      <c r="Y29" s="52">
        <v>3276.79114594662</v>
      </c>
      <c r="Z29" s="67">
        <v>50.299545383428203</v>
      </c>
      <c r="AA29" s="71">
        <f t="shared" si="1"/>
        <v>0.99667805560099132</v>
      </c>
      <c r="AB29" s="48">
        <v>32.731290000000001</v>
      </c>
      <c r="AC29" s="52">
        <v>580.99001054226699</v>
      </c>
      <c r="AD29" s="53">
        <v>6.5331034345263603</v>
      </c>
      <c r="AE29" s="52">
        <v>1915.3370731585601</v>
      </c>
      <c r="AF29" s="53">
        <v>3.2634339238644099</v>
      </c>
      <c r="AG29" s="53">
        <v>0.40642702998590002</v>
      </c>
      <c r="AH29" s="53">
        <v>0.17791621631372101</v>
      </c>
      <c r="AI29" s="48">
        <v>11.2315208449662</v>
      </c>
      <c r="AJ29" s="53">
        <v>0.20067861080600999</v>
      </c>
      <c r="AK29" s="53">
        <v>2.1041352891607201</v>
      </c>
      <c r="AL29" s="53">
        <v>4.3420416346343904</v>
      </c>
      <c r="AM29" s="53">
        <v>2.3922643272899098</v>
      </c>
      <c r="AN29" s="48">
        <v>29.8095687745387</v>
      </c>
      <c r="AO29" s="48">
        <v>11.9269677029002</v>
      </c>
      <c r="AP29" s="52">
        <v>152.89456376792</v>
      </c>
      <c r="AQ29" s="48">
        <v>62.3525161726836</v>
      </c>
      <c r="AR29" s="52">
        <v>285.88829830094397</v>
      </c>
      <c r="AS29" s="48">
        <v>60.085571784912702</v>
      </c>
      <c r="AT29" s="52">
        <v>558.59285211571796</v>
      </c>
      <c r="AU29" s="52">
        <v>115.496745196776</v>
      </c>
      <c r="AV29" s="52">
        <v>7919.1172041846703</v>
      </c>
      <c r="AW29" s="53">
        <v>1.03601567618326</v>
      </c>
      <c r="AX29" s="64">
        <v>0.120127725829367</v>
      </c>
      <c r="AY29" s="64">
        <v>0</v>
      </c>
      <c r="AZ29" s="53">
        <v>0.43732313066981598</v>
      </c>
      <c r="BA29" s="64">
        <v>1.06818106982942E-2</v>
      </c>
      <c r="BB29" s="48">
        <v>304.85194866616098</v>
      </c>
      <c r="BC29" s="52">
        <v>166.986434363798</v>
      </c>
      <c r="BD29" s="52">
        <v>325.21459781074498</v>
      </c>
    </row>
    <row r="30" spans="1:56" s="39" customFormat="1" ht="12" customHeight="1">
      <c r="A30" s="47" t="s">
        <v>19</v>
      </c>
      <c r="B30" s="39" t="s">
        <v>148</v>
      </c>
      <c r="D30" s="48">
        <v>158.52081643710699</v>
      </c>
      <c r="E30" s="48">
        <v>84.020637132945296</v>
      </c>
      <c r="F30" s="52">
        <v>176.89624457143799</v>
      </c>
      <c r="G30" s="122">
        <f t="shared" si="0"/>
        <v>0.47497128803666777</v>
      </c>
      <c r="H30" s="53">
        <v>0.81399152220718696</v>
      </c>
      <c r="I30" s="54">
        <v>0.27191566618345703</v>
      </c>
      <c r="J30" s="54">
        <v>4.1707589938771196E-3</v>
      </c>
      <c r="K30" s="54">
        <v>24.4134248678677</v>
      </c>
      <c r="L30" s="54">
        <v>0.39034244679951302</v>
      </c>
      <c r="M30" s="54">
        <v>0.64847483642322701</v>
      </c>
      <c r="N30" s="54">
        <v>5.2663195194570097E-3</v>
      </c>
      <c r="O30" s="54">
        <v>0.50792197882847601</v>
      </c>
      <c r="P30" s="54">
        <v>0.177880528257781</v>
      </c>
      <c r="Q30" s="54">
        <v>2.9933844898143501E-3</v>
      </c>
      <c r="R30" s="54">
        <v>1.56256963694605</v>
      </c>
      <c r="S30" s="52">
        <v>3316.97</v>
      </c>
      <c r="T30" s="67">
        <v>24.072500000000002</v>
      </c>
      <c r="U30" s="52">
        <v>3285.0460197009202</v>
      </c>
      <c r="V30" s="67">
        <v>15.7551387599552</v>
      </c>
      <c r="W30" s="52">
        <v>3222.2434738675902</v>
      </c>
      <c r="X30" s="67">
        <v>20.667489553199601</v>
      </c>
      <c r="Y30" s="52">
        <v>3309.07854371131</v>
      </c>
      <c r="Z30" s="67">
        <v>51.3659658515543</v>
      </c>
      <c r="AA30" s="71">
        <f t="shared" si="1"/>
        <v>0.98069778641463512</v>
      </c>
      <c r="AB30" s="48">
        <v>32.731290000000001</v>
      </c>
      <c r="AC30" s="52">
        <v>612.24666958047499</v>
      </c>
      <c r="AD30" s="48">
        <v>10.836230242333899</v>
      </c>
      <c r="AE30" s="52">
        <v>1382.99401813341</v>
      </c>
      <c r="AF30" s="53">
        <v>1.8981541441996801</v>
      </c>
      <c r="AG30" s="53">
        <v>21.113775132117102</v>
      </c>
      <c r="AH30" s="53">
        <v>0.339315322463425</v>
      </c>
      <c r="AI30" s="53">
        <v>6.2480166265044499</v>
      </c>
      <c r="AJ30" s="53">
        <v>0.24875005375085099</v>
      </c>
      <c r="AK30" s="53">
        <v>2.2688716758545899</v>
      </c>
      <c r="AL30" s="53">
        <v>3.7669593238583299</v>
      </c>
      <c r="AM30" s="53">
        <v>1.91431828597203</v>
      </c>
      <c r="AN30" s="48">
        <v>23.929422602334402</v>
      </c>
      <c r="AO30" s="53">
        <v>9.2216047270058095</v>
      </c>
      <c r="AP30" s="52">
        <v>116.804083825953</v>
      </c>
      <c r="AQ30" s="48">
        <v>45.421459516175197</v>
      </c>
      <c r="AR30" s="52">
        <v>198.306341283134</v>
      </c>
      <c r="AS30" s="48">
        <v>40.693734104790302</v>
      </c>
      <c r="AT30" s="52">
        <v>365.771568333066</v>
      </c>
      <c r="AU30" s="48">
        <v>74.213068247669099</v>
      </c>
      <c r="AV30" s="52">
        <v>7664.0704625756098</v>
      </c>
      <c r="AW30" s="53">
        <v>0.68337598900441399</v>
      </c>
      <c r="AX30" s="64">
        <v>0.64971304684431896</v>
      </c>
      <c r="AY30" s="64">
        <v>0</v>
      </c>
      <c r="AZ30" s="53">
        <v>0.81399152220718696</v>
      </c>
      <c r="BA30" s="64">
        <v>1.07985960999499E-2</v>
      </c>
      <c r="BB30" s="48">
        <v>158.52081643710699</v>
      </c>
      <c r="BC30" s="48">
        <v>84.020637132945296</v>
      </c>
      <c r="BD30" s="52">
        <v>176.89624457143799</v>
      </c>
    </row>
    <row r="31" spans="1:56" s="39" customFormat="1" ht="12" customHeight="1">
      <c r="A31" s="47" t="s">
        <v>19</v>
      </c>
      <c r="B31" s="39" t="s">
        <v>149</v>
      </c>
      <c r="D31" s="48">
        <v>215.55265098013101</v>
      </c>
      <c r="E31" s="48">
        <v>40.096982788088297</v>
      </c>
      <c r="F31" s="52">
        <v>255.19712664910401</v>
      </c>
      <c r="G31" s="122">
        <f t="shared" si="0"/>
        <v>0.15712160757680332</v>
      </c>
      <c r="H31" s="53">
        <v>0.714486867443619</v>
      </c>
      <c r="I31" s="54">
        <v>0.27331963244834001</v>
      </c>
      <c r="J31" s="54">
        <v>4.0979473233884603E-3</v>
      </c>
      <c r="K31" s="54">
        <v>24.780261991955399</v>
      </c>
      <c r="L31" s="54">
        <v>0.39565556015682202</v>
      </c>
      <c r="M31" s="54">
        <v>0.65495458050494204</v>
      </c>
      <c r="N31" s="54">
        <v>5.79008375058281E-3</v>
      </c>
      <c r="O31" s="54">
        <v>0.55368439335821995</v>
      </c>
      <c r="P31" s="54">
        <v>0.159917849786336</v>
      </c>
      <c r="Q31" s="54">
        <v>3.1195594264907599E-3</v>
      </c>
      <c r="R31" s="54">
        <v>4.7933095716716903</v>
      </c>
      <c r="S31" s="52">
        <v>3324.9949999999999</v>
      </c>
      <c r="T31" s="67">
        <v>24.227499999999999</v>
      </c>
      <c r="U31" s="52">
        <v>3299.59807083753</v>
      </c>
      <c r="V31" s="67">
        <v>15.7440155181298</v>
      </c>
      <c r="W31" s="52">
        <v>3247.5330517245902</v>
      </c>
      <c r="X31" s="67">
        <v>22.621732825145202</v>
      </c>
      <c r="Y31" s="52">
        <v>2998.4675787926999</v>
      </c>
      <c r="Z31" s="67">
        <v>54.360097692732602</v>
      </c>
      <c r="AA31" s="71">
        <f t="shared" si="1"/>
        <v>0.98409531804441241</v>
      </c>
      <c r="AB31" s="48">
        <v>32.731290000000001</v>
      </c>
      <c r="AC31" s="52">
        <v>455.446059349687</v>
      </c>
      <c r="AD31" s="53">
        <v>2.2081946438265398</v>
      </c>
      <c r="AE31" s="52">
        <v>578.07024834977403</v>
      </c>
      <c r="AF31" s="53">
        <v>1.26500869020824</v>
      </c>
      <c r="AG31" s="53">
        <v>1.71250120173089</v>
      </c>
      <c r="AH31" s="53">
        <v>6.2198842587265102E-2</v>
      </c>
      <c r="AI31" s="53">
        <v>1.9972160088734501</v>
      </c>
      <c r="AJ31" s="64">
        <v>5.9496707266294899E-2</v>
      </c>
      <c r="AK31" s="53">
        <v>0.44813803409390601</v>
      </c>
      <c r="AL31" s="53">
        <v>0.79086451684620895</v>
      </c>
      <c r="AM31" s="53">
        <v>0.55913636950040202</v>
      </c>
      <c r="AN31" s="53">
        <v>7.2291156143693502</v>
      </c>
      <c r="AO31" s="53">
        <v>3.05217396529748</v>
      </c>
      <c r="AP31" s="48">
        <v>41.906341352962002</v>
      </c>
      <c r="AQ31" s="48">
        <v>18.265344952352301</v>
      </c>
      <c r="AR31" s="48">
        <v>89.370597540256995</v>
      </c>
      <c r="AS31" s="48">
        <v>19.872222209281599</v>
      </c>
      <c r="AT31" s="52">
        <v>196.04226125832</v>
      </c>
      <c r="AU31" s="48">
        <v>41.712630020817798</v>
      </c>
      <c r="AV31" s="52">
        <v>11486.9897962015</v>
      </c>
      <c r="AW31" s="53">
        <v>1.11974592535274</v>
      </c>
      <c r="AX31" s="64">
        <v>0.139421971977052</v>
      </c>
      <c r="AY31" s="64">
        <v>0</v>
      </c>
      <c r="AZ31" s="53">
        <v>0.714486867443619</v>
      </c>
      <c r="BA31" s="64">
        <v>0</v>
      </c>
      <c r="BB31" s="48">
        <v>215.55265098013101</v>
      </c>
      <c r="BC31" s="48">
        <v>40.096982788088297</v>
      </c>
      <c r="BD31" s="52">
        <v>255.19712664910401</v>
      </c>
    </row>
    <row r="32" spans="1:56" s="39" customFormat="1" ht="12" customHeight="1">
      <c r="A32" s="47" t="s">
        <v>19</v>
      </c>
      <c r="B32" s="39" t="s">
        <v>150</v>
      </c>
      <c r="C32" s="39" t="s">
        <v>126</v>
      </c>
      <c r="D32" s="48">
        <v>259.37966991572398</v>
      </c>
      <c r="E32" s="52">
        <v>146.925833882566</v>
      </c>
      <c r="F32" s="52">
        <v>509.14828773158598</v>
      </c>
      <c r="G32" s="122">
        <f t="shared" si="0"/>
        <v>0.28857179219273482</v>
      </c>
      <c r="H32" s="48">
        <v>27.4106603253225</v>
      </c>
      <c r="I32" s="54">
        <v>0.26752152854995898</v>
      </c>
      <c r="J32" s="54">
        <v>9.9656202068556105E-3</v>
      </c>
      <c r="K32" s="54">
        <v>20.0193352172723</v>
      </c>
      <c r="L32" s="54">
        <v>1.6861241367268001</v>
      </c>
      <c r="M32" s="54">
        <v>0.48332934026054297</v>
      </c>
      <c r="N32" s="54">
        <v>2.17601658790329E-2</v>
      </c>
      <c r="O32" s="54">
        <v>0.534538694387243</v>
      </c>
      <c r="P32" s="54">
        <v>0.180794865971944</v>
      </c>
      <c r="Q32" s="54">
        <v>4.4967457050759302E-2</v>
      </c>
      <c r="R32" s="54">
        <v>2.3325625037540001</v>
      </c>
      <c r="S32" s="52">
        <v>3291.665</v>
      </c>
      <c r="T32" s="67">
        <v>58.6400000000001</v>
      </c>
      <c r="U32" s="52">
        <v>3092.2909465893399</v>
      </c>
      <c r="V32" s="67">
        <v>81.478899134069195</v>
      </c>
      <c r="W32" s="52">
        <v>2541.7509463157598</v>
      </c>
      <c r="X32" s="67">
        <v>94.577658533036498</v>
      </c>
      <c r="Y32" s="52">
        <v>3359.0263149293401</v>
      </c>
      <c r="Z32" s="67">
        <v>769.72939041973495</v>
      </c>
      <c r="AA32" s="71">
        <f t="shared" si="1"/>
        <v>0.80456659331309899</v>
      </c>
      <c r="AB32" s="48">
        <v>32.731290000000001</v>
      </c>
      <c r="AC32" s="52">
        <v>562.70790362801904</v>
      </c>
      <c r="AD32" s="48">
        <v>30.2590923128536</v>
      </c>
      <c r="AE32" s="52">
        <v>1167.9997849922199</v>
      </c>
      <c r="AF32" s="53">
        <v>1.9621521336382399</v>
      </c>
      <c r="AG32" s="53">
        <v>23.485217849753099</v>
      </c>
      <c r="AH32" s="53">
        <v>5.6717707772823998</v>
      </c>
      <c r="AI32" s="48">
        <v>41.525820832808101</v>
      </c>
      <c r="AJ32" s="53">
        <v>3.8331672174614702</v>
      </c>
      <c r="AK32" s="48">
        <v>35.119052825305403</v>
      </c>
      <c r="AL32" s="48">
        <v>16.389048660079698</v>
      </c>
      <c r="AM32" s="53">
        <v>6.50798754078121</v>
      </c>
      <c r="AN32" s="48">
        <v>35.086992204234299</v>
      </c>
      <c r="AO32" s="53">
        <v>8.76538556100272</v>
      </c>
      <c r="AP32" s="48">
        <v>97.767011488966006</v>
      </c>
      <c r="AQ32" s="48">
        <v>38.156455884939703</v>
      </c>
      <c r="AR32" s="52">
        <v>176.02974585483</v>
      </c>
      <c r="AS32" s="48">
        <v>37.946873082546396</v>
      </c>
      <c r="AT32" s="52">
        <v>362.50530631287302</v>
      </c>
      <c r="AU32" s="48">
        <v>76.500373182826607</v>
      </c>
      <c r="AV32" s="52">
        <v>9712.25612614684</v>
      </c>
      <c r="AW32" s="53">
        <v>0.86259080767368501</v>
      </c>
      <c r="AX32" s="64">
        <v>0.26848890398557701</v>
      </c>
      <c r="AY32" s="64">
        <v>0</v>
      </c>
      <c r="AZ32" s="48">
        <v>27.4106603253225</v>
      </c>
      <c r="BA32" s="64">
        <v>5.9962596963655398E-2</v>
      </c>
      <c r="BB32" s="48">
        <v>259.37966991572398</v>
      </c>
      <c r="BC32" s="52">
        <v>146.925833882566</v>
      </c>
      <c r="BD32" s="52">
        <v>509.14828773158598</v>
      </c>
    </row>
    <row r="33" spans="1:56" s="39" customFormat="1" ht="12" customHeight="1">
      <c r="A33" s="47" t="s">
        <v>19</v>
      </c>
      <c r="B33" s="39" t="s">
        <v>151</v>
      </c>
      <c r="D33" s="48">
        <v>248.671918443637</v>
      </c>
      <c r="E33" s="52">
        <v>130.12220799259299</v>
      </c>
      <c r="F33" s="52">
        <v>261.79156765593501</v>
      </c>
      <c r="G33" s="122">
        <f t="shared" si="0"/>
        <v>0.49704506970067425</v>
      </c>
      <c r="H33" s="53">
        <v>0.12773147151181499</v>
      </c>
      <c r="I33" s="54">
        <v>0.272892229086587</v>
      </c>
      <c r="J33" s="54">
        <v>4.0917924812999204E-3</v>
      </c>
      <c r="K33" s="54">
        <v>25.9803234076299</v>
      </c>
      <c r="L33" s="54">
        <v>0.39609675144716999</v>
      </c>
      <c r="M33" s="54">
        <v>0.68761336547943896</v>
      </c>
      <c r="N33" s="54">
        <v>4.84524497640951E-3</v>
      </c>
      <c r="O33" s="54">
        <v>0.46218378259780901</v>
      </c>
      <c r="P33" s="54">
        <v>0.181966598109466</v>
      </c>
      <c r="Q33" s="54">
        <v>2.88951642110732E-3</v>
      </c>
      <c r="R33" s="54">
        <v>1.46900033409797</v>
      </c>
      <c r="S33" s="52">
        <v>3324.07</v>
      </c>
      <c r="T33" s="67">
        <v>23.4525000000001</v>
      </c>
      <c r="U33" s="52">
        <v>3345.7966570009098</v>
      </c>
      <c r="V33" s="67">
        <v>15.0794085619547</v>
      </c>
      <c r="W33" s="52">
        <v>3373.5073073423</v>
      </c>
      <c r="X33" s="67">
        <v>18.597499731303301</v>
      </c>
      <c r="Y33" s="52">
        <v>3379.0734672861299</v>
      </c>
      <c r="Z33" s="67">
        <v>49.412196552026799</v>
      </c>
      <c r="AA33" s="71">
        <f t="shared" si="1"/>
        <v>0.99175192832816017</v>
      </c>
      <c r="AB33" s="48">
        <v>32.731290000000001</v>
      </c>
      <c r="AC33" s="52">
        <v>885.15214146255403</v>
      </c>
      <c r="AD33" s="53">
        <v>5.34096605505023</v>
      </c>
      <c r="AE33" s="52">
        <v>1686.4841931425501</v>
      </c>
      <c r="AF33" s="53">
        <v>2.6411565831247898</v>
      </c>
      <c r="AG33" s="53">
        <v>7.7393780463032705E-2</v>
      </c>
      <c r="AH33" s="53">
        <v>0.313119236777954</v>
      </c>
      <c r="AI33" s="53">
        <v>8.9502420683172801</v>
      </c>
      <c r="AJ33" s="53">
        <v>0.214818156957573</v>
      </c>
      <c r="AK33" s="53">
        <v>2.08968660005505</v>
      </c>
      <c r="AL33" s="53">
        <v>3.2402107960727</v>
      </c>
      <c r="AM33" s="53">
        <v>1.0980914172426</v>
      </c>
      <c r="AN33" s="48">
        <v>27.1244650462789</v>
      </c>
      <c r="AO33" s="48">
        <v>10.3309743683982</v>
      </c>
      <c r="AP33" s="52">
        <v>135.16089818369301</v>
      </c>
      <c r="AQ33" s="48">
        <v>55.051522080765899</v>
      </c>
      <c r="AR33" s="52">
        <v>253.77126790992</v>
      </c>
      <c r="AS33" s="48">
        <v>53.634278015111398</v>
      </c>
      <c r="AT33" s="52">
        <v>493.01933970050601</v>
      </c>
      <c r="AU33" s="52">
        <v>102.772863839243</v>
      </c>
      <c r="AV33" s="52">
        <v>7685.97029585977</v>
      </c>
      <c r="AW33" s="53">
        <v>0.88885134135388499</v>
      </c>
      <c r="AX33" s="64">
        <v>3.7822493185731401E-2</v>
      </c>
      <c r="AY33" s="64">
        <v>0</v>
      </c>
      <c r="AZ33" s="53">
        <v>0.12773147151181499</v>
      </c>
      <c r="BA33" s="64">
        <v>0</v>
      </c>
      <c r="BB33" s="48">
        <v>248.671918443637</v>
      </c>
      <c r="BC33" s="52">
        <v>130.12220799259299</v>
      </c>
      <c r="BD33" s="52">
        <v>261.79156765593501</v>
      </c>
    </row>
    <row r="34" spans="1:56" s="39" customFormat="1" ht="12" customHeight="1">
      <c r="A34" s="47" t="s">
        <v>19</v>
      </c>
      <c r="B34" s="39" t="s">
        <v>152</v>
      </c>
      <c r="D34" s="48">
        <v>186.03793294760399</v>
      </c>
      <c r="E34" s="48">
        <v>98.293056578338593</v>
      </c>
      <c r="F34" s="52">
        <v>194.16279246068399</v>
      </c>
      <c r="G34" s="122">
        <f t="shared" si="0"/>
        <v>0.5062404353204899</v>
      </c>
      <c r="H34" s="53">
        <v>0.13607193785664101</v>
      </c>
      <c r="I34" s="54">
        <v>0.27599721846832098</v>
      </c>
      <c r="J34" s="54">
        <v>4.2561547220878199E-3</v>
      </c>
      <c r="K34" s="54">
        <v>26.459119471607899</v>
      </c>
      <c r="L34" s="54">
        <v>0.414532499830983</v>
      </c>
      <c r="M34" s="54">
        <v>0.69249522630953697</v>
      </c>
      <c r="N34" s="54">
        <v>5.02005000349593E-3</v>
      </c>
      <c r="O34" s="54">
        <v>0.46270912154544602</v>
      </c>
      <c r="P34" s="54">
        <v>0.17945221218729801</v>
      </c>
      <c r="Q34" s="54">
        <v>2.8912309866856801E-3</v>
      </c>
      <c r="R34" s="54">
        <v>1.4621838976903201</v>
      </c>
      <c r="S34" s="52">
        <v>3340.43</v>
      </c>
      <c r="T34" s="67">
        <v>24.072500000000002</v>
      </c>
      <c r="U34" s="52">
        <v>3363.6577488655098</v>
      </c>
      <c r="V34" s="67">
        <v>15.498290539527501</v>
      </c>
      <c r="W34" s="52">
        <v>3392.1283178322901</v>
      </c>
      <c r="X34" s="67">
        <v>19.208020979853298</v>
      </c>
      <c r="Y34" s="52">
        <v>3336.0303937536401</v>
      </c>
      <c r="Z34" s="67">
        <v>49.546917162854001</v>
      </c>
      <c r="AA34" s="71">
        <f t="shared" si="1"/>
        <v>0.99157150072968592</v>
      </c>
      <c r="AB34" s="48">
        <v>32.731290000000001</v>
      </c>
      <c r="AC34" s="52">
        <v>557.02596736910402</v>
      </c>
      <c r="AD34" s="53">
        <v>4.5983919606652597</v>
      </c>
      <c r="AE34" s="52">
        <v>1272.2453010676099</v>
      </c>
      <c r="AF34" s="53">
        <v>1.6998341452994801</v>
      </c>
      <c r="AG34" s="53">
        <v>1.3747514510422E-2</v>
      </c>
      <c r="AH34" s="53">
        <v>0.376925415791934</v>
      </c>
      <c r="AI34" s="53">
        <v>6.6981782509032</v>
      </c>
      <c r="AJ34" s="53">
        <v>0.16824859924813901</v>
      </c>
      <c r="AK34" s="53">
        <v>1.9894455020166</v>
      </c>
      <c r="AL34" s="53">
        <v>3.1743780696828199</v>
      </c>
      <c r="AM34" s="53">
        <v>0.95615809562869702</v>
      </c>
      <c r="AN34" s="48">
        <v>22.926405410310199</v>
      </c>
      <c r="AO34" s="53">
        <v>8.29845050405671</v>
      </c>
      <c r="AP34" s="52">
        <v>102.783812382439</v>
      </c>
      <c r="AQ34" s="48">
        <v>41.039723788563698</v>
      </c>
      <c r="AR34" s="52">
        <v>187.60793647011201</v>
      </c>
      <c r="AS34" s="48">
        <v>39.0620400090217</v>
      </c>
      <c r="AT34" s="52">
        <v>368.02874659926601</v>
      </c>
      <c r="AU34" s="48">
        <v>76.292107458979601</v>
      </c>
      <c r="AV34" s="52">
        <v>8039.3043611636704</v>
      </c>
      <c r="AW34" s="53">
        <v>0.68431469157733704</v>
      </c>
      <c r="AX34" s="64">
        <v>6.7246353661353106E-2</v>
      </c>
      <c r="AY34" s="64">
        <v>0</v>
      </c>
      <c r="AZ34" s="53">
        <v>0.13607193785664101</v>
      </c>
      <c r="BA34" s="64">
        <v>0</v>
      </c>
      <c r="BB34" s="48">
        <v>186.03793294760399</v>
      </c>
      <c r="BC34" s="48">
        <v>98.293056578338593</v>
      </c>
      <c r="BD34" s="52">
        <v>194.16279246068399</v>
      </c>
    </row>
    <row r="35" spans="1:56" s="39" customFormat="1" ht="12" customHeight="1">
      <c r="A35" s="47" t="s">
        <v>19</v>
      </c>
      <c r="B35" s="39" t="s">
        <v>153</v>
      </c>
      <c r="C35" s="39" t="s">
        <v>126</v>
      </c>
      <c r="D35" s="48">
        <v>394.93922462827101</v>
      </c>
      <c r="E35" s="52">
        <v>123.61760128279199</v>
      </c>
      <c r="F35" s="52">
        <v>910.71763173104102</v>
      </c>
      <c r="G35" s="122">
        <f t="shared" si="0"/>
        <v>0.13573647525394517</v>
      </c>
      <c r="H35" s="48">
        <v>42.349144097153697</v>
      </c>
      <c r="I35" s="54">
        <v>0.24824228425904801</v>
      </c>
      <c r="J35" s="54">
        <v>4.8912156452263402E-3</v>
      </c>
      <c r="K35" s="54">
        <v>11.1409904497445</v>
      </c>
      <c r="L35" s="54">
        <v>0.47524848620736898</v>
      </c>
      <c r="M35" s="54">
        <v>0.31791213838930699</v>
      </c>
      <c r="N35" s="54">
        <v>1.05747742893341E-2</v>
      </c>
      <c r="O35" s="54">
        <v>0.77977095754737002</v>
      </c>
      <c r="P35" s="54">
        <v>0.13802483692005801</v>
      </c>
      <c r="Q35" s="54">
        <v>2.9475249668548701E-2</v>
      </c>
      <c r="R35" s="54">
        <v>5.3197437759574404</v>
      </c>
      <c r="S35" s="52">
        <v>3173.77</v>
      </c>
      <c r="T35" s="67">
        <v>31.170000000000101</v>
      </c>
      <c r="U35" s="52">
        <v>2534.9925043911198</v>
      </c>
      <c r="V35" s="67">
        <v>39.783647272146403</v>
      </c>
      <c r="W35" s="52">
        <v>1779.5247125072001</v>
      </c>
      <c r="X35" s="67">
        <v>51.734205787600096</v>
      </c>
      <c r="Y35" s="52">
        <v>2613.32310313367</v>
      </c>
      <c r="Z35" s="67">
        <v>523.50393336447303</v>
      </c>
      <c r="AA35" s="71">
        <f t="shared" si="1"/>
        <v>0.64980193430447319</v>
      </c>
      <c r="AB35" s="48">
        <v>32.731290000000001</v>
      </c>
      <c r="AC35" s="52">
        <v>638.43363133640901</v>
      </c>
      <c r="AD35" s="48">
        <v>29.160721382397998</v>
      </c>
      <c r="AE35" s="52">
        <v>1554.53285939483</v>
      </c>
      <c r="AF35" s="53">
        <v>4.6623267060997202</v>
      </c>
      <c r="AG35" s="53">
        <v>50.374487815353802</v>
      </c>
      <c r="AH35" s="53">
        <v>7.4015272401574297</v>
      </c>
      <c r="AI35" s="48">
        <v>42.242196138907403</v>
      </c>
      <c r="AJ35" s="53">
        <v>3.8583128818358401</v>
      </c>
      <c r="AK35" s="48">
        <v>22.751862023187901</v>
      </c>
      <c r="AL35" s="48">
        <v>10.30971104586</v>
      </c>
      <c r="AM35" s="48">
        <v>28.143227487079201</v>
      </c>
      <c r="AN35" s="48">
        <v>26.903935148454</v>
      </c>
      <c r="AO35" s="53">
        <v>9.7551764055204107</v>
      </c>
      <c r="AP35" s="52">
        <v>122.434692671717</v>
      </c>
      <c r="AQ35" s="48">
        <v>48.533083327125702</v>
      </c>
      <c r="AR35" s="52">
        <v>230.52688055178899</v>
      </c>
      <c r="AS35" s="48">
        <v>51.284326438975199</v>
      </c>
      <c r="AT35" s="52">
        <v>503.74764902106898</v>
      </c>
      <c r="AU35" s="52">
        <v>105.929380873673</v>
      </c>
      <c r="AV35" s="52">
        <v>12655.8213666212</v>
      </c>
      <c r="AW35" s="53">
        <v>5.8318028443876004</v>
      </c>
      <c r="AX35" s="64">
        <v>2.0198810600405102</v>
      </c>
      <c r="AY35" s="64">
        <v>0</v>
      </c>
      <c r="AZ35" s="48">
        <v>42.349144097153697</v>
      </c>
      <c r="BA35" s="64">
        <v>3.5208137642103697E-2</v>
      </c>
      <c r="BB35" s="48">
        <v>394.93922462827101</v>
      </c>
      <c r="BC35" s="52">
        <v>123.61760128279199</v>
      </c>
      <c r="BD35" s="52">
        <v>910.71763173104102</v>
      </c>
    </row>
    <row r="36" spans="1:56" s="39" customFormat="1" ht="12" customHeight="1">
      <c r="A36" s="47" t="s">
        <v>19</v>
      </c>
      <c r="B36" s="39" t="s">
        <v>154</v>
      </c>
      <c r="D36" s="48">
        <v>163.320255208665</v>
      </c>
      <c r="E36" s="48">
        <v>82.285941320913295</v>
      </c>
      <c r="F36" s="52">
        <v>172.733206560008</v>
      </c>
      <c r="G36" s="122">
        <f t="shared" si="0"/>
        <v>0.47637592654963495</v>
      </c>
      <c r="H36" s="55">
        <v>0</v>
      </c>
      <c r="I36" s="54">
        <v>0.27254208062239899</v>
      </c>
      <c r="J36" s="54">
        <v>4.3421559181353701E-3</v>
      </c>
      <c r="K36" s="54">
        <v>26.023456095225399</v>
      </c>
      <c r="L36" s="54">
        <v>0.42078337116025699</v>
      </c>
      <c r="M36" s="54">
        <v>0.69013222716616296</v>
      </c>
      <c r="N36" s="54">
        <v>5.6346332164553996E-3</v>
      </c>
      <c r="O36" s="54">
        <v>0.50493996735117996</v>
      </c>
      <c r="P36" s="54">
        <v>0.183284521617332</v>
      </c>
      <c r="Q36" s="54">
        <v>3.0612287683816899E-3</v>
      </c>
      <c r="R36" s="54">
        <v>1.53253336683094</v>
      </c>
      <c r="S36" s="52">
        <v>3320.68</v>
      </c>
      <c r="T36" s="67">
        <v>24.997499999999899</v>
      </c>
      <c r="U36" s="52">
        <v>3347.4186253054199</v>
      </c>
      <c r="V36" s="67">
        <v>15.9735870608478</v>
      </c>
      <c r="W36" s="52">
        <v>3383.1217843741802</v>
      </c>
      <c r="X36" s="67">
        <v>21.568832216941502</v>
      </c>
      <c r="Y36" s="52">
        <v>3401.59807237941</v>
      </c>
      <c r="Z36" s="67">
        <v>52.290259794019903</v>
      </c>
      <c r="AA36" s="71">
        <f t="shared" si="1"/>
        <v>0.98939070062861123</v>
      </c>
      <c r="AB36" s="48">
        <v>32.731290000000001</v>
      </c>
      <c r="AC36" s="52">
        <v>538.05386729665702</v>
      </c>
      <c r="AD36" s="53">
        <v>5.0401335308282098</v>
      </c>
      <c r="AE36" s="52">
        <v>1187.0516024765</v>
      </c>
      <c r="AF36" s="53">
        <v>1.76873308188389</v>
      </c>
      <c r="AG36" s="53">
        <v>0</v>
      </c>
      <c r="AH36" s="53">
        <v>8.5297775095671E-4</v>
      </c>
      <c r="AI36" s="53">
        <v>5.4801225959900703</v>
      </c>
      <c r="AJ36" s="64">
        <v>5.9709526972901598E-2</v>
      </c>
      <c r="AK36" s="53">
        <v>0.77914425818546695</v>
      </c>
      <c r="AL36" s="53">
        <v>2.7747154913330698</v>
      </c>
      <c r="AM36" s="53">
        <v>0.88677735825400095</v>
      </c>
      <c r="AN36" s="48">
        <v>20.069053850427501</v>
      </c>
      <c r="AO36" s="53">
        <v>7.77549425266516</v>
      </c>
      <c r="AP36" s="48">
        <v>96.063281383657696</v>
      </c>
      <c r="AQ36" s="48">
        <v>38.780071219735902</v>
      </c>
      <c r="AR36" s="52">
        <v>176.87781521793701</v>
      </c>
      <c r="AS36" s="48">
        <v>38.077148213014603</v>
      </c>
      <c r="AT36" s="52">
        <v>352.02429832834201</v>
      </c>
      <c r="AU36" s="48">
        <v>74.255024341543404</v>
      </c>
      <c r="AV36" s="52">
        <v>7597.12086670185</v>
      </c>
      <c r="AW36" s="53">
        <v>0.71218953492127601</v>
      </c>
      <c r="AX36" s="64">
        <v>2.7950248009924999E-2</v>
      </c>
      <c r="AY36" s="64">
        <v>0</v>
      </c>
      <c r="AZ36" s="55">
        <v>0</v>
      </c>
      <c r="BA36" s="64">
        <v>9.2589904543656E-4</v>
      </c>
      <c r="BB36" s="48">
        <v>163.320255208665</v>
      </c>
      <c r="BC36" s="48">
        <v>82.285941320913295</v>
      </c>
      <c r="BD36" s="52">
        <v>172.733206560008</v>
      </c>
    </row>
    <row r="37" spans="1:56" s="39" customFormat="1" ht="12" customHeight="1">
      <c r="A37" s="47" t="s">
        <v>19</v>
      </c>
      <c r="B37" s="39" t="s">
        <v>155</v>
      </c>
      <c r="D37" s="48">
        <v>236.595170425557</v>
      </c>
      <c r="E37" s="52">
        <v>122.143981166274</v>
      </c>
      <c r="F37" s="52">
        <v>258.973598267032</v>
      </c>
      <c r="G37" s="122">
        <f t="shared" si="0"/>
        <v>0.47164646119767506</v>
      </c>
      <c r="H37" s="53">
        <v>0.226723468304211</v>
      </c>
      <c r="I37" s="54">
        <v>0.272056279986369</v>
      </c>
      <c r="J37" s="54">
        <v>4.36456830988301E-3</v>
      </c>
      <c r="K37" s="54">
        <v>25.279653736626901</v>
      </c>
      <c r="L37" s="54">
        <v>0.42229601096765002</v>
      </c>
      <c r="M37" s="54">
        <v>0.67102206556509902</v>
      </c>
      <c r="N37" s="54">
        <v>5.2778869099888697E-3</v>
      </c>
      <c r="O37" s="54">
        <v>0.47084441211849198</v>
      </c>
      <c r="P37" s="54">
        <v>0.173900240439437</v>
      </c>
      <c r="Q37" s="54">
        <v>2.9839946905762401E-3</v>
      </c>
      <c r="R37" s="54">
        <v>1.5350199621429299</v>
      </c>
      <c r="S37" s="52">
        <v>3318.21</v>
      </c>
      <c r="T37" s="67">
        <v>25.310000000000201</v>
      </c>
      <c r="U37" s="52">
        <v>3319.07906544364</v>
      </c>
      <c r="V37" s="67">
        <v>16.471867055211199</v>
      </c>
      <c r="W37" s="52">
        <v>3309.8175956945402</v>
      </c>
      <c r="X37" s="67">
        <v>20.439154447523499</v>
      </c>
      <c r="Y37" s="52">
        <v>3240.66182361544</v>
      </c>
      <c r="Z37" s="67">
        <v>51.378456317811498</v>
      </c>
      <c r="AA37" s="71">
        <f t="shared" si="1"/>
        <v>0.99720572812564867</v>
      </c>
      <c r="AB37" s="48">
        <v>32.731290000000001</v>
      </c>
      <c r="AC37" s="52">
        <v>592.60649015517401</v>
      </c>
      <c r="AD37" s="53">
        <v>6.0465951028040097</v>
      </c>
      <c r="AE37" s="52">
        <v>1476.77124874675</v>
      </c>
      <c r="AF37" s="53">
        <v>2.1301761903782701</v>
      </c>
      <c r="AG37" s="53">
        <v>0.64817265112114597</v>
      </c>
      <c r="AH37" s="53">
        <v>0.45157681579151498</v>
      </c>
      <c r="AI37" s="53">
        <v>9.1693088450217903</v>
      </c>
      <c r="AJ37" s="53">
        <v>0.38331650622137597</v>
      </c>
      <c r="AK37" s="53">
        <v>2.8210999889462598</v>
      </c>
      <c r="AL37" s="53">
        <v>4.0592931149477298</v>
      </c>
      <c r="AM37" s="53">
        <v>1.42791164662797</v>
      </c>
      <c r="AN37" s="48">
        <v>28.999382249988798</v>
      </c>
      <c r="AO37" s="53">
        <v>9.9865367579993105</v>
      </c>
      <c r="AP37" s="52">
        <v>123.08855789979501</v>
      </c>
      <c r="AQ37" s="48">
        <v>47.631211702376099</v>
      </c>
      <c r="AR37" s="52">
        <v>219.34390553044801</v>
      </c>
      <c r="AS37" s="48">
        <v>45.212010063854599</v>
      </c>
      <c r="AT37" s="52">
        <v>421.84482025568002</v>
      </c>
      <c r="AU37" s="48">
        <v>87.928574138669305</v>
      </c>
      <c r="AV37" s="52">
        <v>8343.4993845656209</v>
      </c>
      <c r="AW37" s="53">
        <v>0.85363159287758394</v>
      </c>
      <c r="AX37" s="64">
        <v>0.14582352660612999</v>
      </c>
      <c r="AY37" s="64">
        <v>0</v>
      </c>
      <c r="AZ37" s="53">
        <v>0.226723468304211</v>
      </c>
      <c r="BA37" s="64">
        <v>1.0265618038417801E-3</v>
      </c>
      <c r="BB37" s="48">
        <v>236.595170425557</v>
      </c>
      <c r="BC37" s="52">
        <v>122.143981166274</v>
      </c>
      <c r="BD37" s="52">
        <v>258.973598267032</v>
      </c>
    </row>
    <row r="38" spans="1:56" s="41" customFormat="1" ht="12" customHeight="1">
      <c r="A38" s="47" t="s">
        <v>19</v>
      </c>
      <c r="B38" s="41" t="s">
        <v>156</v>
      </c>
      <c r="C38" s="41" t="s">
        <v>126</v>
      </c>
      <c r="D38" s="50">
        <v>343.26114101188602</v>
      </c>
      <c r="E38" s="60">
        <v>193.16397298101501</v>
      </c>
      <c r="F38" s="60">
        <v>1059.01536609974</v>
      </c>
      <c r="G38" s="122">
        <f t="shared" si="0"/>
        <v>0.18239959415548504</v>
      </c>
      <c r="H38" s="50">
        <v>16.443490171236402</v>
      </c>
      <c r="I38" s="62">
        <v>0.16271756986284</v>
      </c>
      <c r="J38" s="62">
        <v>4.0476066162498901E-3</v>
      </c>
      <c r="K38" s="62">
        <v>5.9928382203224002</v>
      </c>
      <c r="L38" s="62">
        <v>0.25456281564490701</v>
      </c>
      <c r="M38" s="62">
        <v>0.258330354815209</v>
      </c>
      <c r="N38" s="62">
        <v>5.7001181205980798E-3</v>
      </c>
      <c r="O38" s="62">
        <v>0.51945269392354598</v>
      </c>
      <c r="P38" s="62">
        <v>9.0681084752995494E-2</v>
      </c>
      <c r="Q38" s="62">
        <v>9.8748517404402096E-3</v>
      </c>
      <c r="R38" s="62">
        <v>7.1941390363242599</v>
      </c>
      <c r="S38" s="60">
        <v>2484.2550000000001</v>
      </c>
      <c r="T38" s="69">
        <v>41.51</v>
      </c>
      <c r="U38" s="60">
        <v>1974.8048067595</v>
      </c>
      <c r="V38" s="69">
        <v>36.9877409903957</v>
      </c>
      <c r="W38" s="60">
        <v>1481.29396935249</v>
      </c>
      <c r="X38" s="69">
        <v>29.2126032069852</v>
      </c>
      <c r="Y38" s="60">
        <v>1754.4689136294901</v>
      </c>
      <c r="Z38" s="69">
        <v>182.99827655043001</v>
      </c>
      <c r="AA38" s="71">
        <f t="shared" si="1"/>
        <v>0.71441161299087907</v>
      </c>
      <c r="AB38" s="50">
        <v>32.731290000000001</v>
      </c>
      <c r="AC38" s="60">
        <v>560.07270484080402</v>
      </c>
      <c r="AD38" s="61">
        <v>9.0821111934095207</v>
      </c>
      <c r="AE38" s="60">
        <v>1050.4792182080801</v>
      </c>
      <c r="AF38" s="61">
        <v>2.8652733262563501</v>
      </c>
      <c r="AG38" s="61">
        <v>73.242785813196306</v>
      </c>
      <c r="AH38" s="61">
        <v>2.2762954560185</v>
      </c>
      <c r="AI38" s="50">
        <v>13.9380116312441</v>
      </c>
      <c r="AJ38" s="61">
        <v>1.70575968725975</v>
      </c>
      <c r="AK38" s="50">
        <v>12.525995405599399</v>
      </c>
      <c r="AL38" s="61">
        <v>7.6996180673594798</v>
      </c>
      <c r="AM38" s="50">
        <v>21.495222565026001</v>
      </c>
      <c r="AN38" s="50">
        <v>23.850870717099902</v>
      </c>
      <c r="AO38" s="61">
        <v>6.4658737224934404</v>
      </c>
      <c r="AP38" s="50">
        <v>78.413849434601403</v>
      </c>
      <c r="AQ38" s="50">
        <v>32.676896965759603</v>
      </c>
      <c r="AR38" s="60">
        <v>162.905974535338</v>
      </c>
      <c r="AS38" s="50">
        <v>37.295755013052698</v>
      </c>
      <c r="AT38" s="60">
        <v>367.95985274593102</v>
      </c>
      <c r="AU38" s="50">
        <v>79.252533775056193</v>
      </c>
      <c r="AV38" s="60">
        <v>12284.8182819586</v>
      </c>
      <c r="AW38" s="61">
        <v>3.4184121224550799</v>
      </c>
      <c r="AX38" s="65">
        <v>1.2618130686219799</v>
      </c>
      <c r="AY38" s="65">
        <v>0</v>
      </c>
      <c r="AZ38" s="50">
        <v>16.443490171236402</v>
      </c>
      <c r="BA38" s="65">
        <v>6.1375273528942002E-2</v>
      </c>
      <c r="BB38" s="50">
        <v>343.26114101188602</v>
      </c>
      <c r="BC38" s="60">
        <v>193.16397298101501</v>
      </c>
      <c r="BD38" s="60">
        <v>1059.01536609974</v>
      </c>
    </row>
    <row r="39" spans="1:56" s="41" customFormat="1" ht="12" customHeight="1">
      <c r="A39" s="47" t="s">
        <v>19</v>
      </c>
      <c r="B39" s="41" t="s">
        <v>157</v>
      </c>
      <c r="C39" s="41" t="s">
        <v>126</v>
      </c>
      <c r="D39" s="50">
        <v>418.41795260642101</v>
      </c>
      <c r="E39" s="50">
        <v>74.072423506768402</v>
      </c>
      <c r="F39" s="60">
        <v>846.40495579059302</v>
      </c>
      <c r="G39" s="122">
        <f t="shared" si="0"/>
        <v>8.7514165648498968E-2</v>
      </c>
      <c r="H39" s="61">
        <v>2.14451450684499</v>
      </c>
      <c r="I39" s="62">
        <v>0.21958044273650801</v>
      </c>
      <c r="J39" s="62">
        <v>4.2972429229769004E-3</v>
      </c>
      <c r="K39" s="62">
        <v>12.1660554871108</v>
      </c>
      <c r="L39" s="62">
        <v>0.19490576682150301</v>
      </c>
      <c r="M39" s="62">
        <v>0.39992737740356499</v>
      </c>
      <c r="N39" s="62">
        <v>2.9101038437601401E-3</v>
      </c>
      <c r="O39" s="62">
        <v>0.45420556937839601</v>
      </c>
      <c r="P39" s="62">
        <v>0.12066815169594899</v>
      </c>
      <c r="Q39" s="62">
        <v>2.44111755415455E-3</v>
      </c>
      <c r="R39" s="62">
        <v>8.4373029517532299</v>
      </c>
      <c r="S39" s="60">
        <v>2977.47</v>
      </c>
      <c r="T39" s="69">
        <v>31.4849999999999</v>
      </c>
      <c r="U39" s="60">
        <v>2617.2939670621299</v>
      </c>
      <c r="V39" s="69">
        <v>15.1363799270872</v>
      </c>
      <c r="W39" s="60">
        <v>2168.7049926999498</v>
      </c>
      <c r="X39" s="69">
        <v>13.451580859937099</v>
      </c>
      <c r="Y39" s="60">
        <v>2302.6795643793798</v>
      </c>
      <c r="Z39" s="69">
        <v>44.027686052032202</v>
      </c>
      <c r="AA39" s="71">
        <f t="shared" si="1"/>
        <v>0.81254113169114428</v>
      </c>
      <c r="AB39" s="50">
        <v>32.731290000000001</v>
      </c>
      <c r="AC39" s="60">
        <v>494.016194132208</v>
      </c>
      <c r="AD39" s="50">
        <v>14.9693483802561</v>
      </c>
      <c r="AE39" s="60">
        <v>511.18929713012699</v>
      </c>
      <c r="AF39" s="61">
        <v>2.0908773332405102</v>
      </c>
      <c r="AG39" s="61">
        <v>13.3739578293288</v>
      </c>
      <c r="AH39" s="61">
        <v>0.35298443691242198</v>
      </c>
      <c r="AI39" s="61">
        <v>4.4265383809159502</v>
      </c>
      <c r="AJ39" s="61">
        <v>0.27512764654303101</v>
      </c>
      <c r="AK39" s="61">
        <v>1.74643319031735</v>
      </c>
      <c r="AL39" s="61">
        <v>1.5233931753213501</v>
      </c>
      <c r="AM39" s="61">
        <v>2.1032982985498601</v>
      </c>
      <c r="AN39" s="61">
        <v>5.9025951619932098</v>
      </c>
      <c r="AO39" s="61">
        <v>2.5014331710931499</v>
      </c>
      <c r="AP39" s="50">
        <v>35.240284025684403</v>
      </c>
      <c r="AQ39" s="50">
        <v>15.6756419372665</v>
      </c>
      <c r="AR39" s="50">
        <v>80.865370829555403</v>
      </c>
      <c r="AS39" s="50">
        <v>19.334471990179999</v>
      </c>
      <c r="AT39" s="60">
        <v>205.232835343505</v>
      </c>
      <c r="AU39" s="50">
        <v>45.836694278633601</v>
      </c>
      <c r="AV39" s="60">
        <v>11340.037503329801</v>
      </c>
      <c r="AW39" s="61">
        <v>3.1594067883243002</v>
      </c>
      <c r="AX39" s="65">
        <v>0.502246124184623</v>
      </c>
      <c r="AY39" s="65">
        <v>0</v>
      </c>
      <c r="AZ39" s="61">
        <v>2.14451450684499</v>
      </c>
      <c r="BA39" s="65">
        <v>4.7226560688703102E-2</v>
      </c>
      <c r="BB39" s="50">
        <v>418.41795260642101</v>
      </c>
      <c r="BC39" s="50">
        <v>74.072423506768402</v>
      </c>
      <c r="BD39" s="60">
        <v>846.40495579059302</v>
      </c>
    </row>
    <row r="40" spans="1:56" s="41" customFormat="1" ht="12" customHeight="1">
      <c r="A40" s="47" t="s">
        <v>19</v>
      </c>
      <c r="B40" s="41" t="s">
        <v>158</v>
      </c>
      <c r="D40" s="50">
        <v>299.20577670886303</v>
      </c>
      <c r="E40" s="60">
        <v>196.222375377405</v>
      </c>
      <c r="F40" s="60">
        <v>383.87882172670299</v>
      </c>
      <c r="G40" s="122">
        <f t="shared" si="0"/>
        <v>0.51115707424230528</v>
      </c>
      <c r="H40" s="61">
        <v>0.54030423816561302</v>
      </c>
      <c r="I40" s="62">
        <v>0.25813764742495099</v>
      </c>
      <c r="J40" s="62">
        <v>4.0124282974070896E-3</v>
      </c>
      <c r="K40" s="62">
        <v>22.423981049132099</v>
      </c>
      <c r="L40" s="62">
        <v>0.60483666896176402</v>
      </c>
      <c r="M40" s="62">
        <v>0.62365221476713595</v>
      </c>
      <c r="N40" s="62">
        <v>1.25611147356202E-2</v>
      </c>
      <c r="O40" s="62">
        <v>0.74672435836280904</v>
      </c>
      <c r="P40" s="62">
        <v>0.17048564404956301</v>
      </c>
      <c r="Q40" s="62">
        <v>4.6959144902892803E-3</v>
      </c>
      <c r="R40" s="62">
        <v>1.49650407476804</v>
      </c>
      <c r="S40" s="60">
        <v>3235.49</v>
      </c>
      <c r="T40" s="69">
        <v>25.1524999999999</v>
      </c>
      <c r="U40" s="60">
        <v>3202.2747918385598</v>
      </c>
      <c r="V40" s="69">
        <v>26.308739767768099</v>
      </c>
      <c r="W40" s="60">
        <v>3124.4355541456598</v>
      </c>
      <c r="X40" s="69">
        <v>49.900140254464297</v>
      </c>
      <c r="Y40" s="60">
        <v>3181.7835891232899</v>
      </c>
      <c r="Z40" s="69">
        <v>81.090183974981898</v>
      </c>
      <c r="AA40" s="71">
        <f t="shared" si="1"/>
        <v>0.97539345617669782</v>
      </c>
      <c r="AB40" s="50">
        <v>32.731290000000001</v>
      </c>
      <c r="AC40" s="60">
        <v>660.92313849768004</v>
      </c>
      <c r="AD40" s="50">
        <v>15.706182384268301</v>
      </c>
      <c r="AE40" s="60">
        <v>1628.83288453156</v>
      </c>
      <c r="AF40" s="61">
        <v>3.2957983267703899</v>
      </c>
      <c r="AG40" s="61">
        <v>4.9575283948081097</v>
      </c>
      <c r="AH40" s="61">
        <v>1.84361622962057</v>
      </c>
      <c r="AI40" s="50">
        <v>21.650373502276601</v>
      </c>
      <c r="AJ40" s="61">
        <v>1.47461536556507</v>
      </c>
      <c r="AK40" s="50">
        <v>11.033428424497099</v>
      </c>
      <c r="AL40" s="61">
        <v>9.65919763741792</v>
      </c>
      <c r="AM40" s="61">
        <v>3.0918949915143199</v>
      </c>
      <c r="AN40" s="50">
        <v>36.929079167523398</v>
      </c>
      <c r="AO40" s="50">
        <v>11.5946128015937</v>
      </c>
      <c r="AP40" s="60">
        <v>136.92550375668401</v>
      </c>
      <c r="AQ40" s="50">
        <v>52.525858417198997</v>
      </c>
      <c r="AR40" s="60">
        <v>233.872931706674</v>
      </c>
      <c r="AS40" s="50">
        <v>50.265699404634802</v>
      </c>
      <c r="AT40" s="60">
        <v>468.40295152020502</v>
      </c>
      <c r="AU40" s="50">
        <v>95.853702615035402</v>
      </c>
      <c r="AV40" s="60">
        <v>8287.7779082112702</v>
      </c>
      <c r="AW40" s="61">
        <v>1.36784221883791</v>
      </c>
      <c r="AX40" s="65">
        <v>0.40859498947519401</v>
      </c>
      <c r="AY40" s="65">
        <v>0</v>
      </c>
      <c r="AZ40" s="61">
        <v>0.54030423816561302</v>
      </c>
      <c r="BA40" s="65">
        <v>1.7827795694351299E-2</v>
      </c>
      <c r="BB40" s="50">
        <v>299.20577670886303</v>
      </c>
      <c r="BC40" s="60">
        <v>196.222375377405</v>
      </c>
      <c r="BD40" s="60">
        <v>383.87882172670299</v>
      </c>
    </row>
    <row r="41" spans="1:56" s="41" customFormat="1" ht="12" customHeight="1">
      <c r="A41" s="47" t="s">
        <v>19</v>
      </c>
      <c r="B41" s="41" t="s">
        <v>159</v>
      </c>
      <c r="C41" s="41" t="s">
        <v>135</v>
      </c>
      <c r="D41" s="50">
        <v>302.67312997964098</v>
      </c>
      <c r="E41" s="60">
        <v>106.645743055179</v>
      </c>
      <c r="F41" s="60">
        <v>272.670988272042</v>
      </c>
      <c r="G41" s="122">
        <f t="shared" si="0"/>
        <v>0.39111510810522776</v>
      </c>
      <c r="H41" s="61">
        <v>0.11433731359065299</v>
      </c>
      <c r="I41" s="62">
        <v>0.36682900089873299</v>
      </c>
      <c r="J41" s="62">
        <v>5.4840882000517198E-3</v>
      </c>
      <c r="K41" s="62">
        <v>38.8660362822121</v>
      </c>
      <c r="L41" s="62">
        <v>0.59375785512899204</v>
      </c>
      <c r="M41" s="62">
        <v>0.76531002248911295</v>
      </c>
      <c r="N41" s="62">
        <v>5.6209742167632601E-3</v>
      </c>
      <c r="O41" s="62">
        <v>0.48076747157990202</v>
      </c>
      <c r="P41" s="62">
        <v>0.20298625265370501</v>
      </c>
      <c r="Q41" s="62">
        <v>3.2400857208095598E-3</v>
      </c>
      <c r="R41" s="62">
        <v>1.98683940571198</v>
      </c>
      <c r="S41" s="60">
        <v>3778.35</v>
      </c>
      <c r="T41" s="69">
        <v>22.712500000000102</v>
      </c>
      <c r="U41" s="60">
        <v>3742.21936376536</v>
      </c>
      <c r="V41" s="69">
        <v>15.3355420729802</v>
      </c>
      <c r="W41" s="60">
        <v>3663.6668821663602</v>
      </c>
      <c r="X41" s="69">
        <v>20.6213328843439</v>
      </c>
      <c r="Y41" s="60">
        <v>3735.3614830564302</v>
      </c>
      <c r="Z41" s="69">
        <v>54.438986708470203</v>
      </c>
      <c r="AA41" s="71">
        <f t="shared" si="1"/>
        <v>0.97878647362639382</v>
      </c>
      <c r="AB41" s="50">
        <v>32.731290000000001</v>
      </c>
      <c r="AC41" s="60">
        <v>489.90670509547101</v>
      </c>
      <c r="AD41" s="61">
        <v>4.9332739742807501</v>
      </c>
      <c r="AE41" s="60">
        <v>589.13897559433894</v>
      </c>
      <c r="AF41" s="61">
        <v>1.22541514254219</v>
      </c>
      <c r="AG41" s="61">
        <v>0.83432780919925598</v>
      </c>
      <c r="AH41" s="61">
        <v>0.18955617167302699</v>
      </c>
      <c r="AI41" s="61">
        <v>9.8654139088521795</v>
      </c>
      <c r="AJ41" s="61">
        <v>0.20873429534330501</v>
      </c>
      <c r="AK41" s="61">
        <v>1.5662788336911699</v>
      </c>
      <c r="AL41" s="61">
        <v>2.3006135801228602</v>
      </c>
      <c r="AM41" s="61">
        <v>1.5084726725256199</v>
      </c>
      <c r="AN41" s="50">
        <v>14.225692534695201</v>
      </c>
      <c r="AO41" s="61">
        <v>4.4664653619926504</v>
      </c>
      <c r="AP41" s="50">
        <v>51.680645169432999</v>
      </c>
      <c r="AQ41" s="50">
        <v>19.627213247404999</v>
      </c>
      <c r="AR41" s="50">
        <v>87.3710434102383</v>
      </c>
      <c r="AS41" s="50">
        <v>18.325432915415998</v>
      </c>
      <c r="AT41" s="60">
        <v>169.337331886843</v>
      </c>
      <c r="AU41" s="50">
        <v>33.939111944021398</v>
      </c>
      <c r="AV41" s="60">
        <v>10466.2262537227</v>
      </c>
      <c r="AW41" s="61">
        <v>0.54517503714278204</v>
      </c>
      <c r="AX41" s="65">
        <v>0.159235830636098</v>
      </c>
      <c r="AY41" s="65">
        <v>0</v>
      </c>
      <c r="AZ41" s="61">
        <v>0.11433731359065299</v>
      </c>
      <c r="BA41" s="65">
        <v>6.7964149010311097E-3</v>
      </c>
      <c r="BB41" s="50">
        <v>302.67312997964098</v>
      </c>
      <c r="BC41" s="60">
        <v>106.645743055179</v>
      </c>
      <c r="BD41" s="60">
        <v>272.670988272042</v>
      </c>
    </row>
    <row r="42" spans="1:56" s="41" customFormat="1" ht="12" customHeight="1">
      <c r="A42" s="47" t="s">
        <v>19</v>
      </c>
      <c r="B42" s="41" t="s">
        <v>160</v>
      </c>
      <c r="C42" s="41" t="s">
        <v>135</v>
      </c>
      <c r="D42" s="50">
        <v>174.675667730713</v>
      </c>
      <c r="E42" s="50">
        <v>58.655297950744</v>
      </c>
      <c r="F42" s="60">
        <v>185.45366215807499</v>
      </c>
      <c r="G42" s="122">
        <f t="shared" si="0"/>
        <v>0.31628007378332618</v>
      </c>
      <c r="H42" s="61">
        <v>1.2211716558310199</v>
      </c>
      <c r="I42" s="62">
        <v>0.32412219590115798</v>
      </c>
      <c r="J42" s="62">
        <v>5.2510249990460897E-3</v>
      </c>
      <c r="K42" s="62">
        <v>32.059721407924101</v>
      </c>
      <c r="L42" s="62">
        <v>0.76874189043864805</v>
      </c>
      <c r="M42" s="62">
        <v>0.71060300956766798</v>
      </c>
      <c r="N42" s="62">
        <v>1.12203456183564E-2</v>
      </c>
      <c r="O42" s="62">
        <v>0.65850395676840001</v>
      </c>
      <c r="P42" s="62">
        <v>0.203130941928956</v>
      </c>
      <c r="Q42" s="62">
        <v>4.1274768300209701E-3</v>
      </c>
      <c r="R42" s="62">
        <v>2.2949748486002601</v>
      </c>
      <c r="S42" s="60">
        <v>3589.46</v>
      </c>
      <c r="T42" s="69">
        <v>24.815000000000101</v>
      </c>
      <c r="U42" s="60">
        <v>3552.13044168637</v>
      </c>
      <c r="V42" s="69">
        <v>23.734062497181899</v>
      </c>
      <c r="W42" s="60">
        <v>3460.7313168526598</v>
      </c>
      <c r="X42" s="69">
        <v>42.325193485871203</v>
      </c>
      <c r="Y42" s="60">
        <v>3737.7923643852801</v>
      </c>
      <c r="Z42" s="69">
        <v>69.340336524658895</v>
      </c>
      <c r="AA42" s="71">
        <f t="shared" si="1"/>
        <v>0.97393385810794841</v>
      </c>
      <c r="AB42" s="50">
        <v>32.731290000000001</v>
      </c>
      <c r="AC42" s="60">
        <v>492.20471394963801</v>
      </c>
      <c r="AD42" s="61">
        <v>3.6717991540263899</v>
      </c>
      <c r="AE42" s="60">
        <v>851.753017401497</v>
      </c>
      <c r="AF42" s="61">
        <v>1.5767729054823501</v>
      </c>
      <c r="AG42" s="61">
        <v>0.87124632812288005</v>
      </c>
      <c r="AH42" s="61">
        <v>0.16453918931953701</v>
      </c>
      <c r="AI42" s="61">
        <v>8.8412900752502903</v>
      </c>
      <c r="AJ42" s="61">
        <v>0.25040986719289998</v>
      </c>
      <c r="AK42" s="61">
        <v>2.3696599681544699</v>
      </c>
      <c r="AL42" s="61">
        <v>2.6307244685104898</v>
      </c>
      <c r="AM42" s="61">
        <v>1.2454576830009401</v>
      </c>
      <c r="AN42" s="50">
        <v>16.2765996547603</v>
      </c>
      <c r="AO42" s="61">
        <v>5.8772798442536196</v>
      </c>
      <c r="AP42" s="50">
        <v>72.492982915584804</v>
      </c>
      <c r="AQ42" s="50">
        <v>28.875975548574601</v>
      </c>
      <c r="AR42" s="60">
        <v>131.401558071094</v>
      </c>
      <c r="AS42" s="50">
        <v>27.0757251986965</v>
      </c>
      <c r="AT42" s="60">
        <v>243.08926594556701</v>
      </c>
      <c r="AU42" s="50">
        <v>48.8492818380372</v>
      </c>
      <c r="AV42" s="60">
        <v>8788.51245190794</v>
      </c>
      <c r="AW42" s="61">
        <v>1.3917858811907</v>
      </c>
      <c r="AX42" s="65">
        <v>0.23010744487260701</v>
      </c>
      <c r="AY42" s="65">
        <v>0</v>
      </c>
      <c r="AZ42" s="61">
        <v>1.2211716558310199</v>
      </c>
      <c r="BA42" s="65">
        <v>7.5772447537859897E-3</v>
      </c>
      <c r="BB42" s="50">
        <v>174.675667730713</v>
      </c>
      <c r="BC42" s="50">
        <v>58.655297950744</v>
      </c>
      <c r="BD42" s="60">
        <v>185.45366215807499</v>
      </c>
    </row>
    <row r="43" spans="1:56" s="41" customFormat="1" ht="12" customHeight="1">
      <c r="A43" s="47" t="s">
        <v>19</v>
      </c>
      <c r="B43" s="41" t="s">
        <v>161</v>
      </c>
      <c r="C43" s="41" t="s">
        <v>135</v>
      </c>
      <c r="D43" s="50">
        <v>309.85628028645198</v>
      </c>
      <c r="E43" s="60">
        <v>159.455641836778</v>
      </c>
      <c r="F43" s="60">
        <v>252.475449355781</v>
      </c>
      <c r="G43" s="122">
        <f t="shared" si="0"/>
        <v>0.63156890004016897</v>
      </c>
      <c r="H43" s="61">
        <v>0.34728574494056802</v>
      </c>
      <c r="I43" s="62">
        <v>0.37814155309340503</v>
      </c>
      <c r="J43" s="62">
        <v>5.9893936982844702E-3</v>
      </c>
      <c r="K43" s="62">
        <v>43.035986490558102</v>
      </c>
      <c r="L43" s="62">
        <v>0.70683541689496499</v>
      </c>
      <c r="M43" s="62">
        <v>0.822140083309153</v>
      </c>
      <c r="N43" s="62">
        <v>6.7349027403571602E-3</v>
      </c>
      <c r="O43" s="62">
        <v>0.498768440745186</v>
      </c>
      <c r="P43" s="62">
        <v>0.20641820614165901</v>
      </c>
      <c r="Q43" s="62">
        <v>3.54272490450691E-3</v>
      </c>
      <c r="R43" s="62">
        <v>1.15360450897471</v>
      </c>
      <c r="S43" s="60">
        <v>3824.38</v>
      </c>
      <c r="T43" s="69">
        <v>18.495000000000299</v>
      </c>
      <c r="U43" s="60">
        <v>3843.2321413680702</v>
      </c>
      <c r="V43" s="69">
        <v>16.5064290358563</v>
      </c>
      <c r="W43" s="60">
        <v>3867.9238049649498</v>
      </c>
      <c r="X43" s="69">
        <v>23.918284718363299</v>
      </c>
      <c r="Y43" s="60">
        <v>3792.9420809595999</v>
      </c>
      <c r="Z43" s="69">
        <v>59.3545128524107</v>
      </c>
      <c r="AA43" s="71">
        <f t="shared" si="1"/>
        <v>0.9935958593578641</v>
      </c>
      <c r="AB43" s="50">
        <v>32.731290000000001</v>
      </c>
      <c r="AC43" s="60">
        <v>538.68439526820805</v>
      </c>
      <c r="AD43" s="61">
        <v>3.6434457074962601</v>
      </c>
      <c r="AE43" s="60">
        <v>1333.44127439097</v>
      </c>
      <c r="AF43" s="61">
        <v>0.91139605498831799</v>
      </c>
      <c r="AG43" s="61">
        <v>0.29030525462743301</v>
      </c>
      <c r="AH43" s="61">
        <v>1.67431839116103</v>
      </c>
      <c r="AI43" s="50">
        <v>21.693809818722901</v>
      </c>
      <c r="AJ43" s="61">
        <v>1.1004008390858999</v>
      </c>
      <c r="AK43" s="61">
        <v>8.40650171626549</v>
      </c>
      <c r="AL43" s="50">
        <v>10.0596554222936</v>
      </c>
      <c r="AM43" s="61">
        <v>3.3299962425706102</v>
      </c>
      <c r="AN43" s="50">
        <v>44.428017971999097</v>
      </c>
      <c r="AO43" s="50">
        <v>13.2631322589821</v>
      </c>
      <c r="AP43" s="60">
        <v>132.25440492205399</v>
      </c>
      <c r="AQ43" s="50">
        <v>45.178926778231499</v>
      </c>
      <c r="AR43" s="60">
        <v>188.94798998694901</v>
      </c>
      <c r="AS43" s="50">
        <v>36.6829320144844</v>
      </c>
      <c r="AT43" s="60">
        <v>325.748516394148</v>
      </c>
      <c r="AU43" s="50">
        <v>63.419231315745101</v>
      </c>
      <c r="AV43" s="60">
        <v>9596.9293218091407</v>
      </c>
      <c r="AW43" s="61">
        <v>0.34159422705539999</v>
      </c>
      <c r="AX43" s="65">
        <v>1.1958524085493101</v>
      </c>
      <c r="AY43" s="65">
        <v>0</v>
      </c>
      <c r="AZ43" s="61">
        <v>0.34728574494056802</v>
      </c>
      <c r="BA43" s="65">
        <v>3.1098925154239E-2</v>
      </c>
      <c r="BB43" s="50">
        <v>309.85628028645198</v>
      </c>
      <c r="BC43" s="60">
        <v>159.455641836778</v>
      </c>
      <c r="BD43" s="60">
        <v>252.475449355781</v>
      </c>
    </row>
    <row r="44" spans="1:56" s="41" customFormat="1" ht="12" customHeight="1">
      <c r="A44" s="38"/>
      <c r="D44" s="50"/>
      <c r="E44" s="60"/>
      <c r="F44" s="60"/>
      <c r="G44" s="122"/>
      <c r="H44" s="61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0"/>
      <c r="T44" s="69"/>
      <c r="U44" s="60"/>
      <c r="V44" s="69"/>
      <c r="W44" s="60"/>
      <c r="X44" s="69"/>
      <c r="Y44" s="60"/>
      <c r="Z44" s="69"/>
      <c r="AA44" s="71"/>
      <c r="AB44" s="50"/>
      <c r="AC44" s="60"/>
      <c r="AD44" s="61"/>
      <c r="AE44" s="60"/>
      <c r="AF44" s="61"/>
      <c r="AG44" s="61"/>
      <c r="AH44" s="61"/>
      <c r="AI44" s="61"/>
      <c r="AJ44" s="61"/>
      <c r="AK44" s="61"/>
      <c r="AL44" s="61"/>
      <c r="AM44" s="61"/>
      <c r="AN44" s="50"/>
      <c r="AO44" s="61"/>
      <c r="AP44" s="60"/>
      <c r="AQ44" s="50"/>
      <c r="AR44" s="60"/>
      <c r="AS44" s="50"/>
      <c r="AT44" s="60"/>
      <c r="AU44" s="50"/>
      <c r="AV44" s="60"/>
      <c r="AW44" s="61"/>
      <c r="AX44" s="65"/>
      <c r="AY44" s="65"/>
      <c r="AZ44" s="61"/>
      <c r="BA44" s="65"/>
      <c r="BB44" s="50"/>
      <c r="BC44" s="60"/>
      <c r="BD44" s="60"/>
    </row>
    <row r="45" spans="1:56" s="39" customFormat="1" ht="12" customHeight="1">
      <c r="A45" s="47" t="s">
        <v>21</v>
      </c>
      <c r="B45" s="39" t="s">
        <v>162</v>
      </c>
      <c r="C45" s="39" t="s">
        <v>126</v>
      </c>
      <c r="D45" s="48">
        <v>182.68594783107801</v>
      </c>
      <c r="E45" s="48">
        <v>50.534019136399898</v>
      </c>
      <c r="F45" s="52">
        <v>312.29429820354102</v>
      </c>
      <c r="G45" s="122">
        <f t="shared" si="0"/>
        <v>0.16181537551948461</v>
      </c>
      <c r="H45" s="53">
        <v>3.3988231277211698</v>
      </c>
      <c r="I45" s="54">
        <v>0.306987740934626</v>
      </c>
      <c r="J45" s="54">
        <v>5.7839691758614703E-3</v>
      </c>
      <c r="K45" s="54">
        <v>19.9283857210539</v>
      </c>
      <c r="L45" s="54">
        <v>0.79534205638877398</v>
      </c>
      <c r="M45" s="54">
        <v>0.46121559452364802</v>
      </c>
      <c r="N45" s="54">
        <v>1.3941253026588499E-2</v>
      </c>
      <c r="O45" s="54">
        <v>0.75738377813755497</v>
      </c>
      <c r="P45" s="54">
        <v>0.13736184480993499</v>
      </c>
      <c r="Q45" s="54">
        <v>3.36896056267935E-3</v>
      </c>
      <c r="R45" s="54">
        <v>4.4302727922239802</v>
      </c>
      <c r="S45" s="52">
        <v>3505.8649999999998</v>
      </c>
      <c r="T45" s="67">
        <v>29.320000000000199</v>
      </c>
      <c r="U45" s="52">
        <v>3087.8879077683901</v>
      </c>
      <c r="V45" s="67">
        <v>38.644719532159897</v>
      </c>
      <c r="W45" s="52">
        <v>2444.9230510283901</v>
      </c>
      <c r="X45" s="67">
        <v>61.518502260177399</v>
      </c>
      <c r="Y45" s="52">
        <v>2601.5444033259901</v>
      </c>
      <c r="Z45" s="67">
        <v>59.870304835765197</v>
      </c>
      <c r="AA45" s="71">
        <f t="shared" si="1"/>
        <v>0.76758112231623199</v>
      </c>
      <c r="AB45" s="48">
        <v>32.731290000000001</v>
      </c>
      <c r="AC45" s="52">
        <v>514.89238691922105</v>
      </c>
      <c r="AD45" s="48">
        <v>16.304443513811499</v>
      </c>
      <c r="AE45" s="52">
        <v>823.97053560855898</v>
      </c>
      <c r="AF45" s="53">
        <v>2.4776313381959501</v>
      </c>
      <c r="AG45" s="53">
        <v>12.7092443173552</v>
      </c>
      <c r="AH45" s="53">
        <v>3.50144769223692</v>
      </c>
      <c r="AI45" s="48">
        <v>31.961428243533099</v>
      </c>
      <c r="AJ45" s="53">
        <v>2.7124261947304</v>
      </c>
      <c r="AK45" s="48">
        <v>17.970740285660799</v>
      </c>
      <c r="AL45" s="48">
        <v>12.125430007378201</v>
      </c>
      <c r="AM45" s="48">
        <v>21.144821196732799</v>
      </c>
      <c r="AN45" s="48">
        <v>27.721064622875499</v>
      </c>
      <c r="AO45" s="53">
        <v>8.3108570600248406</v>
      </c>
      <c r="AP45" s="48">
        <v>85.167038238254506</v>
      </c>
      <c r="AQ45" s="48">
        <v>27.9599534538626</v>
      </c>
      <c r="AR45" s="52">
        <v>115.84970160600101</v>
      </c>
      <c r="AS45" s="48">
        <v>23.237449370020901</v>
      </c>
      <c r="AT45" s="52">
        <v>203.32087211503099</v>
      </c>
      <c r="AU45" s="48">
        <v>40.560575592555097</v>
      </c>
      <c r="AV45" s="52">
        <v>10132.095954349999</v>
      </c>
      <c r="AW45" s="53">
        <v>0.85906007887775404</v>
      </c>
      <c r="AX45" s="64">
        <v>1.36237126686568</v>
      </c>
      <c r="AY45" s="64">
        <v>0</v>
      </c>
      <c r="AZ45" s="53">
        <v>3.3988231277211698</v>
      </c>
      <c r="BA45" s="64">
        <v>3.5815302307460398E-2</v>
      </c>
      <c r="BB45" s="48">
        <v>182.68594783107801</v>
      </c>
      <c r="BC45" s="48">
        <v>50.534019136399898</v>
      </c>
      <c r="BD45" s="52">
        <v>312.29429820354102</v>
      </c>
    </row>
    <row r="46" spans="1:56" s="39" customFormat="1" ht="12" customHeight="1">
      <c r="A46" s="47" t="s">
        <v>21</v>
      </c>
      <c r="B46" s="39" t="s">
        <v>163</v>
      </c>
      <c r="D46" s="48">
        <v>245.66060562901299</v>
      </c>
      <c r="E46" s="48">
        <v>51.351599024974597</v>
      </c>
      <c r="F46" s="52">
        <v>217.72084873701499</v>
      </c>
      <c r="G46" s="122">
        <f t="shared" si="0"/>
        <v>0.23585981463356406</v>
      </c>
      <c r="H46" s="64">
        <v>2.4912772390211901E-2</v>
      </c>
      <c r="I46" s="54">
        <v>0.36943058926259498</v>
      </c>
      <c r="J46" s="54">
        <v>5.9517016670475797E-3</v>
      </c>
      <c r="K46" s="54">
        <v>41.047635138956899</v>
      </c>
      <c r="L46" s="54">
        <v>0.65294566777099206</v>
      </c>
      <c r="M46" s="54">
        <v>0.80187887887054998</v>
      </c>
      <c r="N46" s="54">
        <v>5.4664989828015001E-3</v>
      </c>
      <c r="O46" s="54">
        <v>0.42855996089994902</v>
      </c>
      <c r="P46" s="54">
        <v>0.207485600211645</v>
      </c>
      <c r="Q46" s="54">
        <v>3.7326480715118701E-3</v>
      </c>
      <c r="R46" s="54">
        <v>3.2306699914005801</v>
      </c>
      <c r="S46" s="52">
        <v>3790.74</v>
      </c>
      <c r="T46" s="67">
        <v>24.385000000000002</v>
      </c>
      <c r="U46" s="52">
        <v>3796.3173534788698</v>
      </c>
      <c r="V46" s="67">
        <v>15.977518134282001</v>
      </c>
      <c r="W46" s="52">
        <v>3795.8416895659302</v>
      </c>
      <c r="X46" s="67">
        <v>19.6641074040541</v>
      </c>
      <c r="Y46" s="52">
        <v>3810.8172043036002</v>
      </c>
      <c r="Z46" s="67">
        <v>62.481188461546601</v>
      </c>
      <c r="AA46" s="71">
        <f t="shared" si="1"/>
        <v>0.9998746960093321</v>
      </c>
      <c r="AB46" s="48">
        <v>32.731290000000001</v>
      </c>
      <c r="AC46" s="52">
        <v>488.74497107577298</v>
      </c>
      <c r="AD46" s="53">
        <v>1.6162399443543101</v>
      </c>
      <c r="AE46" s="52">
        <v>509.31054250709701</v>
      </c>
      <c r="AF46" s="53">
        <v>1.1082399206895399</v>
      </c>
      <c r="AG46" s="53">
        <v>0.25329339219848801</v>
      </c>
      <c r="AH46" s="53">
        <v>4.1188203637054797E-2</v>
      </c>
      <c r="AI46" s="53">
        <v>3.67372473469691</v>
      </c>
      <c r="AJ46" s="64">
        <v>3.3813557669784298E-2</v>
      </c>
      <c r="AK46" s="53">
        <v>0.51169353362618097</v>
      </c>
      <c r="AL46" s="53">
        <v>1.3726242285596899</v>
      </c>
      <c r="AM46" s="53">
        <v>0.40617170840614197</v>
      </c>
      <c r="AN46" s="48">
        <v>10.1124486685449</v>
      </c>
      <c r="AO46" s="53">
        <v>3.6780973389801801</v>
      </c>
      <c r="AP46" s="48">
        <v>44.3215641616273</v>
      </c>
      <c r="AQ46" s="48">
        <v>16.9087425685074</v>
      </c>
      <c r="AR46" s="48">
        <v>75.416942703808601</v>
      </c>
      <c r="AS46" s="48">
        <v>16.1188131504829</v>
      </c>
      <c r="AT46" s="52">
        <v>150.73588916601699</v>
      </c>
      <c r="AU46" s="48">
        <v>31.011095264692401</v>
      </c>
      <c r="AV46" s="52">
        <v>9885.8465358814501</v>
      </c>
      <c r="AW46" s="53">
        <v>0.69073970152973596</v>
      </c>
      <c r="AX46" s="64">
        <v>1.84523644250713E-2</v>
      </c>
      <c r="AY46" s="64">
        <v>0</v>
      </c>
      <c r="AZ46" s="64">
        <v>2.4912772390211901E-2</v>
      </c>
      <c r="BA46" s="64">
        <v>2.2136171154002399E-3</v>
      </c>
      <c r="BB46" s="48">
        <v>245.66060562901299</v>
      </c>
      <c r="BC46" s="48">
        <v>51.351599024974597</v>
      </c>
      <c r="BD46" s="52">
        <v>217.72084873701499</v>
      </c>
    </row>
    <row r="47" spans="1:56" s="39" customFormat="1" ht="12" customHeight="1">
      <c r="A47" s="47" t="s">
        <v>21</v>
      </c>
      <c r="B47" s="39" t="s">
        <v>164</v>
      </c>
      <c r="D47" s="48">
        <v>281.61917073689102</v>
      </c>
      <c r="E47" s="48">
        <v>77.581214101391296</v>
      </c>
      <c r="F47" s="52">
        <v>271.55327466092399</v>
      </c>
      <c r="G47" s="122">
        <f t="shared" si="0"/>
        <v>0.28569426827300598</v>
      </c>
      <c r="H47" s="53">
        <v>0.235775722132125</v>
      </c>
      <c r="I47" s="54">
        <v>0.37446783685440899</v>
      </c>
      <c r="J47" s="54">
        <v>6.5763070063643396E-3</v>
      </c>
      <c r="K47" s="54">
        <v>37.752101733518103</v>
      </c>
      <c r="L47" s="54">
        <v>0.67920694915297897</v>
      </c>
      <c r="M47" s="54">
        <v>0.72760785123046601</v>
      </c>
      <c r="N47" s="54">
        <v>6.1084420214790498E-3</v>
      </c>
      <c r="O47" s="54">
        <v>0.46662939507095302</v>
      </c>
      <c r="P47" s="54">
        <v>0.19391328364953</v>
      </c>
      <c r="Q47" s="54">
        <v>4.1574591003525202E-3</v>
      </c>
      <c r="R47" s="54">
        <v>2.5762791531239899</v>
      </c>
      <c r="S47" s="52">
        <v>3809.57</v>
      </c>
      <c r="T47" s="67">
        <v>26.5425</v>
      </c>
      <c r="U47" s="52">
        <v>3713.4436641243401</v>
      </c>
      <c r="V47" s="67">
        <v>17.974841280703199</v>
      </c>
      <c r="W47" s="52">
        <v>3524.4977062512098</v>
      </c>
      <c r="X47" s="67">
        <v>22.8724270312937</v>
      </c>
      <c r="Y47" s="52">
        <v>3582.3423056851302</v>
      </c>
      <c r="Z47" s="67">
        <v>70.383263209497898</v>
      </c>
      <c r="AA47" s="71">
        <f t="shared" si="1"/>
        <v>0.94779013860309103</v>
      </c>
      <c r="AB47" s="48">
        <v>32.731290000000001</v>
      </c>
      <c r="AC47" s="52">
        <v>509.21169288472998</v>
      </c>
      <c r="AD47" s="53">
        <v>4.2272608260479396</v>
      </c>
      <c r="AE47" s="52">
        <v>626.64263075070699</v>
      </c>
      <c r="AF47" s="53">
        <v>0.97090865715726704</v>
      </c>
      <c r="AG47" s="53">
        <v>1.7534103523173701</v>
      </c>
      <c r="AH47" s="53">
        <v>1.9369913212729</v>
      </c>
      <c r="AI47" s="48">
        <v>10.662087277470601</v>
      </c>
      <c r="AJ47" s="53">
        <v>0.91531719939093004</v>
      </c>
      <c r="AK47" s="53">
        <v>4.8367139553217102</v>
      </c>
      <c r="AL47" s="53">
        <v>3.9336234288837799</v>
      </c>
      <c r="AM47" s="53">
        <v>7.4553351752973098</v>
      </c>
      <c r="AN47" s="48">
        <v>16.046929909953899</v>
      </c>
      <c r="AO47" s="53">
        <v>5.1173916509280399</v>
      </c>
      <c r="AP47" s="48">
        <v>55.762347636675202</v>
      </c>
      <c r="AQ47" s="48">
        <v>20.4752595014834</v>
      </c>
      <c r="AR47" s="48">
        <v>91.417798564495399</v>
      </c>
      <c r="AS47" s="48">
        <v>20.0779653789068</v>
      </c>
      <c r="AT47" s="52">
        <v>190.88667899190199</v>
      </c>
      <c r="AU47" s="48">
        <v>39.703868780104699</v>
      </c>
      <c r="AV47" s="52">
        <v>9761.2098409788196</v>
      </c>
      <c r="AW47" s="53">
        <v>0.58093278931432502</v>
      </c>
      <c r="AX47" s="64">
        <v>0.54878117881718003</v>
      </c>
      <c r="AY47" s="64">
        <v>0</v>
      </c>
      <c r="AZ47" s="53">
        <v>0.235775722132125</v>
      </c>
      <c r="BA47" s="64">
        <v>3.3206796549565699E-3</v>
      </c>
      <c r="BB47" s="48">
        <v>281.61917073689102</v>
      </c>
      <c r="BC47" s="48">
        <v>77.581214101391296</v>
      </c>
      <c r="BD47" s="52">
        <v>271.55327466092399</v>
      </c>
    </row>
    <row r="48" spans="1:56" s="39" customFormat="1" ht="12" customHeight="1">
      <c r="A48" s="47" t="s">
        <v>21</v>
      </c>
      <c r="B48" s="39" t="s">
        <v>165</v>
      </c>
      <c r="D48" s="48">
        <v>171.31287397299599</v>
      </c>
      <c r="E48" s="48">
        <v>40.721704637891001</v>
      </c>
      <c r="F48" s="52">
        <v>147.03046203090901</v>
      </c>
      <c r="G48" s="122">
        <f t="shared" si="0"/>
        <v>0.2769610057358754</v>
      </c>
      <c r="H48" s="55">
        <v>0</v>
      </c>
      <c r="I48" s="54">
        <v>0.36635306404832901</v>
      </c>
      <c r="J48" s="54">
        <v>7.2200124603967204E-3</v>
      </c>
      <c r="K48" s="54">
        <v>41.7665795298429</v>
      </c>
      <c r="L48" s="54">
        <v>0.84709373185793502</v>
      </c>
      <c r="M48" s="54">
        <v>0.82247235174314703</v>
      </c>
      <c r="N48" s="54">
        <v>7.1446041971215202E-3</v>
      </c>
      <c r="O48" s="54">
        <v>0.42830614842283898</v>
      </c>
      <c r="P48" s="54">
        <v>0.202873054202904</v>
      </c>
      <c r="Q48" s="54">
        <v>4.32777631787993E-3</v>
      </c>
      <c r="R48" s="54">
        <v>3.0033886565597299</v>
      </c>
      <c r="S48" s="52">
        <v>3776.395</v>
      </c>
      <c r="T48" s="67">
        <v>29.8900000000001</v>
      </c>
      <c r="U48" s="52">
        <v>3813.5319545692</v>
      </c>
      <c r="V48" s="67">
        <v>20.278565602676998</v>
      </c>
      <c r="W48" s="52">
        <v>3869.0992056360901</v>
      </c>
      <c r="X48" s="67">
        <v>25.357975399236398</v>
      </c>
      <c r="Y48" s="52">
        <v>3733.4594658128799</v>
      </c>
      <c r="Z48" s="67">
        <v>72.720893603517496</v>
      </c>
      <c r="AA48" s="71">
        <f t="shared" si="1"/>
        <v>0.98553431762942911</v>
      </c>
      <c r="AB48" s="48">
        <v>32.731290000000001</v>
      </c>
      <c r="AC48" s="52">
        <v>504.93336625878499</v>
      </c>
      <c r="AD48" s="53">
        <v>2.0944635602038302</v>
      </c>
      <c r="AE48" s="52">
        <v>489.90504019109301</v>
      </c>
      <c r="AF48" s="53">
        <v>0.96805416445383397</v>
      </c>
      <c r="AG48" s="53">
        <v>1.9978263585815E-2</v>
      </c>
      <c r="AH48" s="53">
        <v>5.7881833627292802E-2</v>
      </c>
      <c r="AI48" s="53">
        <v>3.2550713783781999</v>
      </c>
      <c r="AJ48" s="64">
        <v>3.76399787170697E-2</v>
      </c>
      <c r="AK48" s="53">
        <v>0.367632315280427</v>
      </c>
      <c r="AL48" s="53">
        <v>1.1266451338922601</v>
      </c>
      <c r="AM48" s="53">
        <v>0.26475063568106999</v>
      </c>
      <c r="AN48" s="53">
        <v>8.2251011892525003</v>
      </c>
      <c r="AO48" s="53">
        <v>3.03743814800464</v>
      </c>
      <c r="AP48" s="48">
        <v>40.774309715840801</v>
      </c>
      <c r="AQ48" s="48">
        <v>16.5264536716473</v>
      </c>
      <c r="AR48" s="48">
        <v>77.284456491436003</v>
      </c>
      <c r="AS48" s="48">
        <v>16.965173753392801</v>
      </c>
      <c r="AT48" s="52">
        <v>168.41934139503601</v>
      </c>
      <c r="AU48" s="48">
        <v>36.939409435083</v>
      </c>
      <c r="AV48" s="52">
        <v>9866.00832633967</v>
      </c>
      <c r="AW48" s="53">
        <v>0.56817406683863603</v>
      </c>
      <c r="AX48" s="64">
        <v>5.2990527833794702E-2</v>
      </c>
      <c r="AY48" s="64">
        <v>0</v>
      </c>
      <c r="AZ48" s="55">
        <v>0</v>
      </c>
      <c r="BA48" s="64">
        <v>0</v>
      </c>
      <c r="BB48" s="48">
        <v>171.31287397299599</v>
      </c>
      <c r="BC48" s="48">
        <v>40.721704637891001</v>
      </c>
      <c r="BD48" s="52">
        <v>147.03046203090901</v>
      </c>
    </row>
    <row r="49" spans="1:56" s="39" customFormat="1" ht="12" customHeight="1">
      <c r="A49" s="47" t="s">
        <v>21</v>
      </c>
      <c r="B49" s="39" t="s">
        <v>166</v>
      </c>
      <c r="C49" s="39" t="s">
        <v>126</v>
      </c>
      <c r="D49" s="48">
        <v>286.92307585471701</v>
      </c>
      <c r="E49" s="52">
        <v>125.05335025590099</v>
      </c>
      <c r="F49" s="52">
        <v>328.45892735098101</v>
      </c>
      <c r="G49" s="122">
        <f t="shared" si="0"/>
        <v>0.38072751215640688</v>
      </c>
      <c r="H49" s="53">
        <v>3.0594232560530701</v>
      </c>
      <c r="I49" s="54">
        <v>0.34437467841325597</v>
      </c>
      <c r="J49" s="54">
        <v>7.6498005603801399E-3</v>
      </c>
      <c r="K49" s="54">
        <v>28.9511986232258</v>
      </c>
      <c r="L49" s="54">
        <v>0.67960335263119098</v>
      </c>
      <c r="M49" s="54">
        <v>0.60714082828558802</v>
      </c>
      <c r="N49" s="54">
        <v>7.0331480175157999E-3</v>
      </c>
      <c r="O49" s="54">
        <v>0.49348204407322799</v>
      </c>
      <c r="P49" s="54">
        <v>0.16341673643525201</v>
      </c>
      <c r="Q49" s="54">
        <v>4.3093600835462003E-3</v>
      </c>
      <c r="R49" s="54">
        <v>1.9320874115148701</v>
      </c>
      <c r="S49" s="52">
        <v>3682.4050000000002</v>
      </c>
      <c r="T49" s="67">
        <v>33.954999999999899</v>
      </c>
      <c r="U49" s="52">
        <v>3451.8651008473598</v>
      </c>
      <c r="V49" s="67">
        <v>23.158664603978799</v>
      </c>
      <c r="W49" s="52">
        <v>3058.5445105188701</v>
      </c>
      <c r="X49" s="67">
        <v>28.259016838362498</v>
      </c>
      <c r="Y49" s="52">
        <v>3059.3458956484901</v>
      </c>
      <c r="Z49" s="67">
        <v>74.867214413231295</v>
      </c>
      <c r="AA49" s="71">
        <f t="shared" si="1"/>
        <v>0.87917178371025717</v>
      </c>
      <c r="AB49" s="48">
        <v>32.731290000000001</v>
      </c>
      <c r="AC49" s="52">
        <v>491.95072852266901</v>
      </c>
      <c r="AD49" s="48">
        <v>20.239650173360101</v>
      </c>
      <c r="AE49" s="52">
        <v>1050.65738414103</v>
      </c>
      <c r="AF49" s="53">
        <v>2.0666737471919499</v>
      </c>
      <c r="AG49" s="53">
        <v>9.9874162166987208</v>
      </c>
      <c r="AH49" s="53">
        <v>0.55836439012183403</v>
      </c>
      <c r="AI49" s="48">
        <v>11.9725237473071</v>
      </c>
      <c r="AJ49" s="53">
        <v>0.28216850001289201</v>
      </c>
      <c r="AK49" s="53">
        <v>2.29970262504124</v>
      </c>
      <c r="AL49" s="53">
        <v>3.6517949796256799</v>
      </c>
      <c r="AM49" s="53">
        <v>3.04721688333855</v>
      </c>
      <c r="AN49" s="48">
        <v>21.946115118702899</v>
      </c>
      <c r="AO49" s="53">
        <v>7.8425156638561502</v>
      </c>
      <c r="AP49" s="48">
        <v>91.974693844037105</v>
      </c>
      <c r="AQ49" s="48">
        <v>35.540383120626799</v>
      </c>
      <c r="AR49" s="52">
        <v>155.23805801559701</v>
      </c>
      <c r="AS49" s="48">
        <v>32.750560981228503</v>
      </c>
      <c r="AT49" s="52">
        <v>300.009606135995</v>
      </c>
      <c r="AU49" s="48">
        <v>59.669937135633504</v>
      </c>
      <c r="AV49" s="52">
        <v>10009.253578334199</v>
      </c>
      <c r="AW49" s="53">
        <v>0.98990329952797396</v>
      </c>
      <c r="AX49" s="64">
        <v>0.34027559437430099</v>
      </c>
      <c r="AY49" s="64">
        <v>0</v>
      </c>
      <c r="AZ49" s="53">
        <v>3.0594232560530701</v>
      </c>
      <c r="BA49" s="64">
        <v>3.6761886377620401E-2</v>
      </c>
      <c r="BB49" s="48">
        <v>286.92307585471701</v>
      </c>
      <c r="BC49" s="52">
        <v>125.05335025590099</v>
      </c>
      <c r="BD49" s="52">
        <v>328.45892735098101</v>
      </c>
    </row>
    <row r="50" spans="1:56" s="39" customFormat="1" ht="12" customHeight="1">
      <c r="A50" s="47" t="s">
        <v>21</v>
      </c>
      <c r="B50" s="39" t="s">
        <v>167</v>
      </c>
      <c r="D50" s="48">
        <v>274.35116717473801</v>
      </c>
      <c r="E50" s="48">
        <v>30.8746606339995</v>
      </c>
      <c r="F50" s="52">
        <v>280.68029408908097</v>
      </c>
      <c r="G50" s="122">
        <f t="shared" si="0"/>
        <v>0.10999938821569229</v>
      </c>
      <c r="H50" s="53">
        <v>0.582728695720243</v>
      </c>
      <c r="I50" s="54">
        <v>0.35697452717607903</v>
      </c>
      <c r="J50" s="54">
        <v>7.1597514094967202E-3</v>
      </c>
      <c r="K50" s="54">
        <v>35.298439231984503</v>
      </c>
      <c r="L50" s="54">
        <v>0.72909618135598697</v>
      </c>
      <c r="M50" s="54">
        <v>0.71377950352531705</v>
      </c>
      <c r="N50" s="54">
        <v>6.1003230914170098E-3</v>
      </c>
      <c r="O50" s="54">
        <v>0.41377042322492102</v>
      </c>
      <c r="P50" s="54">
        <v>0.19033522092503999</v>
      </c>
      <c r="Q50" s="54">
        <v>4.2754212350908901E-3</v>
      </c>
      <c r="R50" s="54">
        <v>6.6824457317650303</v>
      </c>
      <c r="S50" s="52">
        <v>3736.98</v>
      </c>
      <c r="T50" s="67">
        <v>30.375</v>
      </c>
      <c r="U50" s="52">
        <v>3647.0272061556302</v>
      </c>
      <c r="V50" s="67">
        <v>20.5453694336599</v>
      </c>
      <c r="W50" s="52">
        <v>3472.6908461943199</v>
      </c>
      <c r="X50" s="67">
        <v>23.022979320429201</v>
      </c>
      <c r="Y50" s="52">
        <v>3521.6769218852</v>
      </c>
      <c r="Z50" s="67">
        <v>72.597860655533395</v>
      </c>
      <c r="AA50" s="71">
        <f t="shared" si="1"/>
        <v>0.95102717307639217</v>
      </c>
      <c r="AB50" s="48">
        <v>32.731290000000001</v>
      </c>
      <c r="AC50" s="52">
        <v>450.10504920565501</v>
      </c>
      <c r="AD50" s="53">
        <v>2.9760766182052301</v>
      </c>
      <c r="AE50" s="52">
        <v>376.64981595540797</v>
      </c>
      <c r="AF50" s="53">
        <v>0.94901112854150105</v>
      </c>
      <c r="AG50" s="53">
        <v>1.3371004908658299</v>
      </c>
      <c r="AH50" s="53">
        <v>0.29087822667479202</v>
      </c>
      <c r="AI50" s="53">
        <v>3.5002415616832399</v>
      </c>
      <c r="AJ50" s="53">
        <v>0.12226876936103299</v>
      </c>
      <c r="AK50" s="53">
        <v>0.73069420984006705</v>
      </c>
      <c r="AL50" s="53">
        <v>0.92982527604398402</v>
      </c>
      <c r="AM50" s="53">
        <v>2.5036859934506799</v>
      </c>
      <c r="AN50" s="53">
        <v>5.78084318190687</v>
      </c>
      <c r="AO50" s="53">
        <v>2.1931815887753601</v>
      </c>
      <c r="AP50" s="48">
        <v>29.3477410660239</v>
      </c>
      <c r="AQ50" s="48">
        <v>12.209787091939299</v>
      </c>
      <c r="AR50" s="48">
        <v>58.5612213687861</v>
      </c>
      <c r="AS50" s="48">
        <v>13.500420743067201</v>
      </c>
      <c r="AT50" s="52">
        <v>134.52948243027501</v>
      </c>
      <c r="AU50" s="48">
        <v>28.808361495946599</v>
      </c>
      <c r="AV50" s="52">
        <v>10660.4881809569</v>
      </c>
      <c r="AW50" s="53">
        <v>0.53693982223051995</v>
      </c>
      <c r="AX50" s="64">
        <v>0.117138008384413</v>
      </c>
      <c r="AY50" s="64">
        <v>0</v>
      </c>
      <c r="AZ50" s="53">
        <v>0.582728695720243</v>
      </c>
      <c r="BA50" s="64">
        <v>8.8680611779774904E-3</v>
      </c>
      <c r="BB50" s="48">
        <v>274.35116717473801</v>
      </c>
      <c r="BC50" s="48">
        <v>30.8746606339995</v>
      </c>
      <c r="BD50" s="52">
        <v>280.68029408908097</v>
      </c>
    </row>
    <row r="51" spans="1:56" s="39" customFormat="1" ht="12" customHeight="1">
      <c r="A51" s="47" t="s">
        <v>21</v>
      </c>
      <c r="B51" s="39" t="s">
        <v>168</v>
      </c>
      <c r="D51" s="48">
        <v>214.773842917255</v>
      </c>
      <c r="E51" s="48">
        <v>93.799134544856898</v>
      </c>
      <c r="F51" s="52">
        <v>194.67233582108801</v>
      </c>
      <c r="G51" s="122">
        <f t="shared" si="0"/>
        <v>0.48183083718203396</v>
      </c>
      <c r="H51" s="53">
        <v>0.58098922947495202</v>
      </c>
      <c r="I51" s="54">
        <v>0.36442788783156199</v>
      </c>
      <c r="J51" s="54">
        <v>6.8900925770188004E-3</v>
      </c>
      <c r="K51" s="54">
        <v>38.400618666103199</v>
      </c>
      <c r="L51" s="54">
        <v>0.894084702621603</v>
      </c>
      <c r="M51" s="54">
        <v>0.75857710434928405</v>
      </c>
      <c r="N51" s="54">
        <v>1.00665853961159E-2</v>
      </c>
      <c r="O51" s="54">
        <v>0.56995689050663101</v>
      </c>
      <c r="P51" s="54">
        <v>0.19700388474639899</v>
      </c>
      <c r="Q51" s="54">
        <v>3.7810909139019701E-3</v>
      </c>
      <c r="R51" s="54">
        <v>1.61188673626172</v>
      </c>
      <c r="S51" s="52">
        <v>3768.3649999999998</v>
      </c>
      <c r="T51" s="67">
        <v>28.657500000000301</v>
      </c>
      <c r="U51" s="52">
        <v>3730.29549511699</v>
      </c>
      <c r="V51" s="67">
        <v>23.180429637944702</v>
      </c>
      <c r="W51" s="52">
        <v>3639.0331579651302</v>
      </c>
      <c r="X51" s="67">
        <v>36.953356862684799</v>
      </c>
      <c r="Y51" s="52">
        <v>3634.59670485581</v>
      </c>
      <c r="Z51" s="67">
        <v>63.846303357874703</v>
      </c>
      <c r="AA51" s="71">
        <f t="shared" si="1"/>
        <v>0.97523184500295268</v>
      </c>
      <c r="AB51" s="48">
        <v>32.731290000000001</v>
      </c>
      <c r="AC51" s="52">
        <v>557.22247707152906</v>
      </c>
      <c r="AD51" s="53">
        <v>4.4291807263258001</v>
      </c>
      <c r="AE51" s="52">
        <v>1146.62299608331</v>
      </c>
      <c r="AF51" s="53">
        <v>1.03314096434529</v>
      </c>
      <c r="AG51" s="53">
        <v>1.2389707941166901</v>
      </c>
      <c r="AH51" s="53">
        <v>0.33273725571219898</v>
      </c>
      <c r="AI51" s="53">
        <v>7.9143865831295503</v>
      </c>
      <c r="AJ51" s="53">
        <v>0.35322149077903198</v>
      </c>
      <c r="AK51" s="53">
        <v>3.4457284087243401</v>
      </c>
      <c r="AL51" s="53">
        <v>5.3369544739256503</v>
      </c>
      <c r="AM51" s="53">
        <v>4.7529616237792602</v>
      </c>
      <c r="AN51" s="48">
        <v>26.604998913657798</v>
      </c>
      <c r="AO51" s="53">
        <v>8.5810954126677501</v>
      </c>
      <c r="AP51" s="48">
        <v>97.615122518957193</v>
      </c>
      <c r="AQ51" s="48">
        <v>37.392833233602801</v>
      </c>
      <c r="AR51" s="52">
        <v>167.181056911002</v>
      </c>
      <c r="AS51" s="48">
        <v>35.710253366990102</v>
      </c>
      <c r="AT51" s="52">
        <v>338.059614791044</v>
      </c>
      <c r="AU51" s="48">
        <v>72.501996431474495</v>
      </c>
      <c r="AV51" s="52">
        <v>7710.3258666915499</v>
      </c>
      <c r="AW51" s="53">
        <v>0.36044392702260802</v>
      </c>
      <c r="AX51" s="64">
        <v>0.11785046090535301</v>
      </c>
      <c r="AY51" s="64">
        <v>0</v>
      </c>
      <c r="AZ51" s="53">
        <v>0.58098922947495202</v>
      </c>
      <c r="BA51" s="64">
        <v>5.7293102328045504E-3</v>
      </c>
      <c r="BB51" s="48">
        <v>214.773842917255</v>
      </c>
      <c r="BC51" s="48">
        <v>93.799134544856898</v>
      </c>
      <c r="BD51" s="52">
        <v>194.67233582108801</v>
      </c>
    </row>
    <row r="52" spans="1:56" s="39" customFormat="1" ht="12" customHeight="1">
      <c r="A52" s="47" t="s">
        <v>21</v>
      </c>
      <c r="B52" s="39" t="s">
        <v>169</v>
      </c>
      <c r="D52" s="48">
        <v>292.82233401417398</v>
      </c>
      <c r="E52" s="48">
        <v>82.897742984342301</v>
      </c>
      <c r="F52" s="52">
        <v>324.73798792614798</v>
      </c>
      <c r="G52" s="122">
        <f t="shared" si="0"/>
        <v>0.25527577944836849</v>
      </c>
      <c r="H52" s="53">
        <v>0.85629734407332803</v>
      </c>
      <c r="I52" s="54">
        <v>0.34567114866298299</v>
      </c>
      <c r="J52" s="54">
        <v>6.3689466744032801E-3</v>
      </c>
      <c r="K52" s="54">
        <v>31.2516747256659</v>
      </c>
      <c r="L52" s="54">
        <v>0.659425388534426</v>
      </c>
      <c r="M52" s="54">
        <v>0.65244491365186996</v>
      </c>
      <c r="N52" s="54">
        <v>7.32055782647399E-3</v>
      </c>
      <c r="O52" s="54">
        <v>0.53175056165475798</v>
      </c>
      <c r="P52" s="54">
        <v>0.18962926488704901</v>
      </c>
      <c r="Q52" s="54">
        <v>3.75163609766766E-3</v>
      </c>
      <c r="R52" s="54">
        <v>2.8811611269772301</v>
      </c>
      <c r="S52" s="52">
        <v>3687.96</v>
      </c>
      <c r="T52" s="67">
        <v>27.3174999999999</v>
      </c>
      <c r="U52" s="52">
        <v>3527.0040832324798</v>
      </c>
      <c r="V52" s="67">
        <v>20.898837533165199</v>
      </c>
      <c r="W52" s="52">
        <v>3237.7499244503301</v>
      </c>
      <c r="X52" s="67">
        <v>28.611968868694799</v>
      </c>
      <c r="Y52" s="52">
        <v>3509.6860327920999</v>
      </c>
      <c r="Z52" s="67">
        <v>63.741644486291797</v>
      </c>
      <c r="AA52" s="71">
        <f t="shared" si="1"/>
        <v>0.91448198753313414</v>
      </c>
      <c r="AB52" s="48">
        <v>32.731290000000001</v>
      </c>
      <c r="AC52" s="52">
        <v>518.70870194917802</v>
      </c>
      <c r="AD52" s="53">
        <v>5.2559617449848597</v>
      </c>
      <c r="AE52" s="52">
        <v>876.111017993735</v>
      </c>
      <c r="AF52" s="53">
        <v>1.6135700792369401</v>
      </c>
      <c r="AG52" s="53">
        <v>2.60437622320624</v>
      </c>
      <c r="AH52" s="53">
        <v>0.83562934191545102</v>
      </c>
      <c r="AI52" s="48">
        <v>16.4933617340971</v>
      </c>
      <c r="AJ52" s="53">
        <v>1.2144929319733599</v>
      </c>
      <c r="AK52" s="53">
        <v>8.1069187045823004</v>
      </c>
      <c r="AL52" s="53">
        <v>6.5697500852266399</v>
      </c>
      <c r="AM52" s="53">
        <v>4.2869245960962097</v>
      </c>
      <c r="AN52" s="48">
        <v>24.1948813352735</v>
      </c>
      <c r="AO52" s="53">
        <v>7.0997399633645397</v>
      </c>
      <c r="AP52" s="48">
        <v>76.624967274593601</v>
      </c>
      <c r="AQ52" s="48">
        <v>27.319180897851702</v>
      </c>
      <c r="AR52" s="52">
        <v>120.148487886589</v>
      </c>
      <c r="AS52" s="48">
        <v>25.818706234614801</v>
      </c>
      <c r="AT52" s="52">
        <v>248.006957146074</v>
      </c>
      <c r="AU52" s="48">
        <v>52.1117242160472</v>
      </c>
      <c r="AV52" s="52">
        <v>10139.8220148297</v>
      </c>
      <c r="AW52" s="53">
        <v>2.0937975835490201</v>
      </c>
      <c r="AX52" s="64">
        <v>0.26558564367655901</v>
      </c>
      <c r="AY52" s="64">
        <v>0</v>
      </c>
      <c r="AZ52" s="53">
        <v>0.85629734407332803</v>
      </c>
      <c r="BA52" s="64">
        <v>6.8190931597556003E-3</v>
      </c>
      <c r="BB52" s="48">
        <v>292.82233401417398</v>
      </c>
      <c r="BC52" s="48">
        <v>82.897742984342301</v>
      </c>
      <c r="BD52" s="52">
        <v>324.73798792614798</v>
      </c>
    </row>
    <row r="53" spans="1:56" s="39" customFormat="1" ht="12" customHeight="1">
      <c r="A53" s="47" t="s">
        <v>21</v>
      </c>
      <c r="B53" s="39" t="s">
        <v>170</v>
      </c>
      <c r="C53" s="39" t="s">
        <v>126</v>
      </c>
      <c r="D53" s="48">
        <v>247.03485409402199</v>
      </c>
      <c r="E53" s="48">
        <v>97.908832230728095</v>
      </c>
      <c r="F53" s="52">
        <v>233.27267544358401</v>
      </c>
      <c r="G53" s="122">
        <f t="shared" si="0"/>
        <v>0.41971839198289179</v>
      </c>
      <c r="H53" s="53">
        <v>1.5412757474363601</v>
      </c>
      <c r="I53" s="54">
        <v>0.367970262883759</v>
      </c>
      <c r="J53" s="54">
        <v>7.2697372925504102E-3</v>
      </c>
      <c r="K53" s="54">
        <v>36.793717264303801</v>
      </c>
      <c r="L53" s="54">
        <v>0.77540522843170201</v>
      </c>
      <c r="M53" s="54">
        <v>0.72225255379846498</v>
      </c>
      <c r="N53" s="54">
        <v>7.06915128711047E-3</v>
      </c>
      <c r="O53" s="54">
        <v>0.46443306522316802</v>
      </c>
      <c r="P53" s="54">
        <v>0.19000502100282801</v>
      </c>
      <c r="Q53" s="54">
        <v>4.0422558124118303E-3</v>
      </c>
      <c r="R53" s="54">
        <v>1.7338496758022199</v>
      </c>
      <c r="S53" s="52">
        <v>3783.03</v>
      </c>
      <c r="T53" s="67">
        <v>29.937500000000199</v>
      </c>
      <c r="U53" s="52">
        <v>3688.01632621423</v>
      </c>
      <c r="V53" s="67">
        <v>20.9827940878032</v>
      </c>
      <c r="W53" s="52">
        <v>3504.4838569983799</v>
      </c>
      <c r="X53" s="67">
        <v>26.527514074645701</v>
      </c>
      <c r="Y53" s="52">
        <v>3516.0692560817301</v>
      </c>
      <c r="Z53" s="67">
        <v>68.657691591494597</v>
      </c>
      <c r="AA53" s="71">
        <f t="shared" si="1"/>
        <v>0.94896559901542521</v>
      </c>
      <c r="AB53" s="48">
        <v>32.731290000000001</v>
      </c>
      <c r="AC53" s="52">
        <v>528.91359896539495</v>
      </c>
      <c r="AD53" s="53">
        <v>6.0255040222170404</v>
      </c>
      <c r="AE53" s="52">
        <v>972.84638127823996</v>
      </c>
      <c r="AF53" s="53">
        <v>1.05979298983897</v>
      </c>
      <c r="AG53" s="53">
        <v>2.2294814554475701</v>
      </c>
      <c r="AH53" s="53">
        <v>2.42392681685038</v>
      </c>
      <c r="AI53" s="48">
        <v>18.604837836473202</v>
      </c>
      <c r="AJ53" s="53">
        <v>1.38452638310981</v>
      </c>
      <c r="AK53" s="53">
        <v>7.6764250788552797</v>
      </c>
      <c r="AL53" s="53">
        <v>6.6024258379677203</v>
      </c>
      <c r="AM53" s="53">
        <v>3.1304759262642299</v>
      </c>
      <c r="AN53" s="48">
        <v>25.7760896393983</v>
      </c>
      <c r="AO53" s="53">
        <v>8.3800115064707903</v>
      </c>
      <c r="AP53" s="48">
        <v>91.866975999503097</v>
      </c>
      <c r="AQ53" s="48">
        <v>32.703374261871197</v>
      </c>
      <c r="AR53" s="52">
        <v>141.25584049119399</v>
      </c>
      <c r="AS53" s="48">
        <v>29.592593481521199</v>
      </c>
      <c r="AT53" s="52">
        <v>268.21923530920498</v>
      </c>
      <c r="AU53" s="48">
        <v>52.805345384152503</v>
      </c>
      <c r="AV53" s="52">
        <v>9628.7326692332299</v>
      </c>
      <c r="AW53" s="53">
        <v>0.48513020787240801</v>
      </c>
      <c r="AX53" s="64">
        <v>0.92665240126933202</v>
      </c>
      <c r="AY53" s="64">
        <v>0</v>
      </c>
      <c r="AZ53" s="53">
        <v>1.5412757474363601</v>
      </c>
      <c r="BA53" s="64">
        <v>1.67034906813767E-2</v>
      </c>
      <c r="BB53" s="48">
        <v>247.03485409402199</v>
      </c>
      <c r="BC53" s="48">
        <v>97.908832230728095</v>
      </c>
      <c r="BD53" s="52">
        <v>233.27267544358401</v>
      </c>
    </row>
    <row r="54" spans="1:56" s="39" customFormat="1" ht="12" customHeight="1">
      <c r="A54" s="47" t="s">
        <v>21</v>
      </c>
      <c r="B54" s="39" t="s">
        <v>171</v>
      </c>
      <c r="D54" s="48">
        <v>286.428017428011</v>
      </c>
      <c r="E54" s="48">
        <v>98.848266044854</v>
      </c>
      <c r="F54" s="52">
        <v>236.73336588985899</v>
      </c>
      <c r="G54" s="122">
        <f t="shared" si="0"/>
        <v>0.41755105231276735</v>
      </c>
      <c r="H54" s="53">
        <v>0.38921583639142399</v>
      </c>
      <c r="I54" s="54">
        <v>0.37253092469879601</v>
      </c>
      <c r="J54" s="54">
        <v>8.2156126575462594E-3</v>
      </c>
      <c r="K54" s="54">
        <v>43.120185759960897</v>
      </c>
      <c r="L54" s="54">
        <v>0.98891504930107199</v>
      </c>
      <c r="M54" s="54">
        <v>0.83648408317502698</v>
      </c>
      <c r="N54" s="54">
        <v>8.6169679851885207E-3</v>
      </c>
      <c r="O54" s="54">
        <v>0.44917795643962</v>
      </c>
      <c r="P54" s="54">
        <v>0.20735750167296499</v>
      </c>
      <c r="Q54" s="54">
        <v>4.9021529748529899E-3</v>
      </c>
      <c r="R54" s="54">
        <v>1.8055449606527101</v>
      </c>
      <c r="S54" s="52">
        <v>3801.6950000000002</v>
      </c>
      <c r="T54" s="67">
        <v>33.335000000000001</v>
      </c>
      <c r="U54" s="52">
        <v>3845.1717568269301</v>
      </c>
      <c r="V54" s="67">
        <v>22.9086224225309</v>
      </c>
      <c r="W54" s="52">
        <v>3918.47167964967</v>
      </c>
      <c r="X54" s="67">
        <v>30.321145783888198</v>
      </c>
      <c r="Y54" s="52">
        <v>3808.67283565151</v>
      </c>
      <c r="Z54" s="67">
        <v>82.0663601570011</v>
      </c>
      <c r="AA54" s="71">
        <f t="shared" si="1"/>
        <v>0.98111713310316429</v>
      </c>
      <c r="AB54" s="48">
        <v>32.731290000000001</v>
      </c>
      <c r="AC54" s="52">
        <v>512.09459172414495</v>
      </c>
      <c r="AD54" s="53">
        <v>3.6401676350962702</v>
      </c>
      <c r="AE54" s="52">
        <v>867.70604675835898</v>
      </c>
      <c r="AF54" s="53">
        <v>0.74209537792021296</v>
      </c>
      <c r="AG54" s="53">
        <v>7.4120370866560994E-2</v>
      </c>
      <c r="AH54" s="53">
        <v>4.8623391874963902E-2</v>
      </c>
      <c r="AI54" s="53">
        <v>7.65615045906676</v>
      </c>
      <c r="AJ54" s="64">
        <v>6.1485941975811698E-2</v>
      </c>
      <c r="AK54" s="53">
        <v>1.1179191441752601</v>
      </c>
      <c r="AL54" s="53">
        <v>3.0832632762729801</v>
      </c>
      <c r="AM54" s="53">
        <v>1.05887207309433</v>
      </c>
      <c r="AN54" s="48">
        <v>20.040141557178501</v>
      </c>
      <c r="AO54" s="53">
        <v>6.8258226624123397</v>
      </c>
      <c r="AP54" s="48">
        <v>77.770465553602705</v>
      </c>
      <c r="AQ54" s="48">
        <v>28.758322220350699</v>
      </c>
      <c r="AR54" s="52">
        <v>125.503325920967</v>
      </c>
      <c r="AS54" s="48">
        <v>25.581732480277299</v>
      </c>
      <c r="AT54" s="52">
        <v>230.59624595795401</v>
      </c>
      <c r="AU54" s="48">
        <v>45.898580962546902</v>
      </c>
      <c r="AV54" s="52">
        <v>10244.7786066066</v>
      </c>
      <c r="AW54" s="53">
        <v>0.35694479825474001</v>
      </c>
      <c r="AX54" s="64">
        <v>2.6090934674959199E-2</v>
      </c>
      <c r="AY54" s="64">
        <v>0</v>
      </c>
      <c r="AZ54" s="53">
        <v>0.38921583639142399</v>
      </c>
      <c r="BA54" s="64">
        <v>9.3735995973716502E-3</v>
      </c>
      <c r="BB54" s="48">
        <v>286.428017428011</v>
      </c>
      <c r="BC54" s="48">
        <v>98.848266044854</v>
      </c>
      <c r="BD54" s="52">
        <v>236.73336588985899</v>
      </c>
    </row>
    <row r="55" spans="1:56" s="39" customFormat="1" ht="12" customHeight="1">
      <c r="A55" s="47" t="s">
        <v>21</v>
      </c>
      <c r="B55" s="39" t="s">
        <v>172</v>
      </c>
      <c r="D55" s="48">
        <v>387.01803139675297</v>
      </c>
      <c r="E55" s="52">
        <v>212.81787111432601</v>
      </c>
      <c r="F55" s="52">
        <v>341.69199029472799</v>
      </c>
      <c r="G55" s="122">
        <f t="shared" si="0"/>
        <v>0.62283541071817039</v>
      </c>
      <c r="H55" s="53">
        <v>0.54001289549710996</v>
      </c>
      <c r="I55" s="54">
        <v>0.36822373108381401</v>
      </c>
      <c r="J55" s="54">
        <v>7.2561128676023401E-3</v>
      </c>
      <c r="K55" s="54">
        <v>38.208054705099798</v>
      </c>
      <c r="L55" s="54">
        <v>0.769024495847486</v>
      </c>
      <c r="M55" s="54">
        <v>0.74937726084439804</v>
      </c>
      <c r="N55" s="54">
        <v>6.0279991109472601E-3</v>
      </c>
      <c r="O55" s="54">
        <v>0.39965699825344397</v>
      </c>
      <c r="P55" s="54">
        <v>0.186249907734993</v>
      </c>
      <c r="Q55" s="54">
        <v>3.8365171433335302E-3</v>
      </c>
      <c r="R55" s="54">
        <v>1.17309742209345</v>
      </c>
      <c r="S55" s="52">
        <v>3784.26</v>
      </c>
      <c r="T55" s="67">
        <v>29.9375</v>
      </c>
      <c r="U55" s="52">
        <v>3725.3208131794599</v>
      </c>
      <c r="V55" s="67">
        <v>20.076126710524299</v>
      </c>
      <c r="W55" s="52">
        <v>3605.2207810436198</v>
      </c>
      <c r="X55" s="67">
        <v>22.298184787815199</v>
      </c>
      <c r="Y55" s="52">
        <v>3452.1878355387098</v>
      </c>
      <c r="Z55" s="67">
        <v>65.369497817416999</v>
      </c>
      <c r="AA55" s="71">
        <f t="shared" si="1"/>
        <v>0.96723297164550937</v>
      </c>
      <c r="AB55" s="48">
        <v>32.731290000000001</v>
      </c>
      <c r="AC55" s="52">
        <v>533.46411895614597</v>
      </c>
      <c r="AD55" s="53">
        <v>4.7226353751470098</v>
      </c>
      <c r="AE55" s="52">
        <v>1421.53222748647</v>
      </c>
      <c r="AF55" s="53">
        <v>1.6380905642586401</v>
      </c>
      <c r="AG55" s="53">
        <v>1.4296779018868799</v>
      </c>
      <c r="AH55" s="53">
        <v>0.49845344734548802</v>
      </c>
      <c r="AI55" s="48">
        <v>17.885162883303</v>
      </c>
      <c r="AJ55" s="53">
        <v>0.34406129730783802</v>
      </c>
      <c r="AK55" s="53">
        <v>3.33946815441448</v>
      </c>
      <c r="AL55" s="53">
        <v>6.0625284976929601</v>
      </c>
      <c r="AM55" s="53">
        <v>2.3912305759000598</v>
      </c>
      <c r="AN55" s="48">
        <v>38.255238951417802</v>
      </c>
      <c r="AO55" s="48">
        <v>12.1583947666652</v>
      </c>
      <c r="AP55" s="52">
        <v>134.186962018456</v>
      </c>
      <c r="AQ55" s="48">
        <v>48.738836840023801</v>
      </c>
      <c r="AR55" s="52">
        <v>203.32327595736101</v>
      </c>
      <c r="AS55" s="48">
        <v>40.986270138141698</v>
      </c>
      <c r="AT55" s="52">
        <v>367.36601683198199</v>
      </c>
      <c r="AU55" s="48">
        <v>71.288060918640397</v>
      </c>
      <c r="AV55" s="52">
        <v>9278.1778604227802</v>
      </c>
      <c r="AW55" s="53">
        <v>0.66105088301174997</v>
      </c>
      <c r="AX55" s="64">
        <v>8.3842902625027402E-2</v>
      </c>
      <c r="AY55" s="64">
        <v>0</v>
      </c>
      <c r="AZ55" s="53">
        <v>0.54001289549710996</v>
      </c>
      <c r="BA55" s="64">
        <v>8.4314911209761104E-3</v>
      </c>
      <c r="BB55" s="48">
        <v>387.01803139675297</v>
      </c>
      <c r="BC55" s="52">
        <v>212.81787111432601</v>
      </c>
      <c r="BD55" s="52">
        <v>341.69199029472799</v>
      </c>
    </row>
    <row r="56" spans="1:56" s="39" customFormat="1" ht="12" customHeight="1">
      <c r="A56" s="47" t="s">
        <v>21</v>
      </c>
      <c r="B56" s="39" t="s">
        <v>173</v>
      </c>
      <c r="D56" s="48">
        <v>264.72034659849498</v>
      </c>
      <c r="E56" s="52">
        <v>106.148363896677</v>
      </c>
      <c r="F56" s="52">
        <v>223.93541636677699</v>
      </c>
      <c r="G56" s="122">
        <f t="shared" si="0"/>
        <v>0.47401329195208597</v>
      </c>
      <c r="H56" s="53">
        <v>1.4082895914317299</v>
      </c>
      <c r="I56" s="54">
        <v>0.36859846839600502</v>
      </c>
      <c r="J56" s="54">
        <v>6.8196635342412399E-3</v>
      </c>
      <c r="K56" s="54">
        <v>41.073623339296503</v>
      </c>
      <c r="L56" s="54">
        <v>0.79825351465363803</v>
      </c>
      <c r="M56" s="54">
        <v>0.80460491124392497</v>
      </c>
      <c r="N56" s="54">
        <v>7.2739190576158099E-3</v>
      </c>
      <c r="O56" s="54">
        <v>0.46516599781385198</v>
      </c>
      <c r="P56" s="54">
        <v>0.20493140763741999</v>
      </c>
      <c r="Q56" s="54">
        <v>4.5809235630199299E-3</v>
      </c>
      <c r="R56" s="54">
        <v>1.5228877911582099</v>
      </c>
      <c r="S56" s="52">
        <v>3785.6550000000002</v>
      </c>
      <c r="T56" s="67">
        <v>28.037499999999898</v>
      </c>
      <c r="U56" s="52">
        <v>3796.9447330384801</v>
      </c>
      <c r="V56" s="67">
        <v>19.436886872444301</v>
      </c>
      <c r="W56" s="52">
        <v>3805.58699170622</v>
      </c>
      <c r="X56" s="67">
        <v>26.065048829236201</v>
      </c>
      <c r="Y56" s="52">
        <v>3768.0170227380099</v>
      </c>
      <c r="Z56" s="67">
        <v>76.843107203849499</v>
      </c>
      <c r="AA56" s="71">
        <f t="shared" si="1"/>
        <v>0.99772647876243348</v>
      </c>
      <c r="AB56" s="48">
        <v>32.731290000000001</v>
      </c>
      <c r="AC56" s="52">
        <v>488.59843764185302</v>
      </c>
      <c r="AD56" s="52">
        <v>1518.6240733863899</v>
      </c>
      <c r="AE56" s="52">
        <v>803.05584166053302</v>
      </c>
      <c r="AF56" s="53">
        <v>5.8100441643070804</v>
      </c>
      <c r="AG56" s="53">
        <v>3.3455645018125102</v>
      </c>
      <c r="AH56" s="53">
        <v>0.63739135801091695</v>
      </c>
      <c r="AI56" s="48">
        <v>14.0712968238914</v>
      </c>
      <c r="AJ56" s="53">
        <v>0.35248638003120702</v>
      </c>
      <c r="AK56" s="53">
        <v>2.8695695719017502</v>
      </c>
      <c r="AL56" s="53">
        <v>4.4631129231513897</v>
      </c>
      <c r="AM56" s="53">
        <v>2.7767047946665202</v>
      </c>
      <c r="AN56" s="48">
        <v>23.696735191731602</v>
      </c>
      <c r="AO56" s="53">
        <v>7.1968171029311696</v>
      </c>
      <c r="AP56" s="48">
        <v>77.047028073139998</v>
      </c>
      <c r="AQ56" s="48">
        <v>27.067495167845301</v>
      </c>
      <c r="AR56" s="52">
        <v>111.70666127830999</v>
      </c>
      <c r="AS56" s="48">
        <v>22.605400403129199</v>
      </c>
      <c r="AT56" s="52">
        <v>199.598679530532</v>
      </c>
      <c r="AU56" s="48">
        <v>38.901599070796102</v>
      </c>
      <c r="AV56" s="52">
        <v>9152.8425298069906</v>
      </c>
      <c r="AW56" s="53">
        <v>0.94307981922530804</v>
      </c>
      <c r="AX56" s="64">
        <v>14.8669037994609</v>
      </c>
      <c r="AY56" s="64">
        <v>0</v>
      </c>
      <c r="AZ56" s="53">
        <v>1.4082895914317299</v>
      </c>
      <c r="BA56" s="64">
        <v>4.7053550700618899E-3</v>
      </c>
      <c r="BB56" s="48">
        <v>264.72034659849498</v>
      </c>
      <c r="BC56" s="52">
        <v>106.148363896677</v>
      </c>
      <c r="BD56" s="52">
        <v>223.93541636677699</v>
      </c>
    </row>
    <row r="57" spans="1:56" s="42" customFormat="1" ht="12" customHeight="1">
      <c r="A57" s="47" t="s">
        <v>21</v>
      </c>
      <c r="B57" s="39" t="s">
        <v>174</v>
      </c>
      <c r="C57" s="39" t="s">
        <v>126</v>
      </c>
      <c r="D57" s="48">
        <v>267.08246554022401</v>
      </c>
      <c r="E57" s="48">
        <v>54.455043890455698</v>
      </c>
      <c r="F57" s="52">
        <v>560.36317598113806</v>
      </c>
      <c r="G57" s="122">
        <f t="shared" si="0"/>
        <v>9.7178127015770693E-2</v>
      </c>
      <c r="H57" s="53">
        <v>3.6932879060057999</v>
      </c>
      <c r="I57" s="54">
        <v>0.27217719689750502</v>
      </c>
      <c r="J57" s="54">
        <v>5.2404269936713304E-3</v>
      </c>
      <c r="K57" s="54">
        <v>14.1790775583261</v>
      </c>
      <c r="L57" s="54">
        <v>0.37193872796683097</v>
      </c>
      <c r="M57" s="54">
        <v>0.373805601474344</v>
      </c>
      <c r="N57" s="54">
        <v>5.5522403891034499E-3</v>
      </c>
      <c r="O57" s="54">
        <v>0.56623802778953003</v>
      </c>
      <c r="P57" s="54">
        <v>0.13584292947589099</v>
      </c>
      <c r="Q57" s="54">
        <v>4.4982535314410802E-3</v>
      </c>
      <c r="R57" s="54">
        <v>7.3610537269400398</v>
      </c>
      <c r="S57" s="52">
        <v>3320.37</v>
      </c>
      <c r="T57" s="67">
        <v>31.017499999999899</v>
      </c>
      <c r="U57" s="52">
        <v>2761.75864671007</v>
      </c>
      <c r="V57" s="67">
        <v>24.9510943137822</v>
      </c>
      <c r="W57" s="52">
        <v>2047.28251505094</v>
      </c>
      <c r="X57" s="67">
        <v>26.0766519547782</v>
      </c>
      <c r="Y57" s="52">
        <v>2574.5334903053799</v>
      </c>
      <c r="Z57" s="67">
        <v>80.0460392990815</v>
      </c>
      <c r="AA57" s="71">
        <f t="shared" si="1"/>
        <v>0.70286129495406602</v>
      </c>
      <c r="AB57" s="48">
        <v>32.731290000000001</v>
      </c>
      <c r="AC57" s="52">
        <v>488.88375168151998</v>
      </c>
      <c r="AD57" s="48">
        <v>28.574267498502799</v>
      </c>
      <c r="AE57" s="52">
        <v>1015.98037461144</v>
      </c>
      <c r="AF57" s="53">
        <v>3.6735201979131999</v>
      </c>
      <c r="AG57" s="53">
        <v>32.493834550758201</v>
      </c>
      <c r="AH57" s="53">
        <v>15.6122016117695</v>
      </c>
      <c r="AI57" s="52">
        <v>114.597944859571</v>
      </c>
      <c r="AJ57" s="48">
        <v>11.017924653321501</v>
      </c>
      <c r="AK57" s="48">
        <v>69.656131190963393</v>
      </c>
      <c r="AL57" s="48">
        <v>44.398127692931403</v>
      </c>
      <c r="AM57" s="48">
        <v>20.623357990144299</v>
      </c>
      <c r="AN57" s="48">
        <v>84.120397189223596</v>
      </c>
      <c r="AO57" s="48">
        <v>13.9277320483327</v>
      </c>
      <c r="AP57" s="52">
        <v>109.306124762119</v>
      </c>
      <c r="AQ57" s="48">
        <v>31.316700718509999</v>
      </c>
      <c r="AR57" s="52">
        <v>122.534193750764</v>
      </c>
      <c r="AS57" s="48">
        <v>25.748728457595</v>
      </c>
      <c r="AT57" s="52">
        <v>242.56369506243701</v>
      </c>
      <c r="AU57" s="48">
        <v>49.922004597518601</v>
      </c>
      <c r="AV57" s="52">
        <v>10682.413852445199</v>
      </c>
      <c r="AW57" s="53">
        <v>2.1914581323696898</v>
      </c>
      <c r="AX57" s="64">
        <v>1.3538313759501399</v>
      </c>
      <c r="AY57" s="64">
        <v>0</v>
      </c>
      <c r="AZ57" s="53">
        <v>3.6932879060057999</v>
      </c>
      <c r="BA57" s="64">
        <v>1.31258775879242E-2</v>
      </c>
      <c r="BB57" s="48">
        <v>267.08246554022401</v>
      </c>
      <c r="BC57" s="48">
        <v>54.455043890455698</v>
      </c>
      <c r="BD57" s="52">
        <v>560.36317598113806</v>
      </c>
    </row>
    <row r="58" spans="1:56" s="42" customFormat="1" ht="12" customHeight="1">
      <c r="A58" s="47" t="s">
        <v>21</v>
      </c>
      <c r="B58" s="39" t="s">
        <v>175</v>
      </c>
      <c r="C58" s="39"/>
      <c r="D58" s="48">
        <v>298.85467242376399</v>
      </c>
      <c r="E58" s="52">
        <v>111.04550448863201</v>
      </c>
      <c r="F58" s="52">
        <v>249.27467520604401</v>
      </c>
      <c r="G58" s="122">
        <f t="shared" si="0"/>
        <v>0.44547447267495049</v>
      </c>
      <c r="H58" s="53">
        <v>0.24027732758953499</v>
      </c>
      <c r="I58" s="54">
        <v>0.37479485455335598</v>
      </c>
      <c r="J58" s="54">
        <v>7.0658040028198903E-3</v>
      </c>
      <c r="K58" s="54">
        <v>42.460202295778601</v>
      </c>
      <c r="L58" s="54">
        <v>0.81867280069465598</v>
      </c>
      <c r="M58" s="54">
        <v>0.81763245552182096</v>
      </c>
      <c r="N58" s="54">
        <v>7.0434057479520397E-3</v>
      </c>
      <c r="O58" s="54">
        <v>0.44678263214845398</v>
      </c>
      <c r="P58" s="54">
        <v>0.20607086362246399</v>
      </c>
      <c r="Q58" s="54">
        <v>4.6402138778092999E-3</v>
      </c>
      <c r="R58" s="54">
        <v>1.6627218507281101</v>
      </c>
      <c r="S58" s="52">
        <v>3810.9549999999999</v>
      </c>
      <c r="T58" s="67">
        <v>28.5749999999998</v>
      </c>
      <c r="U58" s="52">
        <v>3829.8681317717001</v>
      </c>
      <c r="V58" s="67">
        <v>19.3035586549498</v>
      </c>
      <c r="W58" s="52">
        <v>3851.9568453587499</v>
      </c>
      <c r="X58" s="67">
        <v>25.0665905366528</v>
      </c>
      <c r="Y58" s="52">
        <v>3787.12189593421</v>
      </c>
      <c r="Z58" s="67">
        <v>77.764139358273198</v>
      </c>
      <c r="AA58" s="71">
        <f t="shared" si="1"/>
        <v>0.99424909740776179</v>
      </c>
      <c r="AB58" s="48">
        <v>32.731290000000001</v>
      </c>
      <c r="AC58" s="52">
        <v>555.05067180923595</v>
      </c>
      <c r="AD58" s="53">
        <v>2.7153294684868001</v>
      </c>
      <c r="AE58" s="52">
        <v>1134.53122115363</v>
      </c>
      <c r="AF58" s="53">
        <v>1.2060465634050701</v>
      </c>
      <c r="AG58" s="53">
        <v>7.35693015674104E-2</v>
      </c>
      <c r="AH58" s="53">
        <v>5.2594310123330896E-3</v>
      </c>
      <c r="AI58" s="53">
        <v>4.0934906102432098</v>
      </c>
      <c r="AJ58" s="64">
        <v>6.7216098518542503E-2</v>
      </c>
      <c r="AK58" s="53">
        <v>1.6080442662321199</v>
      </c>
      <c r="AL58" s="53">
        <v>3.61470800615322</v>
      </c>
      <c r="AM58" s="53">
        <v>1.13412539039796</v>
      </c>
      <c r="AN58" s="48">
        <v>24.962786623859401</v>
      </c>
      <c r="AO58" s="53">
        <v>8.3134046245647397</v>
      </c>
      <c r="AP58" s="48">
        <v>98.6761362406708</v>
      </c>
      <c r="AQ58" s="48">
        <v>37.9000952713304</v>
      </c>
      <c r="AR58" s="52">
        <v>171.61737357098701</v>
      </c>
      <c r="AS58" s="48">
        <v>36.245404658498401</v>
      </c>
      <c r="AT58" s="52">
        <v>334.78828389241397</v>
      </c>
      <c r="AU58" s="48">
        <v>69.184254208312296</v>
      </c>
      <c r="AV58" s="52">
        <v>8807.3197799321006</v>
      </c>
      <c r="AW58" s="53">
        <v>0.76105924557631499</v>
      </c>
      <c r="AX58" s="64">
        <v>2.2257570979108202E-2</v>
      </c>
      <c r="AY58" s="64">
        <v>0</v>
      </c>
      <c r="AZ58" s="53">
        <v>0.24027732758953499</v>
      </c>
      <c r="BA58" s="64">
        <v>7.2520809952827904E-3</v>
      </c>
      <c r="BB58" s="48">
        <v>298.85467242376399</v>
      </c>
      <c r="BC58" s="52">
        <v>111.04550448863201</v>
      </c>
      <c r="BD58" s="52">
        <v>249.27467520604401</v>
      </c>
    </row>
    <row r="59" spans="1:56" s="42" customFormat="1" ht="12" customHeight="1">
      <c r="A59" s="47" t="s">
        <v>21</v>
      </c>
      <c r="B59" s="39" t="s">
        <v>176</v>
      </c>
      <c r="C59" s="39"/>
      <c r="D59" s="48">
        <v>127.424249510393</v>
      </c>
      <c r="E59" s="48">
        <v>53.0261966706043</v>
      </c>
      <c r="F59" s="52">
        <v>121.52535691693799</v>
      </c>
      <c r="G59" s="122">
        <f t="shared" si="0"/>
        <v>0.43633853885199825</v>
      </c>
      <c r="H59" s="53">
        <v>0.96758711173297596</v>
      </c>
      <c r="I59" s="54">
        <v>0.36747649276132899</v>
      </c>
      <c r="J59" s="54">
        <v>7.7951975364962296E-3</v>
      </c>
      <c r="K59" s="54">
        <v>37.656156948912901</v>
      </c>
      <c r="L59" s="54">
        <v>0.93894049919475198</v>
      </c>
      <c r="M59" s="54">
        <v>0.73739520654809598</v>
      </c>
      <c r="N59" s="54">
        <v>1.05268045536135E-2</v>
      </c>
      <c r="O59" s="54">
        <v>0.57252462783439895</v>
      </c>
      <c r="P59" s="54">
        <v>0.205315127901086</v>
      </c>
      <c r="Q59" s="54">
        <v>5.2979742655039803E-3</v>
      </c>
      <c r="R59" s="54">
        <v>1.7026195270386399</v>
      </c>
      <c r="S59" s="52">
        <v>3781.17</v>
      </c>
      <c r="T59" s="67">
        <v>31.4050000000002</v>
      </c>
      <c r="U59" s="52">
        <v>3710.9266004444898</v>
      </c>
      <c r="V59" s="67">
        <v>24.7919503650084</v>
      </c>
      <c r="W59" s="52">
        <v>3560.9152867677499</v>
      </c>
      <c r="X59" s="67">
        <v>39.105857079816303</v>
      </c>
      <c r="Y59" s="52">
        <v>3774.4527475167001</v>
      </c>
      <c r="Z59" s="67">
        <v>88.843044796529597</v>
      </c>
      <c r="AA59" s="71">
        <f t="shared" si="1"/>
        <v>0.9587418659526854</v>
      </c>
      <c r="AB59" s="48">
        <v>32.731290000000001</v>
      </c>
      <c r="AC59" s="52">
        <v>539.73036384049601</v>
      </c>
      <c r="AD59" s="53">
        <v>3.0537764505362102</v>
      </c>
      <c r="AE59" s="52">
        <v>815.47849689181101</v>
      </c>
      <c r="AF59" s="53">
        <v>0.93055164843184601</v>
      </c>
      <c r="AG59" s="53">
        <v>0.81533840726975704</v>
      </c>
      <c r="AH59" s="53">
        <v>0.198750372790574</v>
      </c>
      <c r="AI59" s="53">
        <v>6.4061874583620604</v>
      </c>
      <c r="AJ59" s="53">
        <v>0.16625737308649599</v>
      </c>
      <c r="AK59" s="53">
        <v>1.8399874632708</v>
      </c>
      <c r="AL59" s="53">
        <v>3.4423646267810901</v>
      </c>
      <c r="AM59" s="53">
        <v>1.19399019718717</v>
      </c>
      <c r="AN59" s="48">
        <v>17.879062838487599</v>
      </c>
      <c r="AO59" s="53">
        <v>5.8824169327596696</v>
      </c>
      <c r="AP59" s="48">
        <v>72.834250007847103</v>
      </c>
      <c r="AQ59" s="48">
        <v>27.245785631876998</v>
      </c>
      <c r="AR59" s="52">
        <v>126.011648585054</v>
      </c>
      <c r="AS59" s="48">
        <v>26.827547434786201</v>
      </c>
      <c r="AT59" s="52">
        <v>254.42483204337199</v>
      </c>
      <c r="AU59" s="48">
        <v>53.283626579739099</v>
      </c>
      <c r="AV59" s="52">
        <v>8772.8216698523502</v>
      </c>
      <c r="AW59" s="53">
        <v>0.42955933704038202</v>
      </c>
      <c r="AX59" s="64">
        <v>4.3420658334401001E-2</v>
      </c>
      <c r="AY59" s="64">
        <v>0</v>
      </c>
      <c r="AZ59" s="53">
        <v>0.96758711173297596</v>
      </c>
      <c r="BA59" s="64">
        <v>9.6482510431156292E-3</v>
      </c>
      <c r="BB59" s="48">
        <v>127.424249510393</v>
      </c>
      <c r="BC59" s="48">
        <v>53.0261966706043</v>
      </c>
      <c r="BD59" s="52">
        <v>121.52535691693799</v>
      </c>
    </row>
    <row r="60" spans="1:56" s="39" customFormat="1" ht="12" customHeight="1">
      <c r="A60" s="47" t="s">
        <v>21</v>
      </c>
      <c r="B60" s="39" t="s">
        <v>177</v>
      </c>
      <c r="D60" s="48">
        <v>283.92301062940697</v>
      </c>
      <c r="E60" s="48">
        <v>86.769666755674507</v>
      </c>
      <c r="F60" s="52">
        <v>259.01449200342103</v>
      </c>
      <c r="G60" s="122">
        <f t="shared" si="0"/>
        <v>0.33499927391911516</v>
      </c>
      <c r="H60" s="53">
        <v>1.1710437058700101</v>
      </c>
      <c r="I60" s="54">
        <v>0.374714415439307</v>
      </c>
      <c r="J60" s="54">
        <v>9.0120197956031402E-3</v>
      </c>
      <c r="K60" s="54">
        <v>40.009857465705203</v>
      </c>
      <c r="L60" s="54">
        <v>1.03149513446067</v>
      </c>
      <c r="M60" s="54">
        <v>0.76997460288152897</v>
      </c>
      <c r="N60" s="54">
        <v>1.0448087434952799E-2</v>
      </c>
      <c r="O60" s="54">
        <v>0.52633253713721295</v>
      </c>
      <c r="P60" s="54">
        <v>0.206919719810984</v>
      </c>
      <c r="Q60" s="54">
        <v>6.3466171348260103E-3</v>
      </c>
      <c r="R60" s="54">
        <v>2.1990342161801899</v>
      </c>
      <c r="S60" s="52">
        <v>3810.8</v>
      </c>
      <c r="T60" s="67">
        <v>36.420000000000101</v>
      </c>
      <c r="U60" s="52">
        <v>3770.9422387159698</v>
      </c>
      <c r="V60" s="67">
        <v>25.667697782203899</v>
      </c>
      <c r="W60" s="52">
        <v>3680.6781487722301</v>
      </c>
      <c r="X60" s="67">
        <v>38.104789893463398</v>
      </c>
      <c r="Y60" s="52">
        <v>3801.3426525216</v>
      </c>
      <c r="Z60" s="67">
        <v>106.286501893433</v>
      </c>
      <c r="AA60" s="71">
        <f t="shared" si="1"/>
        <v>0.97577329889340592</v>
      </c>
      <c r="AB60" s="48">
        <v>32.731290000000001</v>
      </c>
      <c r="AC60" s="52">
        <v>475.36270267583302</v>
      </c>
      <c r="AD60" s="53">
        <v>4.8957910898231702</v>
      </c>
      <c r="AE60" s="52">
        <v>930.60750326287598</v>
      </c>
      <c r="AF60" s="53">
        <v>1.3190775397201</v>
      </c>
      <c r="AG60" s="53">
        <v>0.89326500761699201</v>
      </c>
      <c r="AH60" s="53">
        <v>0.40328360505007399</v>
      </c>
      <c r="AI60" s="48">
        <v>11.2057338229764</v>
      </c>
      <c r="AJ60" s="53">
        <v>0.248665258194573</v>
      </c>
      <c r="AK60" s="53">
        <v>1.88509033679531</v>
      </c>
      <c r="AL60" s="53">
        <v>2.9814994363041798</v>
      </c>
      <c r="AM60" s="53">
        <v>1.63097378063692</v>
      </c>
      <c r="AN60" s="48">
        <v>19.150453639990602</v>
      </c>
      <c r="AO60" s="53">
        <v>6.5248994107256504</v>
      </c>
      <c r="AP60" s="48">
        <v>80.733098376179797</v>
      </c>
      <c r="AQ60" s="48">
        <v>30.6025430225375</v>
      </c>
      <c r="AR60" s="52">
        <v>138.08736682092399</v>
      </c>
      <c r="AS60" s="48">
        <v>29.030458355996402</v>
      </c>
      <c r="AT60" s="52">
        <v>273.52073535226401</v>
      </c>
      <c r="AU60" s="48">
        <v>54.225788320703003</v>
      </c>
      <c r="AV60" s="52">
        <v>10320.155369742301</v>
      </c>
      <c r="AW60" s="53">
        <v>0.59653687596629501</v>
      </c>
      <c r="AX60" s="64">
        <v>0.202022771318079</v>
      </c>
      <c r="AY60" s="64">
        <v>0</v>
      </c>
      <c r="AZ60" s="53">
        <v>1.1710437058700101</v>
      </c>
      <c r="BA60" s="64">
        <v>3.3922442882478201E-3</v>
      </c>
      <c r="BB60" s="48">
        <v>283.92301062940697</v>
      </c>
      <c r="BC60" s="48">
        <v>86.769666755674507</v>
      </c>
      <c r="BD60" s="52">
        <v>259.01449200342103</v>
      </c>
    </row>
    <row r="61" spans="1:56" s="41" customFormat="1" ht="12" customHeight="1">
      <c r="A61" s="47" t="s">
        <v>21</v>
      </c>
      <c r="B61" s="41" t="s">
        <v>178</v>
      </c>
      <c r="C61" s="41" t="s">
        <v>135</v>
      </c>
      <c r="D61" s="50">
        <v>315.620820468136</v>
      </c>
      <c r="E61" s="50">
        <v>92.968916975526199</v>
      </c>
      <c r="F61" s="60">
        <v>279.33352846048399</v>
      </c>
      <c r="G61" s="122">
        <f t="shared" si="0"/>
        <v>0.33282405262237641</v>
      </c>
      <c r="H61" s="61">
        <v>1.6684898715056899</v>
      </c>
      <c r="I61" s="62">
        <v>0.34506000827153399</v>
      </c>
      <c r="J61" s="62">
        <v>5.60348007906E-3</v>
      </c>
      <c r="K61" s="62">
        <v>38.542127924149398</v>
      </c>
      <c r="L61" s="62">
        <v>0.61365118449185696</v>
      </c>
      <c r="M61" s="62">
        <v>0.805665483113709</v>
      </c>
      <c r="N61" s="62">
        <v>5.1456283846857799E-3</v>
      </c>
      <c r="O61" s="62">
        <v>0.40114166466628898</v>
      </c>
      <c r="P61" s="62">
        <v>0.20582954246804</v>
      </c>
      <c r="Q61" s="62">
        <v>3.6878317458034098E-3</v>
      </c>
      <c r="R61" s="62">
        <v>2.30061266093099</v>
      </c>
      <c r="S61" s="60">
        <v>3687.0349999999999</v>
      </c>
      <c r="T61" s="69">
        <v>24.925000000000001</v>
      </c>
      <c r="U61" s="60">
        <v>3733.9357600584999</v>
      </c>
      <c r="V61" s="69">
        <v>15.960903577796</v>
      </c>
      <c r="W61" s="60">
        <v>3809.3744563514601</v>
      </c>
      <c r="X61" s="69">
        <v>18.485243082202999</v>
      </c>
      <c r="Y61" s="60">
        <v>3783.0772527188601</v>
      </c>
      <c r="Z61" s="69">
        <v>61.815783172534303</v>
      </c>
      <c r="AA61" s="71">
        <f t="shared" si="1"/>
        <v>0.97999851679734751</v>
      </c>
      <c r="AB61" s="50">
        <v>32.731290000000001</v>
      </c>
      <c r="AC61" s="60">
        <v>3277.2391336454798</v>
      </c>
      <c r="AD61" s="61">
        <v>4.3029178351683504</v>
      </c>
      <c r="AE61" s="60">
        <v>762.23022691940503</v>
      </c>
      <c r="AF61" s="61">
        <v>1.16930084862757</v>
      </c>
      <c r="AG61" s="61">
        <v>1.5666258193918601</v>
      </c>
      <c r="AH61" s="61">
        <v>162.975514810074</v>
      </c>
      <c r="AI61" s="60">
        <v>168.56470235373101</v>
      </c>
      <c r="AJ61" s="50">
        <v>33.196214031252602</v>
      </c>
      <c r="AK61" s="60">
        <v>135.01403105619701</v>
      </c>
      <c r="AL61" s="50">
        <v>27.4657820129054</v>
      </c>
      <c r="AM61" s="61">
        <v>3.64736603736314</v>
      </c>
      <c r="AN61" s="50">
        <v>34.660718122792296</v>
      </c>
      <c r="AO61" s="61">
        <v>7.0629239665777996</v>
      </c>
      <c r="AP61" s="50">
        <v>73.879018702821597</v>
      </c>
      <c r="AQ61" s="50">
        <v>26.271794519926299</v>
      </c>
      <c r="AR61" s="60">
        <v>116.983681192737</v>
      </c>
      <c r="AS61" s="50">
        <v>25.034028246457598</v>
      </c>
      <c r="AT61" s="60">
        <v>231.500233634121</v>
      </c>
      <c r="AU61" s="50">
        <v>47.7801658422269</v>
      </c>
      <c r="AV61" s="60">
        <v>8956.5541706095992</v>
      </c>
      <c r="AW61" s="61">
        <v>0.91494769504217899</v>
      </c>
      <c r="AX61" s="65">
        <v>0.249251521629484</v>
      </c>
      <c r="AY61" s="65">
        <v>0</v>
      </c>
      <c r="AZ61" s="61">
        <v>1.6684898715056899</v>
      </c>
      <c r="BA61" s="65">
        <v>2.3612462202249199E-3</v>
      </c>
      <c r="BB61" s="50">
        <v>315.620820468136</v>
      </c>
      <c r="BC61" s="50">
        <v>92.968916975526199</v>
      </c>
      <c r="BD61" s="60">
        <v>279.33352846048399</v>
      </c>
    </row>
    <row r="62" spans="1:56" s="41" customFormat="1" ht="12" customHeight="1">
      <c r="A62" s="47" t="s">
        <v>21</v>
      </c>
      <c r="B62" s="41" t="s">
        <v>179</v>
      </c>
      <c r="C62" s="41" t="s">
        <v>135</v>
      </c>
      <c r="D62" s="50">
        <v>337.93259282936901</v>
      </c>
      <c r="E62" s="50">
        <v>97.090833407429002</v>
      </c>
      <c r="F62" s="60">
        <v>351.77401314922201</v>
      </c>
      <c r="G62" s="122">
        <f t="shared" si="0"/>
        <v>0.27600342770698988</v>
      </c>
      <c r="H62" s="65">
        <v>7.0354965197539698E-2</v>
      </c>
      <c r="I62" s="62">
        <v>0.33864384870761799</v>
      </c>
      <c r="J62" s="62">
        <v>5.4579217707927301E-3</v>
      </c>
      <c r="K62" s="62">
        <v>32.986350507141502</v>
      </c>
      <c r="L62" s="62">
        <v>0.60069971193765703</v>
      </c>
      <c r="M62" s="62">
        <v>0.70146472928975101</v>
      </c>
      <c r="N62" s="62">
        <v>6.10946430891044E-3</v>
      </c>
      <c r="O62" s="62">
        <v>0.47827109980579102</v>
      </c>
      <c r="P62" s="62">
        <v>0.19372111032571601</v>
      </c>
      <c r="Q62" s="62">
        <v>3.3449566182497401E-3</v>
      </c>
      <c r="R62" s="62">
        <v>2.5862287480330099</v>
      </c>
      <c r="S62" s="60">
        <v>3656.63</v>
      </c>
      <c r="T62" s="69">
        <v>24.690000000000101</v>
      </c>
      <c r="U62" s="60">
        <v>3580.1990032380099</v>
      </c>
      <c r="V62" s="69">
        <v>18.111000307148</v>
      </c>
      <c r="W62" s="60">
        <v>3426.2013573428699</v>
      </c>
      <c r="X62" s="69">
        <v>23.221019077990501</v>
      </c>
      <c r="Y62" s="60">
        <v>3579.0886659058201</v>
      </c>
      <c r="Z62" s="69">
        <v>56.637204926050899</v>
      </c>
      <c r="AA62" s="71">
        <f t="shared" si="1"/>
        <v>0.95604086607395278</v>
      </c>
      <c r="AB62" s="50">
        <v>32.731290000000001</v>
      </c>
      <c r="AC62" s="60">
        <v>559.32069626884095</v>
      </c>
      <c r="AD62" s="61">
        <v>1.6231805087584299</v>
      </c>
      <c r="AE62" s="60">
        <v>884.07864926033801</v>
      </c>
      <c r="AF62" s="61">
        <v>1.16552341925095</v>
      </c>
      <c r="AG62" s="61">
        <v>0.15290367176334699</v>
      </c>
      <c r="AH62" s="61">
        <v>0</v>
      </c>
      <c r="AI62" s="61">
        <v>4.6076305954075698</v>
      </c>
      <c r="AJ62" s="65">
        <v>7.0733122055211095E-2</v>
      </c>
      <c r="AK62" s="61">
        <v>1.18987841711512</v>
      </c>
      <c r="AL62" s="61">
        <v>3.11592725007328</v>
      </c>
      <c r="AM62" s="61">
        <v>0.37485387757779098</v>
      </c>
      <c r="AN62" s="50">
        <v>19.352965723339299</v>
      </c>
      <c r="AO62" s="61">
        <v>6.7444858075341498</v>
      </c>
      <c r="AP62" s="50">
        <v>79.679227731025506</v>
      </c>
      <c r="AQ62" s="50">
        <v>29.282593078916499</v>
      </c>
      <c r="AR62" s="60">
        <v>132.63494429640301</v>
      </c>
      <c r="AS62" s="50">
        <v>27.858734768125199</v>
      </c>
      <c r="AT62" s="60">
        <v>257.15711309193802</v>
      </c>
      <c r="AU62" s="50">
        <v>51.8242454773182</v>
      </c>
      <c r="AV62" s="60">
        <v>9992.4499592082593</v>
      </c>
      <c r="AW62" s="61">
        <v>0.93321997725008299</v>
      </c>
      <c r="AX62" s="65">
        <v>1.4675641185613901E-2</v>
      </c>
      <c r="AY62" s="65">
        <v>0</v>
      </c>
      <c r="AZ62" s="65">
        <v>7.0354965197539698E-2</v>
      </c>
      <c r="BA62" s="65">
        <v>4.2894204875972997E-3</v>
      </c>
      <c r="BB62" s="50">
        <v>337.93259282936901</v>
      </c>
      <c r="BC62" s="50">
        <v>97.090833407429002</v>
      </c>
      <c r="BD62" s="60">
        <v>351.77401314922201</v>
      </c>
    </row>
    <row r="63" spans="1:56" s="41" customFormat="1" ht="12" customHeight="1">
      <c r="A63" s="47" t="s">
        <v>21</v>
      </c>
      <c r="B63" s="41" t="s">
        <v>180</v>
      </c>
      <c r="C63" s="41" t="s">
        <v>135</v>
      </c>
      <c r="D63" s="50">
        <v>302.635248869007</v>
      </c>
      <c r="E63" s="50">
        <v>58.351819379778597</v>
      </c>
      <c r="F63" s="60">
        <v>296.07270580558998</v>
      </c>
      <c r="G63" s="122">
        <f t="shared" si="0"/>
        <v>0.19708611511827137</v>
      </c>
      <c r="H63" s="61">
        <v>0.65369184845476502</v>
      </c>
      <c r="I63" s="62">
        <v>0.34787094917940797</v>
      </c>
      <c r="J63" s="62">
        <v>6.2904395489850598E-3</v>
      </c>
      <c r="K63" s="62">
        <v>36.217564039321502</v>
      </c>
      <c r="L63" s="62">
        <v>0.86481910962966702</v>
      </c>
      <c r="M63" s="62">
        <v>0.74927553706624905</v>
      </c>
      <c r="N63" s="62">
        <v>1.1171923086152301E-2</v>
      </c>
      <c r="O63" s="62">
        <v>0.62442508646944805</v>
      </c>
      <c r="P63" s="62">
        <v>0.21220355400933599</v>
      </c>
      <c r="Q63" s="62">
        <v>4.1406154164331703E-3</v>
      </c>
      <c r="R63" s="62">
        <v>3.8004456151709798</v>
      </c>
      <c r="S63" s="60">
        <v>3697.84</v>
      </c>
      <c r="T63" s="69">
        <v>27.472499999999901</v>
      </c>
      <c r="U63" s="60">
        <v>3672.4179331322298</v>
      </c>
      <c r="V63" s="69">
        <v>23.726095282896399</v>
      </c>
      <c r="W63" s="60">
        <v>3604.8459204077299</v>
      </c>
      <c r="X63" s="69">
        <v>41.216662522684501</v>
      </c>
      <c r="Y63" s="60">
        <v>3889.6376432113302</v>
      </c>
      <c r="Z63" s="69">
        <v>69.0404381584015</v>
      </c>
      <c r="AA63" s="71">
        <f t="shared" si="1"/>
        <v>0.98142928054157874</v>
      </c>
      <c r="AB63" s="50">
        <v>32.731290000000001</v>
      </c>
      <c r="AC63" s="60">
        <v>508.89489545698302</v>
      </c>
      <c r="AD63" s="61">
        <v>3.25624872489596</v>
      </c>
      <c r="AE63" s="60">
        <v>659.353683587197</v>
      </c>
      <c r="AF63" s="61">
        <v>1.4112492561412</v>
      </c>
      <c r="AG63" s="61">
        <v>1.1590956156582899</v>
      </c>
      <c r="AH63" s="61">
        <v>0.296878328633712</v>
      </c>
      <c r="AI63" s="61">
        <v>4.4818700501343303</v>
      </c>
      <c r="AJ63" s="61">
        <v>0.25707356855865698</v>
      </c>
      <c r="AK63" s="61">
        <v>2.0503874140904199</v>
      </c>
      <c r="AL63" s="61">
        <v>2.8008906136220602</v>
      </c>
      <c r="AM63" s="61">
        <v>1.1267831076544299</v>
      </c>
      <c r="AN63" s="50">
        <v>14.177744811570401</v>
      </c>
      <c r="AO63" s="61">
        <v>4.9721368005878599</v>
      </c>
      <c r="AP63" s="50">
        <v>56.235262586192697</v>
      </c>
      <c r="AQ63" s="50">
        <v>21.681264396020602</v>
      </c>
      <c r="AR63" s="50">
        <v>98.434643871133702</v>
      </c>
      <c r="AS63" s="50">
        <v>21.7908073364666</v>
      </c>
      <c r="AT63" s="60">
        <v>203.314937749481</v>
      </c>
      <c r="AU63" s="50">
        <v>42.2743104477168</v>
      </c>
      <c r="AV63" s="60">
        <v>10653.783013644999</v>
      </c>
      <c r="AW63" s="61">
        <v>1.3001219423450301</v>
      </c>
      <c r="AX63" s="65">
        <v>7.6118584541533099E-2</v>
      </c>
      <c r="AY63" s="65">
        <v>0</v>
      </c>
      <c r="AZ63" s="61">
        <v>0.65369184845476502</v>
      </c>
      <c r="BA63" s="65">
        <v>1.1774294385663399E-3</v>
      </c>
      <c r="BB63" s="50">
        <v>302.635248869007</v>
      </c>
      <c r="BC63" s="50">
        <v>58.351819379778597</v>
      </c>
      <c r="BD63" s="60">
        <v>296.07270580558998</v>
      </c>
    </row>
    <row r="64" spans="1:56" s="41" customFormat="1" ht="12" customHeight="1">
      <c r="A64" s="47" t="s">
        <v>21</v>
      </c>
      <c r="B64" s="41" t="s">
        <v>181</v>
      </c>
      <c r="C64" s="41" t="s">
        <v>126</v>
      </c>
      <c r="D64" s="50">
        <v>438.58474753182901</v>
      </c>
      <c r="E64" s="50">
        <v>53.573480891926998</v>
      </c>
      <c r="F64" s="60">
        <v>654.90302722529202</v>
      </c>
      <c r="G64" s="122">
        <f t="shared" si="0"/>
        <v>8.1803684919442704E-2</v>
      </c>
      <c r="H64" s="61">
        <v>1.7073219790788901</v>
      </c>
      <c r="I64" s="62">
        <v>0.251679985765277</v>
      </c>
      <c r="J64" s="62">
        <v>5.8921795653823997E-3</v>
      </c>
      <c r="K64" s="62">
        <v>18.8693751045837</v>
      </c>
      <c r="L64" s="62">
        <v>0.51395401889557402</v>
      </c>
      <c r="M64" s="62">
        <v>0.53850106918692597</v>
      </c>
      <c r="N64" s="62">
        <v>7.6870011017764498E-3</v>
      </c>
      <c r="O64" s="62">
        <v>0.52408728692068696</v>
      </c>
      <c r="P64" s="62">
        <v>0.14751460566619401</v>
      </c>
      <c r="Q64" s="62">
        <v>4.3402415120251002E-3</v>
      </c>
      <c r="R64" s="62">
        <v>8.8082299210000006</v>
      </c>
      <c r="S64" s="60">
        <v>3195.37</v>
      </c>
      <c r="T64" s="69">
        <v>37.034999999999897</v>
      </c>
      <c r="U64" s="60">
        <v>3035.1623159655101</v>
      </c>
      <c r="V64" s="69">
        <v>26.345518139158401</v>
      </c>
      <c r="W64" s="60">
        <v>2777.1707380102898</v>
      </c>
      <c r="X64" s="69">
        <v>32.243901737578803</v>
      </c>
      <c r="Y64" s="60">
        <v>2781.1701085591899</v>
      </c>
      <c r="Z64" s="69">
        <v>76.448658963593502</v>
      </c>
      <c r="AA64" s="71">
        <f t="shared" si="1"/>
        <v>0.91122615460628265</v>
      </c>
      <c r="AB64" s="50">
        <v>32.731290000000001</v>
      </c>
      <c r="AC64" s="60">
        <v>874.34182282233803</v>
      </c>
      <c r="AD64" s="61">
        <v>6.4255841471722004</v>
      </c>
      <c r="AE64" s="60">
        <v>642.10423726145802</v>
      </c>
      <c r="AF64" s="61">
        <v>2.2793690661068799</v>
      </c>
      <c r="AG64" s="61">
        <v>3.8899097358944998</v>
      </c>
      <c r="AH64" s="61">
        <v>1.0094934632630601</v>
      </c>
      <c r="AI64" s="61">
        <v>6.9636303109886404</v>
      </c>
      <c r="AJ64" s="61">
        <v>0.73919294302277305</v>
      </c>
      <c r="AK64" s="61">
        <v>4.6493554286728402</v>
      </c>
      <c r="AL64" s="61">
        <v>2.9493762005887598</v>
      </c>
      <c r="AM64" s="61">
        <v>3.4684004201670802</v>
      </c>
      <c r="AN64" s="61">
        <v>9.6929406256886406</v>
      </c>
      <c r="AO64" s="61">
        <v>3.4160530305779702</v>
      </c>
      <c r="AP64" s="50">
        <v>46.317352907312099</v>
      </c>
      <c r="AQ64" s="50">
        <v>20.0636637043965</v>
      </c>
      <c r="AR64" s="60">
        <v>106.51104038883101</v>
      </c>
      <c r="AS64" s="50">
        <v>25.179260933202901</v>
      </c>
      <c r="AT64" s="60">
        <v>254.35024937935501</v>
      </c>
      <c r="AU64" s="50">
        <v>57.017798781895998</v>
      </c>
      <c r="AV64" s="60">
        <v>11319.3526133905</v>
      </c>
      <c r="AW64" s="61">
        <v>2.7395042805365901</v>
      </c>
      <c r="AX64" s="65">
        <v>0.209066761961193</v>
      </c>
      <c r="AY64" s="65">
        <v>0</v>
      </c>
      <c r="AZ64" s="61">
        <v>1.7073219790788901</v>
      </c>
      <c r="BA64" s="65">
        <v>0</v>
      </c>
      <c r="BB64" s="50">
        <v>438.58474753182901</v>
      </c>
      <c r="BC64" s="50">
        <v>53.573480891926998</v>
      </c>
      <c r="BD64" s="60">
        <v>654.90302722529202</v>
      </c>
    </row>
    <row r="65" spans="1:56" s="41" customFormat="1" ht="12" customHeight="1">
      <c r="A65" s="38"/>
      <c r="D65" s="50"/>
      <c r="E65" s="50"/>
      <c r="F65" s="60"/>
      <c r="G65" s="122"/>
      <c r="H65" s="61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0"/>
      <c r="T65" s="69"/>
      <c r="U65" s="60"/>
      <c r="V65" s="69"/>
      <c r="W65" s="60"/>
      <c r="X65" s="69"/>
      <c r="Y65" s="60"/>
      <c r="Z65" s="69"/>
      <c r="AA65" s="71"/>
      <c r="AB65" s="50"/>
      <c r="AC65" s="60"/>
      <c r="AD65" s="61"/>
      <c r="AE65" s="60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50"/>
      <c r="AQ65" s="50"/>
      <c r="AR65" s="60"/>
      <c r="AS65" s="50"/>
      <c r="AT65" s="60"/>
      <c r="AU65" s="50"/>
      <c r="AV65" s="60"/>
      <c r="AW65" s="61"/>
      <c r="AX65" s="65"/>
      <c r="AY65" s="65"/>
      <c r="AZ65" s="61"/>
      <c r="BA65" s="65"/>
      <c r="BB65" s="50"/>
      <c r="BC65" s="50"/>
      <c r="BD65" s="60"/>
    </row>
    <row r="66" spans="1:56" s="39" customFormat="1" ht="12" customHeight="1">
      <c r="A66" s="47" t="s">
        <v>23</v>
      </c>
      <c r="B66" s="39" t="s">
        <v>182</v>
      </c>
      <c r="C66" s="39" t="s">
        <v>126</v>
      </c>
      <c r="D66" s="48">
        <v>270.21012622107901</v>
      </c>
      <c r="E66" s="52">
        <v>163.328798449044</v>
      </c>
      <c r="F66" s="52">
        <v>443.70214208328201</v>
      </c>
      <c r="G66" s="122">
        <f t="shared" si="0"/>
        <v>0.36810459756218061</v>
      </c>
      <c r="H66" s="53">
        <v>1.59852833695041</v>
      </c>
      <c r="I66" s="54">
        <v>0.25194328185456599</v>
      </c>
      <c r="J66" s="54">
        <v>4.5137754011255801E-3</v>
      </c>
      <c r="K66" s="54">
        <v>15.514057136462201</v>
      </c>
      <c r="L66" s="54">
        <v>0.27524814252016699</v>
      </c>
      <c r="M66" s="54">
        <v>0.44426405782774397</v>
      </c>
      <c r="N66" s="54">
        <v>3.3512263460714902E-3</v>
      </c>
      <c r="O66" s="54">
        <v>0.425170939008715</v>
      </c>
      <c r="P66" s="54">
        <v>0.136106111198047</v>
      </c>
      <c r="Q66" s="54">
        <v>2.9345203395076398E-3</v>
      </c>
      <c r="R66" s="54">
        <v>2.0240303180493999</v>
      </c>
      <c r="S66" s="52">
        <v>3197.2249999999999</v>
      </c>
      <c r="T66" s="67">
        <v>28.392499999999899</v>
      </c>
      <c r="U66" s="52">
        <v>2847.3493078839301</v>
      </c>
      <c r="V66" s="67">
        <v>17.034299222239301</v>
      </c>
      <c r="W66" s="52">
        <v>2369.7011396257799</v>
      </c>
      <c r="X66" s="67">
        <v>15.012698936351001</v>
      </c>
      <c r="Y66" s="52">
        <v>2579.2162441937899</v>
      </c>
      <c r="Z66" s="67">
        <v>52.207443263102199</v>
      </c>
      <c r="AA66" s="71">
        <f t="shared" si="1"/>
        <v>0.81688957273313334</v>
      </c>
      <c r="AB66" s="48">
        <v>32.731290000000001</v>
      </c>
      <c r="AC66" s="52">
        <v>469.13585943246898</v>
      </c>
      <c r="AD66" s="48">
        <v>15.1025792909297</v>
      </c>
      <c r="AE66" s="52">
        <v>1946.8939169262401</v>
      </c>
      <c r="AF66" s="53">
        <v>2.6585219138865099</v>
      </c>
      <c r="AG66" s="53">
        <v>9.7540349780864908</v>
      </c>
      <c r="AH66" s="53">
        <v>2.1582391842017299</v>
      </c>
      <c r="AI66" s="48">
        <v>35.234872047955399</v>
      </c>
      <c r="AJ66" s="53">
        <v>2.77674071817987</v>
      </c>
      <c r="AK66" s="48">
        <v>18.513213514288498</v>
      </c>
      <c r="AL66" s="48">
        <v>13.676646265761301</v>
      </c>
      <c r="AM66" s="48">
        <v>20.897682653858901</v>
      </c>
      <c r="AN66" s="48">
        <v>52.831910095392999</v>
      </c>
      <c r="AO66" s="48">
        <v>16.819529142248101</v>
      </c>
      <c r="AP66" s="52">
        <v>185.551954686887</v>
      </c>
      <c r="AQ66" s="48">
        <v>65.2921252203965</v>
      </c>
      <c r="AR66" s="52">
        <v>281.432798689881</v>
      </c>
      <c r="AS66" s="48">
        <v>56.579915635541496</v>
      </c>
      <c r="AT66" s="52">
        <v>505.81293589274901</v>
      </c>
      <c r="AU66" s="52">
        <v>100.059265548274</v>
      </c>
      <c r="AV66" s="52">
        <v>8877.9531973659596</v>
      </c>
      <c r="AW66" s="53">
        <v>0.99904331184003903</v>
      </c>
      <c r="AX66" s="64">
        <v>2.9640044998656201</v>
      </c>
      <c r="AY66" s="64">
        <v>0</v>
      </c>
      <c r="AZ66" s="53">
        <v>1.59852833695041</v>
      </c>
      <c r="BA66" s="64">
        <v>1.7328813612827801E-2</v>
      </c>
      <c r="BB66" s="48">
        <v>270.21012622107901</v>
      </c>
      <c r="BC66" s="52">
        <v>163.328798449044</v>
      </c>
      <c r="BD66" s="52">
        <v>443.70214208328201</v>
      </c>
    </row>
    <row r="67" spans="1:56" s="39" customFormat="1" ht="12" customHeight="1">
      <c r="A67" s="47" t="s">
        <v>23</v>
      </c>
      <c r="B67" s="39" t="s">
        <v>183</v>
      </c>
      <c r="C67" s="39" t="s">
        <v>126</v>
      </c>
      <c r="D67" s="48">
        <v>298.95009865139701</v>
      </c>
      <c r="E67" s="52">
        <v>171.13723091324599</v>
      </c>
      <c r="F67" s="52">
        <v>373.48404360470198</v>
      </c>
      <c r="G67" s="122">
        <f t="shared" si="0"/>
        <v>0.45821831974802857</v>
      </c>
      <c r="H67" s="53">
        <v>4.0252431503250996</v>
      </c>
      <c r="I67" s="54">
        <v>0.26564758289680102</v>
      </c>
      <c r="J67" s="54">
        <v>5.2244679827455603E-3</v>
      </c>
      <c r="K67" s="54">
        <v>20.851405595744801</v>
      </c>
      <c r="L67" s="54">
        <v>0.39057144278731099</v>
      </c>
      <c r="M67" s="54">
        <v>0.56612597658553698</v>
      </c>
      <c r="N67" s="54">
        <v>4.0614377842245596E-3</v>
      </c>
      <c r="O67" s="54">
        <v>0.38300246762039297</v>
      </c>
      <c r="P67" s="54">
        <v>0.156333019126767</v>
      </c>
      <c r="Q67" s="54">
        <v>3.5347196230656598E-3</v>
      </c>
      <c r="R67" s="54">
        <v>1.55477278414562</v>
      </c>
      <c r="S67" s="52">
        <v>3280.55</v>
      </c>
      <c r="T67" s="67">
        <v>30.9950000000001</v>
      </c>
      <c r="U67" s="52">
        <v>3131.71066537773</v>
      </c>
      <c r="V67" s="67">
        <v>18.273442177501298</v>
      </c>
      <c r="W67" s="52">
        <v>2891.8938865524601</v>
      </c>
      <c r="X67" s="67">
        <v>16.7902785174497</v>
      </c>
      <c r="Y67" s="52">
        <v>2935.90313477171</v>
      </c>
      <c r="Z67" s="67">
        <v>61.785453812335298</v>
      </c>
      <c r="AA67" s="71">
        <f t="shared" si="1"/>
        <v>0.92037432844145672</v>
      </c>
      <c r="AB67" s="48">
        <v>32.731290000000001</v>
      </c>
      <c r="AC67" s="52">
        <v>563.00134962369896</v>
      </c>
      <c r="AD67" s="53">
        <v>9.3514744959941503</v>
      </c>
      <c r="AE67" s="52">
        <v>1463.71100988892</v>
      </c>
      <c r="AF67" s="53">
        <v>5.9842490583771797</v>
      </c>
      <c r="AG67" s="53">
        <v>5.3299167749137304</v>
      </c>
      <c r="AH67" s="53">
        <v>0.32894484443317401</v>
      </c>
      <c r="AI67" s="48">
        <v>17.658301372367301</v>
      </c>
      <c r="AJ67" s="53">
        <v>0.55602970037333799</v>
      </c>
      <c r="AK67" s="53">
        <v>4.8959751994684604</v>
      </c>
      <c r="AL67" s="53">
        <v>5.4137262050760899</v>
      </c>
      <c r="AM67" s="53">
        <v>2.2962714552504102</v>
      </c>
      <c r="AN67" s="48">
        <v>27.904200332065201</v>
      </c>
      <c r="AO67" s="53">
        <v>9.8472816562777705</v>
      </c>
      <c r="AP67" s="52">
        <v>126.537103597457</v>
      </c>
      <c r="AQ67" s="48">
        <v>51.900975603242799</v>
      </c>
      <c r="AR67" s="52">
        <v>233.915200738344</v>
      </c>
      <c r="AS67" s="48">
        <v>47.535070807520498</v>
      </c>
      <c r="AT67" s="52">
        <v>417.24779428942799</v>
      </c>
      <c r="AU67" s="48">
        <v>82.573804392793704</v>
      </c>
      <c r="AV67" s="52">
        <v>9910.4316045714804</v>
      </c>
      <c r="AW67" s="53">
        <v>1.9346500290344799</v>
      </c>
      <c r="AX67" s="64">
        <v>0.37789927002861101</v>
      </c>
      <c r="AY67" s="64">
        <v>0</v>
      </c>
      <c r="AZ67" s="53">
        <v>4.0252431503250996</v>
      </c>
      <c r="BA67" s="64">
        <v>7.7384952829394798E-3</v>
      </c>
      <c r="BB67" s="48">
        <v>298.95009865139701</v>
      </c>
      <c r="BC67" s="52">
        <v>171.13723091324599</v>
      </c>
      <c r="BD67" s="52">
        <v>373.48404360470198</v>
      </c>
    </row>
    <row r="68" spans="1:56" s="39" customFormat="1" ht="12" customHeight="1">
      <c r="A68" s="47" t="s">
        <v>23</v>
      </c>
      <c r="B68" s="39" t="s">
        <v>184</v>
      </c>
      <c r="C68" s="39" t="s">
        <v>126</v>
      </c>
      <c r="D68" s="48">
        <v>358.01410333473098</v>
      </c>
      <c r="E68" s="52">
        <v>766.14285568691696</v>
      </c>
      <c r="F68" s="52">
        <v>1247.71423740092</v>
      </c>
      <c r="G68" s="122">
        <f t="shared" ref="G68:G131" si="2">E68/F68</f>
        <v>0.61403711901440561</v>
      </c>
      <c r="H68" s="53">
        <v>6.8747593582171902</v>
      </c>
      <c r="I68" s="54">
        <v>0.17966547038119701</v>
      </c>
      <c r="J68" s="54">
        <v>4.6952329539952401E-3</v>
      </c>
      <c r="K68" s="54">
        <v>5.6573381737106496</v>
      </c>
      <c r="L68" s="54">
        <v>0.239585038838595</v>
      </c>
      <c r="M68" s="54">
        <v>0.221306244439612</v>
      </c>
      <c r="N68" s="54">
        <v>5.1954086563699804E-3</v>
      </c>
      <c r="O68" s="54">
        <v>0.55434290163964195</v>
      </c>
      <c r="P68" s="54">
        <v>5.2794852957204701E-2</v>
      </c>
      <c r="Q68" s="54">
        <v>1.54343438322555E-3</v>
      </c>
      <c r="R68" s="54">
        <v>1.1746787643811201</v>
      </c>
      <c r="S68" s="52">
        <v>2649.6950000000002</v>
      </c>
      <c r="T68" s="67">
        <v>43.209999999999802</v>
      </c>
      <c r="U68" s="52">
        <v>1924.88168862719</v>
      </c>
      <c r="V68" s="67">
        <v>36.565155261384497</v>
      </c>
      <c r="W68" s="52">
        <v>1288.77342869775</v>
      </c>
      <c r="X68" s="67">
        <v>27.431726893792799</v>
      </c>
      <c r="Y68" s="52">
        <v>1039.88666333572</v>
      </c>
      <c r="Z68" s="67">
        <v>29.631839653977099</v>
      </c>
      <c r="AA68" s="71">
        <f t="shared" ref="AA68:AA131" si="3">1-2*ABS(U68-W68)/(U68+W68)</f>
        <v>0.60412163925110973</v>
      </c>
      <c r="AB68" s="48">
        <v>32.731290000000001</v>
      </c>
      <c r="AC68" s="52">
        <v>503.27895001221998</v>
      </c>
      <c r="AD68" s="48">
        <v>50.781197357464798</v>
      </c>
      <c r="AE68" s="52">
        <v>1550.2992619399899</v>
      </c>
      <c r="AF68" s="53">
        <v>8.96083000417409</v>
      </c>
      <c r="AG68" s="53">
        <v>83.757255705729506</v>
      </c>
      <c r="AH68" s="53">
        <v>52.622954750581798</v>
      </c>
      <c r="AI68" s="52">
        <v>203.61841855481299</v>
      </c>
      <c r="AJ68" s="48">
        <v>19.3616880691077</v>
      </c>
      <c r="AK68" s="48">
        <v>62.5122401767658</v>
      </c>
      <c r="AL68" s="48">
        <v>12.496714491232501</v>
      </c>
      <c r="AM68" s="53">
        <v>7.5200189486332398</v>
      </c>
      <c r="AN68" s="48">
        <v>42.400009791945301</v>
      </c>
      <c r="AO68" s="48">
        <v>12.715408171667001</v>
      </c>
      <c r="AP68" s="52">
        <v>146.89483291762599</v>
      </c>
      <c r="AQ68" s="48">
        <v>53.646501600657899</v>
      </c>
      <c r="AR68" s="52">
        <v>230.36159793579901</v>
      </c>
      <c r="AS68" s="48">
        <v>45.794461043798599</v>
      </c>
      <c r="AT68" s="52">
        <v>393.69133244810598</v>
      </c>
      <c r="AU68" s="48">
        <v>74.920143043585398</v>
      </c>
      <c r="AV68" s="52">
        <v>10381.276581603201</v>
      </c>
      <c r="AW68" s="53">
        <v>2.2390662957628402</v>
      </c>
      <c r="AX68" s="64">
        <v>3.4945722899255198</v>
      </c>
      <c r="AY68" s="64">
        <v>0</v>
      </c>
      <c r="AZ68" s="53">
        <v>6.8747593582171902</v>
      </c>
      <c r="BA68" s="64">
        <v>0.76010159343320005</v>
      </c>
      <c r="BB68" s="48">
        <v>358.01410333473098</v>
      </c>
      <c r="BC68" s="52">
        <v>766.14285568691696</v>
      </c>
      <c r="BD68" s="52">
        <v>1247.71423740092</v>
      </c>
    </row>
    <row r="69" spans="1:56" s="39" customFormat="1" ht="12" customHeight="1">
      <c r="A69" s="47" t="s">
        <v>23</v>
      </c>
      <c r="B69" s="39" t="s">
        <v>185</v>
      </c>
      <c r="C69" s="39" t="s">
        <v>126</v>
      </c>
      <c r="D69" s="48">
        <v>252.25816372155501</v>
      </c>
      <c r="E69" s="52">
        <v>210.93840681799301</v>
      </c>
      <c r="F69" s="52">
        <v>382.34947514275302</v>
      </c>
      <c r="G69" s="122">
        <f t="shared" si="2"/>
        <v>0.55169006506217277</v>
      </c>
      <c r="H69" s="53">
        <v>3.5201473987229899</v>
      </c>
      <c r="I69" s="54">
        <v>0.24544429823404099</v>
      </c>
      <c r="J69" s="54">
        <v>4.9782062684970898E-3</v>
      </c>
      <c r="K69" s="54">
        <v>16.616939861088198</v>
      </c>
      <c r="L69" s="54">
        <v>0.442408725139946</v>
      </c>
      <c r="M69" s="54">
        <v>0.487035859309638</v>
      </c>
      <c r="N69" s="54">
        <v>8.7159075212718696E-3</v>
      </c>
      <c r="O69" s="54">
        <v>0.67216986750499597</v>
      </c>
      <c r="P69" s="54">
        <v>0.128150945103363</v>
      </c>
      <c r="Q69" s="54">
        <v>3.3255634097038998E-3</v>
      </c>
      <c r="R69" s="54">
        <v>1.2803047844858599</v>
      </c>
      <c r="S69" s="52">
        <v>3166.67</v>
      </c>
      <c r="T69" s="67">
        <v>32.097500000000103</v>
      </c>
      <c r="U69" s="52">
        <v>2912.9927717447999</v>
      </c>
      <c r="V69" s="67">
        <v>25.575821185073298</v>
      </c>
      <c r="W69" s="52">
        <v>2557.8390484584602</v>
      </c>
      <c r="X69" s="67">
        <v>37.809363403161299</v>
      </c>
      <c r="Y69" s="52">
        <v>2437.1897059974299</v>
      </c>
      <c r="Z69" s="67">
        <v>59.5816078347654</v>
      </c>
      <c r="AA69" s="71">
        <f t="shared" si="3"/>
        <v>0.87016463493730845</v>
      </c>
      <c r="AB69" s="48">
        <v>32.731290000000001</v>
      </c>
      <c r="AC69" s="52">
        <v>538.24113280238896</v>
      </c>
      <c r="AD69" s="53">
        <v>7.1376798339105996</v>
      </c>
      <c r="AE69" s="52">
        <v>1239.0528712361299</v>
      </c>
      <c r="AF69" s="53">
        <v>3.6123847827415401</v>
      </c>
      <c r="AG69" s="53">
        <v>9.8803543210974496</v>
      </c>
      <c r="AH69" s="53">
        <v>4.8204464805592302</v>
      </c>
      <c r="AI69" s="48">
        <v>41.939721167987003</v>
      </c>
      <c r="AJ69" s="53">
        <v>3.1649325023260402</v>
      </c>
      <c r="AK69" s="48">
        <v>16.302158804123099</v>
      </c>
      <c r="AL69" s="53">
        <v>9.3908702119982106</v>
      </c>
      <c r="AM69" s="53">
        <v>3.4407911510517399</v>
      </c>
      <c r="AN69" s="48">
        <v>34.421993128170499</v>
      </c>
      <c r="AO69" s="48">
        <v>10.3245076805003</v>
      </c>
      <c r="AP69" s="52">
        <v>117.21328257968101</v>
      </c>
      <c r="AQ69" s="48">
        <v>43.878059700363998</v>
      </c>
      <c r="AR69" s="52">
        <v>186.326429057398</v>
      </c>
      <c r="AS69" s="48">
        <v>36.717259040249303</v>
      </c>
      <c r="AT69" s="52">
        <v>323.19842229277299</v>
      </c>
      <c r="AU69" s="48">
        <v>64.474872040788995</v>
      </c>
      <c r="AV69" s="52">
        <v>8586.9209112949902</v>
      </c>
      <c r="AW69" s="53">
        <v>2.91912898434874</v>
      </c>
      <c r="AX69" s="64">
        <v>1.09908802195593</v>
      </c>
      <c r="AY69" s="64">
        <v>0</v>
      </c>
      <c r="AZ69" s="53">
        <v>3.5201473987229899</v>
      </c>
      <c r="BA69" s="64">
        <v>6.51082684454099E-2</v>
      </c>
      <c r="BB69" s="48">
        <v>252.25816372155501</v>
      </c>
      <c r="BC69" s="52">
        <v>210.93840681799301</v>
      </c>
      <c r="BD69" s="52">
        <v>382.34947514275302</v>
      </c>
    </row>
    <row r="70" spans="1:56" s="39" customFormat="1" ht="12" customHeight="1">
      <c r="A70" s="47" t="s">
        <v>23</v>
      </c>
      <c r="B70" s="39" t="s">
        <v>186</v>
      </c>
      <c r="C70" s="39" t="s">
        <v>126</v>
      </c>
      <c r="D70" s="52">
        <v>404.60921009447497</v>
      </c>
      <c r="E70" s="52">
        <v>417.800808648604</v>
      </c>
      <c r="F70" s="52">
        <v>777.67834798980698</v>
      </c>
      <c r="G70" s="122">
        <f t="shared" si="2"/>
        <v>0.53724114825693992</v>
      </c>
      <c r="H70" s="48">
        <v>60.785732027075298</v>
      </c>
      <c r="I70" s="54">
        <v>0.21358482881524399</v>
      </c>
      <c r="J70" s="54">
        <v>6.8545012650471698E-3</v>
      </c>
      <c r="K70" s="54">
        <v>10.555049915519801</v>
      </c>
      <c r="L70" s="54">
        <v>0.66299201240614203</v>
      </c>
      <c r="M70" s="54">
        <v>0.33866697114574101</v>
      </c>
      <c r="N70" s="54">
        <v>9.8114341150814695E-3</v>
      </c>
      <c r="O70" s="54">
        <v>0.46122372979188397</v>
      </c>
      <c r="P70" s="54">
        <v>0.11601442081124801</v>
      </c>
      <c r="Q70" s="54">
        <v>1.77377515407189E-2</v>
      </c>
      <c r="R70" s="54">
        <v>1.3220388884665699</v>
      </c>
      <c r="S70" s="52">
        <v>2933.02</v>
      </c>
      <c r="T70" s="67">
        <v>51.857500000000101</v>
      </c>
      <c r="U70" s="52">
        <v>2484.7667802578899</v>
      </c>
      <c r="V70" s="67">
        <v>58.283946442182597</v>
      </c>
      <c r="W70" s="52">
        <v>1880.2534805531</v>
      </c>
      <c r="X70" s="67">
        <v>47.258333952274803</v>
      </c>
      <c r="Y70" s="52">
        <v>2218.57070741811</v>
      </c>
      <c r="Z70" s="67">
        <v>321.24986803538098</v>
      </c>
      <c r="AA70" s="71">
        <f t="shared" si="3"/>
        <v>0.72301924683736729</v>
      </c>
      <c r="AB70" s="48">
        <v>32.731290000000001</v>
      </c>
      <c r="AC70" s="52">
        <v>880.24436657664603</v>
      </c>
      <c r="AD70" s="48">
        <v>31.849889460843901</v>
      </c>
      <c r="AE70" s="52">
        <v>2332.5509159849698</v>
      </c>
      <c r="AF70" s="53">
        <v>5.5477653021120803</v>
      </c>
      <c r="AG70" s="53">
        <v>45.8282226557915</v>
      </c>
      <c r="AH70" s="53">
        <v>21.158980047072799</v>
      </c>
      <c r="AI70" s="48">
        <v>81.743072272660498</v>
      </c>
      <c r="AJ70" s="53">
        <v>8.2704870464117608</v>
      </c>
      <c r="AK70" s="48">
        <v>40.752999558648298</v>
      </c>
      <c r="AL70" s="48">
        <v>24.949116924832701</v>
      </c>
      <c r="AM70" s="53">
        <v>7.57208880065137</v>
      </c>
      <c r="AN70" s="48">
        <v>75.787618540585797</v>
      </c>
      <c r="AO70" s="48">
        <v>22.2297723182091</v>
      </c>
      <c r="AP70" s="52">
        <v>240.18302583376399</v>
      </c>
      <c r="AQ70" s="48">
        <v>84.553337137026404</v>
      </c>
      <c r="AR70" s="52">
        <v>347.62501231055899</v>
      </c>
      <c r="AS70" s="48">
        <v>64.894533485072202</v>
      </c>
      <c r="AT70" s="52">
        <v>534.77097001767095</v>
      </c>
      <c r="AU70" s="48">
        <v>98.563301678753305</v>
      </c>
      <c r="AV70" s="52">
        <v>11070.095781907001</v>
      </c>
      <c r="AW70" s="53">
        <v>2.6870976985457902</v>
      </c>
      <c r="AX70" s="64">
        <v>3.0498192285499401</v>
      </c>
      <c r="AY70" s="64">
        <v>0</v>
      </c>
      <c r="AZ70" s="48">
        <v>60.785732027075298</v>
      </c>
      <c r="BA70" s="64">
        <v>7.2346003353019106E-2</v>
      </c>
      <c r="BB70" s="52">
        <v>404.60921009447497</v>
      </c>
      <c r="BC70" s="52">
        <v>417.800808648604</v>
      </c>
      <c r="BD70" s="52">
        <v>777.67834798980698</v>
      </c>
    </row>
    <row r="71" spans="1:56" s="39" customFormat="1" ht="12" customHeight="1">
      <c r="A71" s="47" t="s">
        <v>23</v>
      </c>
      <c r="B71" s="39" t="s">
        <v>187</v>
      </c>
      <c r="C71" s="39" t="s">
        <v>126</v>
      </c>
      <c r="D71" s="48">
        <v>283.62291058297302</v>
      </c>
      <c r="E71" s="52">
        <v>238.71691427197999</v>
      </c>
      <c r="F71" s="52">
        <v>388.37090165078399</v>
      </c>
      <c r="G71" s="122">
        <f t="shared" si="2"/>
        <v>0.61466220372665781</v>
      </c>
      <c r="H71" s="53">
        <v>3.17218306130545</v>
      </c>
      <c r="I71" s="54">
        <v>0.25492772777517603</v>
      </c>
      <c r="J71" s="54">
        <v>5.3790458085631798E-3</v>
      </c>
      <c r="K71" s="54">
        <v>18.2515607782207</v>
      </c>
      <c r="L71" s="54">
        <v>0.48213365002973302</v>
      </c>
      <c r="M71" s="54">
        <v>0.51635360300118804</v>
      </c>
      <c r="N71" s="54">
        <v>7.0275001882317799E-3</v>
      </c>
      <c r="O71" s="54">
        <v>0.51521229615148101</v>
      </c>
      <c r="P71" s="54">
        <v>0.14074969287936301</v>
      </c>
      <c r="Q71" s="54">
        <v>2.95042785752894E-3</v>
      </c>
      <c r="R71" s="54">
        <v>1.3984845617188499</v>
      </c>
      <c r="S71" s="52">
        <v>3215.74</v>
      </c>
      <c r="T71" s="67">
        <v>33.329999999999899</v>
      </c>
      <c r="U71" s="52">
        <v>3003.0889341880802</v>
      </c>
      <c r="V71" s="67">
        <v>25.510988846002899</v>
      </c>
      <c r="W71" s="52">
        <v>2683.6970661370101</v>
      </c>
      <c r="X71" s="67">
        <v>29.910861765190798</v>
      </c>
      <c r="Y71" s="52">
        <v>2661.66087111458</v>
      </c>
      <c r="Z71" s="67">
        <v>52.276780875747399</v>
      </c>
      <c r="AA71" s="71">
        <f t="shared" si="3"/>
        <v>0.88767227462654241</v>
      </c>
      <c r="AB71" s="48">
        <v>32.731290000000001</v>
      </c>
      <c r="AC71" s="52">
        <v>522.17758602575304</v>
      </c>
      <c r="AD71" s="53">
        <v>4.44453626490297</v>
      </c>
      <c r="AE71" s="52">
        <v>1848.92261018455</v>
      </c>
      <c r="AF71" s="53">
        <v>2.8232366170140999</v>
      </c>
      <c r="AG71" s="53">
        <v>7.8972149738490902</v>
      </c>
      <c r="AH71" s="53">
        <v>3.9283002593088301</v>
      </c>
      <c r="AI71" s="48">
        <v>43.629754067890502</v>
      </c>
      <c r="AJ71" s="53">
        <v>3.39397770343809</v>
      </c>
      <c r="AK71" s="48">
        <v>21.9767339160502</v>
      </c>
      <c r="AL71" s="48">
        <v>10.620224325628399</v>
      </c>
      <c r="AM71" s="53">
        <v>4.3357610110736502</v>
      </c>
      <c r="AN71" s="48">
        <v>45.199466161746699</v>
      </c>
      <c r="AO71" s="48">
        <v>14.909587079594701</v>
      </c>
      <c r="AP71" s="52">
        <v>176.469502490932</v>
      </c>
      <c r="AQ71" s="48">
        <v>67.650922917660907</v>
      </c>
      <c r="AR71" s="52">
        <v>289.78421640707103</v>
      </c>
      <c r="AS71" s="48">
        <v>57.01949029288</v>
      </c>
      <c r="AT71" s="52">
        <v>493.30377402130603</v>
      </c>
      <c r="AU71" s="48">
        <v>96.083823651198202</v>
      </c>
      <c r="AV71" s="52">
        <v>10544.5359156747</v>
      </c>
      <c r="AW71" s="53">
        <v>1.24926098649386</v>
      </c>
      <c r="AX71" s="64">
        <v>0.77919105911320496</v>
      </c>
      <c r="AY71" s="64">
        <v>0</v>
      </c>
      <c r="AZ71" s="53">
        <v>3.17218306130545</v>
      </c>
      <c r="BA71" s="64">
        <v>2.4637186747381998E-2</v>
      </c>
      <c r="BB71" s="48">
        <v>283.62291058297302</v>
      </c>
      <c r="BC71" s="52">
        <v>238.71691427197999</v>
      </c>
      <c r="BD71" s="52">
        <v>388.37090165078399</v>
      </c>
    </row>
    <row r="72" spans="1:56" s="39" customFormat="1" ht="12" customHeight="1">
      <c r="A72" s="47" t="s">
        <v>23</v>
      </c>
      <c r="B72" s="39" t="s">
        <v>188</v>
      </c>
      <c r="D72" s="48">
        <v>280.12541969293301</v>
      </c>
      <c r="E72" s="52">
        <v>184.744149207547</v>
      </c>
      <c r="F72" s="52">
        <v>297.42445141431801</v>
      </c>
      <c r="G72" s="122">
        <f t="shared" si="2"/>
        <v>0.62114647376518084</v>
      </c>
      <c r="H72" s="53">
        <v>0.30875929735560498</v>
      </c>
      <c r="I72" s="54">
        <v>0.27095366265552301</v>
      </c>
      <c r="J72" s="54">
        <v>6.1804076862436502E-3</v>
      </c>
      <c r="K72" s="54">
        <v>24.885960282577901</v>
      </c>
      <c r="L72" s="54">
        <v>0.64601852868144605</v>
      </c>
      <c r="M72" s="54">
        <v>0.66487343874537497</v>
      </c>
      <c r="N72" s="54">
        <v>7.8258037646464391E-3</v>
      </c>
      <c r="O72" s="54">
        <v>0.45341867073381598</v>
      </c>
      <c r="P72" s="54">
        <v>0.18029010405726001</v>
      </c>
      <c r="Q72" s="54">
        <v>4.1237309810635498E-3</v>
      </c>
      <c r="R72" s="54">
        <v>1.15171988024887</v>
      </c>
      <c r="S72" s="52">
        <v>3322.22</v>
      </c>
      <c r="T72" s="67">
        <v>35.624999999999801</v>
      </c>
      <c r="U72" s="52">
        <v>3303.7525995821802</v>
      </c>
      <c r="V72" s="67">
        <v>25.439622746820099</v>
      </c>
      <c r="W72" s="52">
        <v>3286.0538776970202</v>
      </c>
      <c r="X72" s="67">
        <v>30.353538213577998</v>
      </c>
      <c r="Y72" s="52">
        <v>3350.3842174265201</v>
      </c>
      <c r="Z72" s="67">
        <v>70.618055811359596</v>
      </c>
      <c r="AA72" s="71">
        <f t="shared" si="3"/>
        <v>0.99462845473651373</v>
      </c>
      <c r="AB72" s="48">
        <v>32.731290000000001</v>
      </c>
      <c r="AC72" s="52">
        <v>528.80486281608501</v>
      </c>
      <c r="AD72" s="53">
        <v>4.4274243838858798</v>
      </c>
      <c r="AE72" s="52">
        <v>1235.2735138401299</v>
      </c>
      <c r="AF72" s="53">
        <v>3.1495252267690699</v>
      </c>
      <c r="AG72" s="53">
        <v>0.630852795020865</v>
      </c>
      <c r="AH72" s="53">
        <v>0.484117110371236</v>
      </c>
      <c r="AI72" s="48">
        <v>20.300342299382599</v>
      </c>
      <c r="AJ72" s="53">
        <v>0.55246490227059997</v>
      </c>
      <c r="AK72" s="53">
        <v>5.0550747533522404</v>
      </c>
      <c r="AL72" s="53">
        <v>5.4026682967783399</v>
      </c>
      <c r="AM72" s="53">
        <v>0.72113418966199005</v>
      </c>
      <c r="AN72" s="48">
        <v>26.235744496227699</v>
      </c>
      <c r="AO72" s="53">
        <v>9.1229232048667903</v>
      </c>
      <c r="AP72" s="52">
        <v>108.960875661739</v>
      </c>
      <c r="AQ72" s="48">
        <v>42.658464580218798</v>
      </c>
      <c r="AR72" s="52">
        <v>190.68595685152201</v>
      </c>
      <c r="AS72" s="48">
        <v>38.043472837710297</v>
      </c>
      <c r="AT72" s="52">
        <v>330.02916800893797</v>
      </c>
      <c r="AU72" s="48">
        <v>64.797833231268697</v>
      </c>
      <c r="AV72" s="52">
        <v>10095.0230655544</v>
      </c>
      <c r="AW72" s="53">
        <v>1.4881382296090799</v>
      </c>
      <c r="AX72" s="64">
        <v>2.5352911347268699E-2</v>
      </c>
      <c r="AY72" s="64">
        <v>0</v>
      </c>
      <c r="AZ72" s="53">
        <v>0.30875929735560498</v>
      </c>
      <c r="BA72" s="64">
        <v>7.0407505082528796E-4</v>
      </c>
      <c r="BB72" s="48">
        <v>280.12541969293301</v>
      </c>
      <c r="BC72" s="52">
        <v>184.744149207547</v>
      </c>
      <c r="BD72" s="52">
        <v>297.42445141431801</v>
      </c>
    </row>
    <row r="73" spans="1:56" s="39" customFormat="1" ht="12" customHeight="1">
      <c r="A73" s="47" t="s">
        <v>23</v>
      </c>
      <c r="B73" s="39" t="s">
        <v>189</v>
      </c>
      <c r="D73" s="48">
        <v>163.28238641944199</v>
      </c>
      <c r="E73" s="48">
        <v>99.155527883046901</v>
      </c>
      <c r="F73" s="52">
        <v>179.21982251244</v>
      </c>
      <c r="G73" s="122">
        <f t="shared" si="2"/>
        <v>0.55326205825342967</v>
      </c>
      <c r="H73" s="53">
        <v>0.37758836358404002</v>
      </c>
      <c r="I73" s="54">
        <v>0.27131856734001603</v>
      </c>
      <c r="J73" s="54">
        <v>6.5378351081359001E-3</v>
      </c>
      <c r="K73" s="54">
        <v>24.5732129781385</v>
      </c>
      <c r="L73" s="54">
        <v>0.67983806946629999</v>
      </c>
      <c r="M73" s="54">
        <v>0.65659992650323695</v>
      </c>
      <c r="N73" s="54">
        <v>8.3468819302054808E-3</v>
      </c>
      <c r="O73" s="54">
        <v>0.45949406342618898</v>
      </c>
      <c r="P73" s="54">
        <v>0.17610342310663499</v>
      </c>
      <c r="Q73" s="54">
        <v>4.4003158609690002E-3</v>
      </c>
      <c r="R73" s="54">
        <v>1.31994450731471</v>
      </c>
      <c r="S73" s="52">
        <v>3313.8850000000002</v>
      </c>
      <c r="T73" s="67">
        <v>37.655000000000001</v>
      </c>
      <c r="U73" s="52">
        <v>3291.4103016894201</v>
      </c>
      <c r="V73" s="67">
        <v>27.0855653688422</v>
      </c>
      <c r="W73" s="52">
        <v>3253.93885457532</v>
      </c>
      <c r="X73" s="67">
        <v>32.528152930149602</v>
      </c>
      <c r="Y73" s="52">
        <v>3278.5606958682902</v>
      </c>
      <c r="Z73" s="67">
        <v>75.622761960092802</v>
      </c>
      <c r="AA73" s="71">
        <f t="shared" si="3"/>
        <v>0.98855020680501504</v>
      </c>
      <c r="AB73" s="48">
        <v>32.731290000000001</v>
      </c>
      <c r="AC73" s="52">
        <v>557.88442706994101</v>
      </c>
      <c r="AD73" s="53">
        <v>5.0874045581798102</v>
      </c>
      <c r="AE73" s="52">
        <v>1476.3139171652399</v>
      </c>
      <c r="AF73" s="53">
        <v>2.5219410634493702</v>
      </c>
      <c r="AG73" s="53">
        <v>0.60818235948035904</v>
      </c>
      <c r="AH73" s="53">
        <v>7.5235133383808703</v>
      </c>
      <c r="AI73" s="48">
        <v>23.855961038430198</v>
      </c>
      <c r="AJ73" s="53">
        <v>1.91438631309895</v>
      </c>
      <c r="AK73" s="48">
        <v>11.3321388457076</v>
      </c>
      <c r="AL73" s="53">
        <v>8.1586880682476899</v>
      </c>
      <c r="AM73" s="53">
        <v>1.6566866370778</v>
      </c>
      <c r="AN73" s="48">
        <v>39.3386845557485</v>
      </c>
      <c r="AO73" s="48">
        <v>12.411309588683499</v>
      </c>
      <c r="AP73" s="52">
        <v>144.16113695844601</v>
      </c>
      <c r="AQ73" s="48">
        <v>53.457428757142402</v>
      </c>
      <c r="AR73" s="52">
        <v>225.587397081864</v>
      </c>
      <c r="AS73" s="48">
        <v>42.599207958906</v>
      </c>
      <c r="AT73" s="52">
        <v>356.20701473915898</v>
      </c>
      <c r="AU73" s="48">
        <v>67.5043520126667</v>
      </c>
      <c r="AV73" s="52">
        <v>8152.8270991990503</v>
      </c>
      <c r="AW73" s="53">
        <v>1.0644566174519201</v>
      </c>
      <c r="AX73" s="64">
        <v>9.4016027593275098</v>
      </c>
      <c r="AY73" s="64">
        <v>0</v>
      </c>
      <c r="AZ73" s="53">
        <v>0.37758836358404002</v>
      </c>
      <c r="BA73" s="64">
        <v>2.3317195414489398E-3</v>
      </c>
      <c r="BB73" s="48">
        <v>163.28238641944199</v>
      </c>
      <c r="BC73" s="48">
        <v>99.155527883046901</v>
      </c>
      <c r="BD73" s="52">
        <v>179.21982251244</v>
      </c>
    </row>
    <row r="74" spans="1:56" s="39" customFormat="1" ht="12" customHeight="1">
      <c r="A74" s="47" t="s">
        <v>23</v>
      </c>
      <c r="B74" s="39" t="s">
        <v>190</v>
      </c>
      <c r="C74" s="39" t="s">
        <v>126</v>
      </c>
      <c r="D74" s="48">
        <v>259.28609857690998</v>
      </c>
      <c r="E74" s="52">
        <v>150.354866981356</v>
      </c>
      <c r="F74" s="52">
        <v>297.03838129487201</v>
      </c>
      <c r="G74" s="122">
        <f t="shared" si="2"/>
        <v>0.50617992976502824</v>
      </c>
      <c r="H74" s="53">
        <v>4.9933259094219196</v>
      </c>
      <c r="I74" s="54">
        <v>0.25985643551438498</v>
      </c>
      <c r="J74" s="54">
        <v>5.91885877293987E-3</v>
      </c>
      <c r="K74" s="54">
        <v>22.466616307116201</v>
      </c>
      <c r="L74" s="54">
        <v>0.605956646647554</v>
      </c>
      <c r="M74" s="54">
        <v>0.62688006232275295</v>
      </c>
      <c r="N74" s="54">
        <v>8.7009913284609008E-3</v>
      </c>
      <c r="O74" s="54">
        <v>0.51461257353616596</v>
      </c>
      <c r="P74" s="54">
        <v>0.16980949741276699</v>
      </c>
      <c r="Q74" s="54">
        <v>3.7317354025822101E-3</v>
      </c>
      <c r="R74" s="54">
        <v>1.4238392420236099</v>
      </c>
      <c r="S74" s="52">
        <v>3245.98</v>
      </c>
      <c r="T74" s="67">
        <v>35.799999999999997</v>
      </c>
      <c r="U74" s="52">
        <v>3204.1212656648399</v>
      </c>
      <c r="V74" s="67">
        <v>26.309666535911301</v>
      </c>
      <c r="W74" s="52">
        <v>3137.2384106171498</v>
      </c>
      <c r="X74" s="67">
        <v>34.518750395026998</v>
      </c>
      <c r="Y74" s="52">
        <v>3170.1043522683199</v>
      </c>
      <c r="Z74" s="67">
        <v>64.477753382399499</v>
      </c>
      <c r="AA74" s="71">
        <f t="shared" si="3"/>
        <v>0.97890583141093668</v>
      </c>
      <c r="AB74" s="48">
        <v>32.731290000000001</v>
      </c>
      <c r="AC74" s="52">
        <v>511.905684240357</v>
      </c>
      <c r="AD74" s="53">
        <v>6.6614757179484698</v>
      </c>
      <c r="AE74" s="52">
        <v>1623.4351260457199</v>
      </c>
      <c r="AF74" s="53">
        <v>2.3766667739418401</v>
      </c>
      <c r="AG74" s="53">
        <v>2.6220181150052899</v>
      </c>
      <c r="AH74" s="53">
        <v>2.3339468968164399</v>
      </c>
      <c r="AI74" s="48">
        <v>21.373215520907198</v>
      </c>
      <c r="AJ74" s="53">
        <v>1.2012911211661501</v>
      </c>
      <c r="AK74" s="53">
        <v>8.8736056510431798</v>
      </c>
      <c r="AL74" s="53">
        <v>9.1911699099699096</v>
      </c>
      <c r="AM74" s="53">
        <v>1.95132876784799</v>
      </c>
      <c r="AN74" s="48">
        <v>42.305974747230003</v>
      </c>
      <c r="AO74" s="48">
        <v>13.953519897928</v>
      </c>
      <c r="AP74" s="52">
        <v>158.171122684322</v>
      </c>
      <c r="AQ74" s="48">
        <v>59.541826904881603</v>
      </c>
      <c r="AR74" s="52">
        <v>247.87027224329699</v>
      </c>
      <c r="AS74" s="48">
        <v>46.178055460877303</v>
      </c>
      <c r="AT74" s="52">
        <v>381.57472393338497</v>
      </c>
      <c r="AU74" s="48">
        <v>71.304498011527201</v>
      </c>
      <c r="AV74" s="52">
        <v>8659.1127013778296</v>
      </c>
      <c r="AW74" s="53">
        <v>0.90390541518745604</v>
      </c>
      <c r="AX74" s="64">
        <v>0.31022651531947099</v>
      </c>
      <c r="AY74" s="64">
        <v>0</v>
      </c>
      <c r="AZ74" s="53">
        <v>4.9933259094219196</v>
      </c>
      <c r="BA74" s="64">
        <v>2.0629073292338498E-2</v>
      </c>
      <c r="BB74" s="48">
        <v>259.28609857690998</v>
      </c>
      <c r="BC74" s="52">
        <v>150.354866981356</v>
      </c>
      <c r="BD74" s="52">
        <v>297.03838129487201</v>
      </c>
    </row>
    <row r="75" spans="1:56" s="39" customFormat="1" ht="12" customHeight="1">
      <c r="A75" s="47" t="s">
        <v>23</v>
      </c>
      <c r="B75" s="39" t="s">
        <v>191</v>
      </c>
      <c r="D75" s="48">
        <v>158.180405175109</v>
      </c>
      <c r="E75" s="48">
        <v>86.417323756086603</v>
      </c>
      <c r="F75" s="52">
        <v>176.755050820223</v>
      </c>
      <c r="G75" s="122">
        <f t="shared" si="2"/>
        <v>0.48891006709608192</v>
      </c>
      <c r="H75" s="53">
        <v>0.75901535801887299</v>
      </c>
      <c r="I75" s="54">
        <v>0.27393655144890899</v>
      </c>
      <c r="J75" s="54">
        <v>5.9193098358998704E-3</v>
      </c>
      <c r="K75" s="54">
        <v>23.952063027035202</v>
      </c>
      <c r="L75" s="54">
        <v>0.55452205002585397</v>
      </c>
      <c r="M75" s="54">
        <v>0.63432508640734797</v>
      </c>
      <c r="N75" s="54">
        <v>5.2098392277080199E-3</v>
      </c>
      <c r="O75" s="54">
        <v>0.35476154682531602</v>
      </c>
      <c r="P75" s="54">
        <v>0.175689745390498</v>
      </c>
      <c r="Q75" s="54">
        <v>3.8219010608553901E-3</v>
      </c>
      <c r="R75" s="54">
        <v>1.4715938035451599</v>
      </c>
      <c r="S75" s="52">
        <v>3328.7</v>
      </c>
      <c r="T75" s="67">
        <v>33.642499999999899</v>
      </c>
      <c r="U75" s="52">
        <v>3266.4431184784598</v>
      </c>
      <c r="V75" s="67">
        <v>22.674415793228601</v>
      </c>
      <c r="W75" s="52">
        <v>3166.67157414546</v>
      </c>
      <c r="X75" s="67">
        <v>20.620658192067602</v>
      </c>
      <c r="Y75" s="52">
        <v>3271.4500802920302</v>
      </c>
      <c r="Z75" s="67">
        <v>65.705376320690206</v>
      </c>
      <c r="AA75" s="71">
        <f t="shared" si="3"/>
        <v>0.96898188541628338</v>
      </c>
      <c r="AB75" s="48">
        <v>32.731290000000001</v>
      </c>
      <c r="AC75" s="52">
        <v>478.50028185608801</v>
      </c>
      <c r="AD75" s="53">
        <v>4.5725381503093301</v>
      </c>
      <c r="AE75" s="52">
        <v>1308.46696347067</v>
      </c>
      <c r="AF75" s="53">
        <v>2.67191859305944</v>
      </c>
      <c r="AG75" s="53">
        <v>0.48840521475095899</v>
      </c>
      <c r="AH75" s="53">
        <v>3.5018167527480999E-2</v>
      </c>
      <c r="AI75" s="53">
        <v>8.7773124789210897</v>
      </c>
      <c r="AJ75" s="53">
        <v>0.12295233683989</v>
      </c>
      <c r="AK75" s="53">
        <v>2.2801963472388498</v>
      </c>
      <c r="AL75" s="53">
        <v>4.9976849594230996</v>
      </c>
      <c r="AM75" s="53">
        <v>0.58377565728843095</v>
      </c>
      <c r="AN75" s="48">
        <v>29.111487165991999</v>
      </c>
      <c r="AO75" s="48">
        <v>10.2821532402884</v>
      </c>
      <c r="AP75" s="52">
        <v>123.405193981455</v>
      </c>
      <c r="AQ75" s="48">
        <v>47.173869748593702</v>
      </c>
      <c r="AR75" s="52">
        <v>200.713233718049</v>
      </c>
      <c r="AS75" s="48">
        <v>38.309715856121102</v>
      </c>
      <c r="AT75" s="52">
        <v>322.82042222207502</v>
      </c>
      <c r="AU75" s="48">
        <v>61.856417173390803</v>
      </c>
      <c r="AV75" s="52">
        <v>8254.1580639412205</v>
      </c>
      <c r="AW75" s="53">
        <v>1.03385173977303</v>
      </c>
      <c r="AX75" s="64">
        <v>0.10183537164060499</v>
      </c>
      <c r="AY75" s="64">
        <v>0</v>
      </c>
      <c r="AZ75" s="53">
        <v>0.75901535801887299</v>
      </c>
      <c r="BA75" s="64">
        <v>7.2601000627464003E-3</v>
      </c>
      <c r="BB75" s="48">
        <v>158.180405175109</v>
      </c>
      <c r="BC75" s="48">
        <v>86.417323756086603</v>
      </c>
      <c r="BD75" s="52">
        <v>176.755050820223</v>
      </c>
    </row>
    <row r="76" spans="1:56" s="39" customFormat="1" ht="12" customHeight="1">
      <c r="A76" s="47" t="s">
        <v>23</v>
      </c>
      <c r="B76" s="39" t="s">
        <v>192</v>
      </c>
      <c r="C76" s="39" t="s">
        <v>126</v>
      </c>
      <c r="D76" s="48">
        <v>290.736282995485</v>
      </c>
      <c r="E76" s="52">
        <v>216.62610899458801</v>
      </c>
      <c r="F76" s="52">
        <v>580.95227554208702</v>
      </c>
      <c r="G76" s="122">
        <f t="shared" si="2"/>
        <v>0.37288107494278083</v>
      </c>
      <c r="H76" s="53">
        <v>8.1203784805244101</v>
      </c>
      <c r="I76" s="54">
        <v>0.228570309072684</v>
      </c>
      <c r="J76" s="54">
        <v>5.3852007645539303E-3</v>
      </c>
      <c r="K76" s="54">
        <v>12.9748799951037</v>
      </c>
      <c r="L76" s="54">
        <v>0.65859670678189597</v>
      </c>
      <c r="M76" s="54">
        <v>0.39720858201803499</v>
      </c>
      <c r="N76" s="54">
        <v>1.48914141257865E-2</v>
      </c>
      <c r="O76" s="54">
        <v>0.73858607123879405</v>
      </c>
      <c r="P76" s="54">
        <v>0.109522959557599</v>
      </c>
      <c r="Q76" s="54">
        <v>3.1338718465023798E-3</v>
      </c>
      <c r="R76" s="54">
        <v>1.9540899475526801</v>
      </c>
      <c r="S76" s="52">
        <v>3042.29</v>
      </c>
      <c r="T76" s="67">
        <v>36.882500000000199</v>
      </c>
      <c r="U76" s="52">
        <v>2677.8305649508702</v>
      </c>
      <c r="V76" s="67">
        <v>47.886774931678502</v>
      </c>
      <c r="W76" s="52">
        <v>2156.17325530478</v>
      </c>
      <c r="X76" s="67">
        <v>68.7155862236161</v>
      </c>
      <c r="Y76" s="52">
        <v>2100.6600663763902</v>
      </c>
      <c r="Z76" s="67">
        <v>57.089880823549301</v>
      </c>
      <c r="AA76" s="71">
        <f t="shared" si="3"/>
        <v>0.78417174290999958</v>
      </c>
      <c r="AB76" s="48">
        <v>32.731290000000001</v>
      </c>
      <c r="AC76" s="52">
        <v>455.13397439707802</v>
      </c>
      <c r="AD76" s="48">
        <v>69.985214320578706</v>
      </c>
      <c r="AE76" s="52">
        <v>1656.03067881419</v>
      </c>
      <c r="AF76" s="53">
        <v>4.0344971515285897</v>
      </c>
      <c r="AG76" s="53">
        <v>24.2203287914129</v>
      </c>
      <c r="AH76" s="53">
        <v>2.0841843748919602</v>
      </c>
      <c r="AI76" s="48">
        <v>33.462110041843097</v>
      </c>
      <c r="AJ76" s="53">
        <v>2.4094896719091801</v>
      </c>
      <c r="AK76" s="48">
        <v>16.577119618127199</v>
      </c>
      <c r="AL76" s="48">
        <v>16.0147601426725</v>
      </c>
      <c r="AM76" s="48">
        <v>12.0106157509965</v>
      </c>
      <c r="AN76" s="48">
        <v>51.374589601843802</v>
      </c>
      <c r="AO76" s="48">
        <v>14.86959096204</v>
      </c>
      <c r="AP76" s="52">
        <v>160.37202293989799</v>
      </c>
      <c r="AQ76" s="48">
        <v>58.385623329972603</v>
      </c>
      <c r="AR76" s="52">
        <v>251.24480890551101</v>
      </c>
      <c r="AS76" s="48">
        <v>50.208320350789499</v>
      </c>
      <c r="AT76" s="52">
        <v>442.15390468614402</v>
      </c>
      <c r="AU76" s="48">
        <v>87.573409784652995</v>
      </c>
      <c r="AV76" s="52">
        <v>10977.2146759636</v>
      </c>
      <c r="AW76" s="53">
        <v>1.45601065365161</v>
      </c>
      <c r="AX76" s="64">
        <v>1.68682839061437</v>
      </c>
      <c r="AY76" s="64">
        <v>0</v>
      </c>
      <c r="AZ76" s="53">
        <v>8.1203784805244101</v>
      </c>
      <c r="BA76" s="64">
        <v>0.117264699511854</v>
      </c>
      <c r="BB76" s="48">
        <v>290.736282995485</v>
      </c>
      <c r="BC76" s="52">
        <v>216.62610899458801</v>
      </c>
      <c r="BD76" s="52">
        <v>580.95227554208702</v>
      </c>
    </row>
    <row r="77" spans="1:56" s="39" customFormat="1" ht="12" customHeight="1">
      <c r="A77" s="47" t="s">
        <v>23</v>
      </c>
      <c r="B77" s="39" t="s">
        <v>193</v>
      </c>
      <c r="C77" s="39" t="s">
        <v>126</v>
      </c>
      <c r="D77" s="48">
        <v>343.41195368538803</v>
      </c>
      <c r="E77" s="52">
        <v>291.29769853584298</v>
      </c>
      <c r="F77" s="52">
        <v>537.750445259343</v>
      </c>
      <c r="G77" s="122">
        <f t="shared" si="2"/>
        <v>0.54169680583966362</v>
      </c>
      <c r="H77" s="53">
        <v>4.2796398127441604</v>
      </c>
      <c r="I77" s="54">
        <v>0.24955240184420899</v>
      </c>
      <c r="J77" s="54">
        <v>4.6481147885938604E-3</v>
      </c>
      <c r="K77" s="54">
        <v>17.218691044007301</v>
      </c>
      <c r="L77" s="54">
        <v>0.62753824582790996</v>
      </c>
      <c r="M77" s="54">
        <v>0.492977009285965</v>
      </c>
      <c r="N77" s="54">
        <v>1.26017969890101E-2</v>
      </c>
      <c r="O77" s="54">
        <v>0.70139997706830604</v>
      </c>
      <c r="P77" s="54">
        <v>0.136082614746731</v>
      </c>
      <c r="Q77" s="54">
        <v>4.2095337480728603E-3</v>
      </c>
      <c r="R77" s="54">
        <v>1.3789721504938499</v>
      </c>
      <c r="S77" s="52">
        <v>3183.335</v>
      </c>
      <c r="T77" s="67">
        <v>29.625</v>
      </c>
      <c r="U77" s="52">
        <v>2947.0965604295802</v>
      </c>
      <c r="V77" s="67">
        <v>35.031982445790298</v>
      </c>
      <c r="W77" s="52">
        <v>2583.54307451265</v>
      </c>
      <c r="X77" s="67">
        <v>54.430242380615098</v>
      </c>
      <c r="Y77" s="52">
        <v>2578.7982193746898</v>
      </c>
      <c r="Z77" s="67">
        <v>74.892491497959497</v>
      </c>
      <c r="AA77" s="71">
        <f t="shared" si="3"/>
        <v>0.86853112481962402</v>
      </c>
      <c r="AB77" s="48">
        <v>32.731290000000001</v>
      </c>
      <c r="AC77" s="52">
        <v>608.38255225478304</v>
      </c>
      <c r="AD77" s="48">
        <v>18.857064698919501</v>
      </c>
      <c r="AE77" s="52">
        <v>1563.82080816588</v>
      </c>
      <c r="AF77" s="53">
        <v>4.93063164598074</v>
      </c>
      <c r="AG77" s="53">
        <v>20.7521105633117</v>
      </c>
      <c r="AH77" s="53">
        <v>3.4407977265537002</v>
      </c>
      <c r="AI77" s="48">
        <v>37.536320350115901</v>
      </c>
      <c r="AJ77" s="53">
        <v>2.13286057850511</v>
      </c>
      <c r="AK77" s="48">
        <v>15.6995098839442</v>
      </c>
      <c r="AL77" s="48">
        <v>13.936071210744601</v>
      </c>
      <c r="AM77" s="53">
        <v>3.54953751731796</v>
      </c>
      <c r="AN77" s="48">
        <v>51.499814427283802</v>
      </c>
      <c r="AO77" s="48">
        <v>14.754004391466101</v>
      </c>
      <c r="AP77" s="52">
        <v>156.081097598886</v>
      </c>
      <c r="AQ77" s="48">
        <v>56.1445360858811</v>
      </c>
      <c r="AR77" s="52">
        <v>229.79931299614</v>
      </c>
      <c r="AS77" s="48">
        <v>43.771703085074599</v>
      </c>
      <c r="AT77" s="52">
        <v>354.23102846384802</v>
      </c>
      <c r="AU77" s="48">
        <v>64.025938926524006</v>
      </c>
      <c r="AV77" s="52">
        <v>9784.6409455735102</v>
      </c>
      <c r="AW77" s="53">
        <v>2.0181626487874902</v>
      </c>
      <c r="AX77" s="64">
        <v>0.86555833912167202</v>
      </c>
      <c r="AY77" s="64">
        <v>0</v>
      </c>
      <c r="AZ77" s="53">
        <v>4.2796398127441604</v>
      </c>
      <c r="BA77" s="64">
        <v>3.2757779749893301E-2</v>
      </c>
      <c r="BB77" s="48">
        <v>343.41195368538803</v>
      </c>
      <c r="BC77" s="52">
        <v>291.29769853584298</v>
      </c>
      <c r="BD77" s="52">
        <v>537.750445259343</v>
      </c>
    </row>
    <row r="78" spans="1:56" s="39" customFormat="1" ht="12" customHeight="1">
      <c r="A78" s="47" t="s">
        <v>23</v>
      </c>
      <c r="B78" s="39" t="s">
        <v>194</v>
      </c>
      <c r="C78" s="39" t="s">
        <v>126</v>
      </c>
      <c r="D78" s="48">
        <v>294.03010457938302</v>
      </c>
      <c r="E78" s="52">
        <v>301.845277883834</v>
      </c>
      <c r="F78" s="52">
        <v>797.328982757208</v>
      </c>
      <c r="G78" s="122">
        <f t="shared" si="2"/>
        <v>0.37857055796471395</v>
      </c>
      <c r="H78" s="48">
        <v>39.805095987071297</v>
      </c>
      <c r="I78" s="54">
        <v>0.197275631790195</v>
      </c>
      <c r="J78" s="54">
        <v>5.1449093555015497E-3</v>
      </c>
      <c r="K78" s="54">
        <v>7.03979360260211</v>
      </c>
      <c r="L78" s="54">
        <v>0.23663930364385399</v>
      </c>
      <c r="M78" s="54">
        <v>0.25638273333321498</v>
      </c>
      <c r="N78" s="54">
        <v>5.0141206016333702E-3</v>
      </c>
      <c r="O78" s="54">
        <v>0.58180714448672699</v>
      </c>
      <c r="P78" s="54">
        <v>7.7743107869338898E-2</v>
      </c>
      <c r="Q78" s="54">
        <v>3.2348129557320101E-3</v>
      </c>
      <c r="R78" s="54">
        <v>2.0453101494336798</v>
      </c>
      <c r="S78" s="52">
        <v>2805.5549999999998</v>
      </c>
      <c r="T78" s="67">
        <v>42.895000000000003</v>
      </c>
      <c r="U78" s="52">
        <v>2116.4679002317298</v>
      </c>
      <c r="V78" s="67">
        <v>29.9209147896165</v>
      </c>
      <c r="W78" s="52">
        <v>1471.30859383397</v>
      </c>
      <c r="X78" s="67">
        <v>25.739376177402701</v>
      </c>
      <c r="Y78" s="52">
        <v>1513.27215158028</v>
      </c>
      <c r="Z78" s="67">
        <v>60.666384975459898</v>
      </c>
      <c r="AA78" s="71">
        <f t="shared" si="3"/>
        <v>0.64035702476735967</v>
      </c>
      <c r="AB78" s="48">
        <v>32.731290000000001</v>
      </c>
      <c r="AC78" s="52">
        <v>450.89334254360301</v>
      </c>
      <c r="AD78" s="48">
        <v>50.100054911773498</v>
      </c>
      <c r="AE78" s="52">
        <v>1248.7561226022499</v>
      </c>
      <c r="AF78" s="53">
        <v>5.0936230028047902</v>
      </c>
      <c r="AG78" s="53">
        <v>59.191163590601199</v>
      </c>
      <c r="AH78" s="53">
        <v>5.1142986883334602</v>
      </c>
      <c r="AI78" s="48">
        <v>60.185247133791002</v>
      </c>
      <c r="AJ78" s="53">
        <v>5.5082927617556603</v>
      </c>
      <c r="AK78" s="48">
        <v>36.493207909683903</v>
      </c>
      <c r="AL78" s="48">
        <v>34.0077169595477</v>
      </c>
      <c r="AM78" s="48">
        <v>18.4110159870602</v>
      </c>
      <c r="AN78" s="48">
        <v>74.840749115235695</v>
      </c>
      <c r="AO78" s="48">
        <v>16.5724958949775</v>
      </c>
      <c r="AP78" s="52">
        <v>140.45753659916701</v>
      </c>
      <c r="AQ78" s="48">
        <v>42.768405905321103</v>
      </c>
      <c r="AR78" s="52">
        <v>170.36971966858599</v>
      </c>
      <c r="AS78" s="48">
        <v>35.7177645560839</v>
      </c>
      <c r="AT78" s="52">
        <v>334.23253752378798</v>
      </c>
      <c r="AU78" s="48">
        <v>71.272367802846304</v>
      </c>
      <c r="AV78" s="52">
        <v>11347.799726741099</v>
      </c>
      <c r="AW78" s="53">
        <v>6.0012037441672401</v>
      </c>
      <c r="AX78" s="64">
        <v>2.8459436453209701</v>
      </c>
      <c r="AY78" s="64">
        <v>0</v>
      </c>
      <c r="AZ78" s="48">
        <v>39.805095987071297</v>
      </c>
      <c r="BA78" s="64">
        <v>7.6171633737154895E-2</v>
      </c>
      <c r="BB78" s="48">
        <v>294.03010457938302</v>
      </c>
      <c r="BC78" s="52">
        <v>301.845277883834</v>
      </c>
      <c r="BD78" s="52">
        <v>797.328982757208</v>
      </c>
    </row>
    <row r="79" spans="1:56" s="39" customFormat="1" ht="12" customHeight="1">
      <c r="A79" s="47" t="s">
        <v>23</v>
      </c>
      <c r="B79" s="39" t="s">
        <v>195</v>
      </c>
      <c r="C79" s="39" t="s">
        <v>126</v>
      </c>
      <c r="D79" s="48">
        <v>262.94085875033198</v>
      </c>
      <c r="E79" s="52">
        <v>221.95362102040301</v>
      </c>
      <c r="F79" s="52">
        <v>296.94881316301002</v>
      </c>
      <c r="G79" s="122">
        <f t="shared" si="2"/>
        <v>0.74744740905417117</v>
      </c>
      <c r="H79" s="53">
        <v>4.0241155013477297</v>
      </c>
      <c r="I79" s="54">
        <v>0.26588564147181998</v>
      </c>
      <c r="J79" s="54">
        <v>4.2738651575976797E-3</v>
      </c>
      <c r="K79" s="54">
        <v>21.779495834962798</v>
      </c>
      <c r="L79" s="54">
        <v>0.42886622827902499</v>
      </c>
      <c r="M79" s="54">
        <v>0.59455863670118603</v>
      </c>
      <c r="N79" s="54">
        <v>7.4529721173203396E-3</v>
      </c>
      <c r="O79" s="54">
        <v>0.63659141595295898</v>
      </c>
      <c r="P79" s="54">
        <v>0.17300195074136701</v>
      </c>
      <c r="Q79" s="54">
        <v>2.7469140946949598E-3</v>
      </c>
      <c r="R79" s="54">
        <v>0.95651686999389096</v>
      </c>
      <c r="S79" s="52">
        <v>3283.33</v>
      </c>
      <c r="T79" s="67">
        <v>25.312499999999801</v>
      </c>
      <c r="U79" s="52">
        <v>3173.9461094161902</v>
      </c>
      <c r="V79" s="67">
        <v>19.2379190914465</v>
      </c>
      <c r="W79" s="52">
        <v>3007.87739656332</v>
      </c>
      <c r="X79" s="67">
        <v>30.174308015457601</v>
      </c>
      <c r="Y79" s="52">
        <v>3225.1891400924501</v>
      </c>
      <c r="Z79" s="67">
        <v>47.332619555377597</v>
      </c>
      <c r="AA79" s="71">
        <f t="shared" si="3"/>
        <v>0.94627193329209858</v>
      </c>
      <c r="AB79" s="48">
        <v>32.731290000000001</v>
      </c>
      <c r="AC79" s="52">
        <v>546.24867384852303</v>
      </c>
      <c r="AD79" s="53">
        <v>7.5506398376231303</v>
      </c>
      <c r="AE79" s="52">
        <v>2717.62779770723</v>
      </c>
      <c r="AF79" s="48">
        <v>10.157679975632099</v>
      </c>
      <c r="AG79" s="53">
        <v>2.4898887826399898</v>
      </c>
      <c r="AH79" s="53">
        <v>0.97236109296747697</v>
      </c>
      <c r="AI79" s="48">
        <v>18.111663565490101</v>
      </c>
      <c r="AJ79" s="53">
        <v>0.75411845186562598</v>
      </c>
      <c r="AK79" s="53">
        <v>6.7887597587664201</v>
      </c>
      <c r="AL79" s="53">
        <v>8.4974573523145391</v>
      </c>
      <c r="AM79" s="53">
        <v>2.5383761714594999</v>
      </c>
      <c r="AN79" s="48">
        <v>58.784522427978402</v>
      </c>
      <c r="AO79" s="48">
        <v>21.284500551541498</v>
      </c>
      <c r="AP79" s="52">
        <v>266.28339224511399</v>
      </c>
      <c r="AQ79" s="52">
        <v>102.536893773497</v>
      </c>
      <c r="AR79" s="52">
        <v>430.84903905338302</v>
      </c>
      <c r="AS79" s="48">
        <v>83.282329366143202</v>
      </c>
      <c r="AT79" s="52">
        <v>687.05620219147204</v>
      </c>
      <c r="AU79" s="52">
        <v>128.156110591562</v>
      </c>
      <c r="AV79" s="52">
        <v>8490.9805612236196</v>
      </c>
      <c r="AW79" s="53">
        <v>3.7844987199031199</v>
      </c>
      <c r="AX79" s="64">
        <v>0.42947594327472399</v>
      </c>
      <c r="AY79" s="64">
        <v>0</v>
      </c>
      <c r="AZ79" s="53">
        <v>4.0241155013477297</v>
      </c>
      <c r="BA79" s="64">
        <v>1.08719830540957E-2</v>
      </c>
      <c r="BB79" s="48">
        <v>262.94085875033198</v>
      </c>
      <c r="BC79" s="52">
        <v>221.95362102040301</v>
      </c>
      <c r="BD79" s="52">
        <v>296.94881316301002</v>
      </c>
    </row>
    <row r="80" spans="1:56" s="39" customFormat="1" ht="12" customHeight="1">
      <c r="A80" s="47" t="s">
        <v>23</v>
      </c>
      <c r="B80" s="39" t="s">
        <v>196</v>
      </c>
      <c r="C80" s="39" t="s">
        <v>126</v>
      </c>
      <c r="D80" s="48">
        <v>422.39192192043402</v>
      </c>
      <c r="E80" s="52">
        <v>272.03247255995097</v>
      </c>
      <c r="F80" s="52">
        <v>531.72776292279696</v>
      </c>
      <c r="G80" s="122">
        <f t="shared" si="2"/>
        <v>0.511601032574724</v>
      </c>
      <c r="H80" s="53">
        <v>1.75594129487126</v>
      </c>
      <c r="I80" s="54">
        <v>0.26365083974105602</v>
      </c>
      <c r="J80" s="54">
        <v>4.0962669985384502E-3</v>
      </c>
      <c r="K80" s="54">
        <v>20.632227267167298</v>
      </c>
      <c r="L80" s="54">
        <v>0.368060581326217</v>
      </c>
      <c r="M80" s="54">
        <v>0.56682157629006502</v>
      </c>
      <c r="N80" s="54">
        <v>4.4194306993165702E-3</v>
      </c>
      <c r="O80" s="54">
        <v>0.43706573484198402</v>
      </c>
      <c r="P80" s="54">
        <v>0.13846535856221101</v>
      </c>
      <c r="Q80" s="54">
        <v>2.4427484384381198E-3</v>
      </c>
      <c r="R80" s="54">
        <v>1.4103011506532199</v>
      </c>
      <c r="S80" s="52">
        <v>3268.82</v>
      </c>
      <c r="T80" s="67">
        <v>25.157499999999999</v>
      </c>
      <c r="U80" s="52">
        <v>3121.47454522916</v>
      </c>
      <c r="V80" s="67">
        <v>17.406096534735699</v>
      </c>
      <c r="W80" s="52">
        <v>2894.75644572292</v>
      </c>
      <c r="X80" s="67">
        <v>18.2500451863155</v>
      </c>
      <c r="Y80" s="52">
        <v>2621.1456047849802</v>
      </c>
      <c r="Z80" s="67">
        <v>43.368372156150301</v>
      </c>
      <c r="AA80" s="71">
        <f t="shared" si="3"/>
        <v>0.92463118525628241</v>
      </c>
      <c r="AB80" s="48">
        <v>32.731290000000001</v>
      </c>
      <c r="AC80" s="52">
        <v>668.94709081052304</v>
      </c>
      <c r="AD80" s="53">
        <v>5.6508400669446699</v>
      </c>
      <c r="AE80" s="52">
        <v>1468.77988327921</v>
      </c>
      <c r="AF80" s="53">
        <v>6.4658084857610998</v>
      </c>
      <c r="AG80" s="53">
        <v>2.9462627650652702</v>
      </c>
      <c r="AH80" s="53">
        <v>2.3336677083596098</v>
      </c>
      <c r="AI80" s="48">
        <v>27.689768669680799</v>
      </c>
      <c r="AJ80" s="53">
        <v>1.0772629443853301</v>
      </c>
      <c r="AK80" s="53">
        <v>7.9116529451154101</v>
      </c>
      <c r="AL80" s="53">
        <v>8.9386772975935305</v>
      </c>
      <c r="AM80" s="53">
        <v>1.74305166527704</v>
      </c>
      <c r="AN80" s="48">
        <v>37.475811597500901</v>
      </c>
      <c r="AO80" s="48">
        <v>12.8035486473907</v>
      </c>
      <c r="AP80" s="52">
        <v>141.51947064110701</v>
      </c>
      <c r="AQ80" s="48">
        <v>53.283346758855899</v>
      </c>
      <c r="AR80" s="52">
        <v>221.60215742846</v>
      </c>
      <c r="AS80" s="48">
        <v>42.178182524787701</v>
      </c>
      <c r="AT80" s="52">
        <v>350.13675707254902</v>
      </c>
      <c r="AU80" s="48">
        <v>65.400269133352893</v>
      </c>
      <c r="AV80" s="52">
        <v>10034.2182318459</v>
      </c>
      <c r="AW80" s="53">
        <v>3.2181690883019698</v>
      </c>
      <c r="AX80" s="64">
        <v>0.51984667990924005</v>
      </c>
      <c r="AY80" s="64">
        <v>0</v>
      </c>
      <c r="AZ80" s="53">
        <v>1.75594129487126</v>
      </c>
      <c r="BA80" s="64">
        <v>1.1050236432251699E-2</v>
      </c>
      <c r="BB80" s="48">
        <v>422.39192192043402</v>
      </c>
      <c r="BC80" s="52">
        <v>272.03247255995097</v>
      </c>
      <c r="BD80" s="52">
        <v>531.72776292279696</v>
      </c>
    </row>
    <row r="81" spans="1:56" s="41" customFormat="1" ht="12" customHeight="1">
      <c r="A81" s="47" t="s">
        <v>23</v>
      </c>
      <c r="B81" s="41" t="s">
        <v>197</v>
      </c>
      <c r="C81" s="41" t="s">
        <v>198</v>
      </c>
      <c r="D81" s="60">
        <v>339.05240171860902</v>
      </c>
      <c r="E81" s="60">
        <v>653.84046932816398</v>
      </c>
      <c r="F81" s="60">
        <v>891.91398035063798</v>
      </c>
      <c r="G81" s="122">
        <f t="shared" si="2"/>
        <v>0.73307570430852509</v>
      </c>
      <c r="H81" s="50">
        <v>18.828896961660998</v>
      </c>
      <c r="I81" s="62">
        <v>0.17349997381920501</v>
      </c>
      <c r="J81" s="62">
        <v>3.0188325270789E-3</v>
      </c>
      <c r="K81" s="62">
        <v>6.2573378986089496</v>
      </c>
      <c r="L81" s="62">
        <v>0.112851419835894</v>
      </c>
      <c r="M81" s="62">
        <v>0.26020693560784902</v>
      </c>
      <c r="N81" s="62">
        <v>2.03125444266835E-3</v>
      </c>
      <c r="O81" s="62">
        <v>0.43284064966161001</v>
      </c>
      <c r="P81" s="62">
        <v>7.2830535927407999E-2</v>
      </c>
      <c r="Q81" s="62">
        <v>1.76849701946786E-3</v>
      </c>
      <c r="R81" s="62">
        <v>1.0340899254682001</v>
      </c>
      <c r="S81" s="60">
        <v>2591.665</v>
      </c>
      <c r="T81" s="69">
        <v>29.014999999999901</v>
      </c>
      <c r="U81" s="60">
        <v>2012.50249374072</v>
      </c>
      <c r="V81" s="69">
        <v>15.8483760363341</v>
      </c>
      <c r="W81" s="60">
        <v>1490.90051305569</v>
      </c>
      <c r="X81" s="69">
        <v>10.4217442411001</v>
      </c>
      <c r="Y81" s="60">
        <v>1420.9300928861201</v>
      </c>
      <c r="Z81" s="69">
        <v>33.318650506239301</v>
      </c>
      <c r="AA81" s="71">
        <f t="shared" si="3"/>
        <v>0.70223124221041622</v>
      </c>
      <c r="AB81" s="50">
        <v>32.731290000000001</v>
      </c>
      <c r="AC81" s="60">
        <v>471.39009332906198</v>
      </c>
      <c r="AD81" s="50">
        <v>20.4093858703257</v>
      </c>
      <c r="AE81" s="60">
        <v>1505.77408498297</v>
      </c>
      <c r="AF81" s="61">
        <v>3.3817229916927301</v>
      </c>
      <c r="AG81" s="61">
        <v>59.552582432982199</v>
      </c>
      <c r="AH81" s="61">
        <v>2.3909984755142601</v>
      </c>
      <c r="AI81" s="50">
        <v>74.416664745656504</v>
      </c>
      <c r="AJ81" s="61">
        <v>2.7462094291656798</v>
      </c>
      <c r="AK81" s="50">
        <v>18.684714413145699</v>
      </c>
      <c r="AL81" s="50">
        <v>21.702023265471599</v>
      </c>
      <c r="AM81" s="50">
        <v>19.5856379928146</v>
      </c>
      <c r="AN81" s="50">
        <v>80.085921141397407</v>
      </c>
      <c r="AO81" s="50">
        <v>19.485278449548499</v>
      </c>
      <c r="AP81" s="60">
        <v>177.38070277019699</v>
      </c>
      <c r="AQ81" s="50">
        <v>52.407542533390298</v>
      </c>
      <c r="AR81" s="60">
        <v>195.65476461378699</v>
      </c>
      <c r="AS81" s="50">
        <v>35.4165205751206</v>
      </c>
      <c r="AT81" s="60">
        <v>288.36554197539903</v>
      </c>
      <c r="AU81" s="50">
        <v>52.474722941825</v>
      </c>
      <c r="AV81" s="60">
        <v>9122.5352868054397</v>
      </c>
      <c r="AW81" s="61">
        <v>0.76106298178171605</v>
      </c>
      <c r="AX81" s="65">
        <v>4.3211035315036499</v>
      </c>
      <c r="AY81" s="65">
        <v>0</v>
      </c>
      <c r="AZ81" s="50">
        <v>18.828896961660998</v>
      </c>
      <c r="BA81" s="65">
        <v>4.6354328960270003E-2</v>
      </c>
      <c r="BB81" s="60">
        <v>339.05240171860902</v>
      </c>
      <c r="BC81" s="60">
        <v>653.84046932816398</v>
      </c>
      <c r="BD81" s="60">
        <v>891.91398035063798</v>
      </c>
    </row>
    <row r="82" spans="1:56" s="41" customFormat="1" ht="12.95">
      <c r="A82" s="47" t="s">
        <v>23</v>
      </c>
      <c r="B82" s="41" t="s">
        <v>199</v>
      </c>
      <c r="C82" s="41" t="s">
        <v>135</v>
      </c>
      <c r="D82" s="60">
        <v>310.34122080522599</v>
      </c>
      <c r="E82" s="60">
        <v>338.66637058477198</v>
      </c>
      <c r="F82" s="60">
        <v>339.482349585252</v>
      </c>
      <c r="G82" s="122">
        <f t="shared" si="2"/>
        <v>0.99759640228283764</v>
      </c>
      <c r="H82" s="61">
        <v>0.127997896900166</v>
      </c>
      <c r="I82" s="62">
        <v>0.23548132812887199</v>
      </c>
      <c r="J82" s="62">
        <v>4.4494217541538204E-3</v>
      </c>
      <c r="K82" s="62">
        <v>19.896677661282101</v>
      </c>
      <c r="L82" s="62">
        <v>0.37897471162271401</v>
      </c>
      <c r="M82" s="62">
        <v>0.61030406729889197</v>
      </c>
      <c r="N82" s="62">
        <v>5.1750030300708504E-3</v>
      </c>
      <c r="O82" s="62">
        <v>0.44517900774505098</v>
      </c>
      <c r="P82" s="62">
        <v>0.163226842891561</v>
      </c>
      <c r="Q82" s="62">
        <v>3.3928925427503202E-3</v>
      </c>
      <c r="R82" s="62">
        <v>0.72281155659726004</v>
      </c>
      <c r="S82" s="60">
        <v>3089.8150000000001</v>
      </c>
      <c r="T82" s="69">
        <v>30.25</v>
      </c>
      <c r="U82" s="60">
        <v>3086.3483604200601</v>
      </c>
      <c r="V82" s="69">
        <v>18.533835443163099</v>
      </c>
      <c r="W82" s="60">
        <v>3071.22013112381</v>
      </c>
      <c r="X82" s="69">
        <v>20.782993776844702</v>
      </c>
      <c r="Y82" s="60">
        <v>3056.0465749282498</v>
      </c>
      <c r="Z82" s="69">
        <v>58.954897252957601</v>
      </c>
      <c r="AA82" s="71">
        <f t="shared" si="3"/>
        <v>0.99508629767836909</v>
      </c>
      <c r="AB82" s="50">
        <v>32.731290000000001</v>
      </c>
      <c r="AC82" s="60">
        <v>575.724299480014</v>
      </c>
      <c r="AD82" s="50">
        <v>19.637271743690199</v>
      </c>
      <c r="AE82" s="60">
        <v>824.79553654608401</v>
      </c>
      <c r="AF82" s="61">
        <v>0.85887819734844695</v>
      </c>
      <c r="AG82" s="61">
        <v>0.29040462583020399</v>
      </c>
      <c r="AH82" s="61">
        <v>0.322437595894007</v>
      </c>
      <c r="AI82" s="50">
        <v>58.559421727122299</v>
      </c>
      <c r="AJ82" s="61">
        <v>0.67730687676474399</v>
      </c>
      <c r="AK82" s="61">
        <v>6.9730073046106096</v>
      </c>
      <c r="AL82" s="50">
        <v>10.6289642929318</v>
      </c>
      <c r="AM82" s="61">
        <v>5.5814986121934096</v>
      </c>
      <c r="AN82" s="50">
        <v>41.634323421488801</v>
      </c>
      <c r="AO82" s="61">
        <v>9.8633166437400508</v>
      </c>
      <c r="AP82" s="50">
        <v>89.6252416974732</v>
      </c>
      <c r="AQ82" s="50">
        <v>27.9945778514744</v>
      </c>
      <c r="AR82" s="60">
        <v>108.660661171313</v>
      </c>
      <c r="AS82" s="50">
        <v>19.9960099793918</v>
      </c>
      <c r="AT82" s="60">
        <v>166.46491260170501</v>
      </c>
      <c r="AU82" s="50">
        <v>32.389184683741</v>
      </c>
      <c r="AV82" s="60">
        <v>6504.1061477843105</v>
      </c>
      <c r="AW82" s="61">
        <v>0.16046510635359101</v>
      </c>
      <c r="AX82" s="65">
        <v>5.9366925093025998E-2</v>
      </c>
      <c r="AY82" s="65">
        <v>0</v>
      </c>
      <c r="AZ82" s="61">
        <v>0.127997896900166</v>
      </c>
      <c r="BA82" s="65">
        <v>0</v>
      </c>
      <c r="BB82" s="60">
        <v>310.34122080522599</v>
      </c>
      <c r="BC82" s="60">
        <v>338.66637058477198</v>
      </c>
      <c r="BD82" s="60">
        <v>339.482349585252</v>
      </c>
    </row>
    <row r="83" spans="1:56" s="41" customFormat="1" ht="12" customHeight="1">
      <c r="A83" s="47" t="s">
        <v>23</v>
      </c>
      <c r="B83" s="41" t="s">
        <v>200</v>
      </c>
      <c r="C83" s="41" t="s">
        <v>126</v>
      </c>
      <c r="D83" s="50">
        <v>61.074835714715803</v>
      </c>
      <c r="E83" s="60">
        <v>325.56661353576101</v>
      </c>
      <c r="F83" s="60">
        <v>834.031958940815</v>
      </c>
      <c r="G83" s="122">
        <f t="shared" si="2"/>
        <v>0.39035268378590277</v>
      </c>
      <c r="H83" s="61">
        <v>4.9133507903874403</v>
      </c>
      <c r="I83" s="62">
        <v>5.4791675526119799E-2</v>
      </c>
      <c r="J83" s="62">
        <v>1.8420244696645499E-3</v>
      </c>
      <c r="K83" s="62">
        <v>0.43743264648595098</v>
      </c>
      <c r="L83" s="62">
        <v>1.1769261925305899E-2</v>
      </c>
      <c r="M83" s="62">
        <v>5.8896947402593998E-2</v>
      </c>
      <c r="N83" s="62">
        <v>7.4245243772684197E-4</v>
      </c>
      <c r="O83" s="62">
        <v>0.46853044381965597</v>
      </c>
      <c r="P83" s="62">
        <v>1.6222437419064199E-2</v>
      </c>
      <c r="Q83" s="62">
        <v>4.5594638460154401E-4</v>
      </c>
      <c r="R83" s="62">
        <v>1.8328656594256001</v>
      </c>
      <c r="S83" s="60">
        <v>466.71</v>
      </c>
      <c r="T83" s="69">
        <v>74.067499999999995</v>
      </c>
      <c r="U83" s="60">
        <v>368.44051172583403</v>
      </c>
      <c r="V83" s="69">
        <v>8.3174223077988501</v>
      </c>
      <c r="W83" s="60">
        <v>368.91378339827497</v>
      </c>
      <c r="X83" s="69">
        <v>4.5243329303232596</v>
      </c>
      <c r="Y83" s="60">
        <v>325.26042771541103</v>
      </c>
      <c r="Z83" s="69">
        <v>9.0685780234262996</v>
      </c>
      <c r="AA83" s="71">
        <f t="shared" si="3"/>
        <v>0.99871629778094317</v>
      </c>
      <c r="AB83" s="50">
        <v>32.731290000000001</v>
      </c>
      <c r="AC83" s="60">
        <v>657.95611799685003</v>
      </c>
      <c r="AD83" s="50">
        <v>43.193419554638602</v>
      </c>
      <c r="AE83" s="60">
        <v>1893.7348175315999</v>
      </c>
      <c r="AF83" s="61">
        <v>2.4212867683908699</v>
      </c>
      <c r="AG83" s="61">
        <v>1.0895221956274099</v>
      </c>
      <c r="AH83" s="61">
        <v>3.5587641557020202</v>
      </c>
      <c r="AI83" s="50">
        <v>62.175045985386603</v>
      </c>
      <c r="AJ83" s="61">
        <v>5.70767123629434</v>
      </c>
      <c r="AK83" s="50">
        <v>40.609494625183103</v>
      </c>
      <c r="AL83" s="50">
        <v>33.501598256813502</v>
      </c>
      <c r="AM83" s="50">
        <v>10.3457246328887</v>
      </c>
      <c r="AN83" s="50">
        <v>75.123080762754</v>
      </c>
      <c r="AO83" s="50">
        <v>22.465794295309799</v>
      </c>
      <c r="AP83" s="60">
        <v>210.08378305410599</v>
      </c>
      <c r="AQ83" s="50">
        <v>65.725031464043198</v>
      </c>
      <c r="AR83" s="60">
        <v>262.70481663664702</v>
      </c>
      <c r="AS83" s="50">
        <v>51.991642181920199</v>
      </c>
      <c r="AT83" s="60">
        <v>449.87236031084399</v>
      </c>
      <c r="AU83" s="50">
        <v>85.516880639925503</v>
      </c>
      <c r="AV83" s="60">
        <v>9230.4583617866792</v>
      </c>
      <c r="AW83" s="61">
        <v>1.43933963478611</v>
      </c>
      <c r="AX83" s="65">
        <v>0.95716461021096999</v>
      </c>
      <c r="AY83" s="65">
        <v>0</v>
      </c>
      <c r="AZ83" s="61">
        <v>4.9133507903874403</v>
      </c>
      <c r="BA83" s="65">
        <v>2.0679238114333399E-2</v>
      </c>
      <c r="BB83" s="50">
        <v>61.074835714715803</v>
      </c>
      <c r="BC83" s="60">
        <v>325.56661353576101</v>
      </c>
      <c r="BD83" s="60">
        <v>834.031958940815</v>
      </c>
    </row>
    <row r="84" spans="1:56" s="41" customFormat="1" ht="12" customHeight="1">
      <c r="A84" s="47" t="s">
        <v>23</v>
      </c>
      <c r="B84" s="41" t="s">
        <v>201</v>
      </c>
      <c r="C84" s="41" t="s">
        <v>126</v>
      </c>
      <c r="D84" s="50">
        <v>276.70757091355699</v>
      </c>
      <c r="E84" s="50">
        <v>94.913805411402194</v>
      </c>
      <c r="F84" s="60">
        <v>502.15885351413101</v>
      </c>
      <c r="G84" s="122">
        <f t="shared" si="2"/>
        <v>0.1890115144783189</v>
      </c>
      <c r="H84" s="61">
        <v>2.4125673830365701</v>
      </c>
      <c r="I84" s="62">
        <v>0.221153159073012</v>
      </c>
      <c r="J84" s="62">
        <v>5.9405731762324603E-3</v>
      </c>
      <c r="K84" s="62">
        <v>12.8838844190843</v>
      </c>
      <c r="L84" s="62">
        <v>0.37048089554550201</v>
      </c>
      <c r="M84" s="62">
        <v>0.42268283583733401</v>
      </c>
      <c r="N84" s="62">
        <v>4.0758927570165504E-3</v>
      </c>
      <c r="O84" s="62">
        <v>0.33534291747412798</v>
      </c>
      <c r="P84" s="62">
        <v>0.171738530176793</v>
      </c>
      <c r="Q84" s="62">
        <v>4.6705632910846104E-3</v>
      </c>
      <c r="R84" s="62">
        <v>4.2488963499987902</v>
      </c>
      <c r="S84" s="60">
        <v>2990.74</v>
      </c>
      <c r="T84" s="69">
        <v>43.212500000000098</v>
      </c>
      <c r="U84" s="60">
        <v>2671.19741403121</v>
      </c>
      <c r="V84" s="69">
        <v>27.155541878478399</v>
      </c>
      <c r="W84" s="60">
        <v>2272.64728511362</v>
      </c>
      <c r="X84" s="69">
        <v>18.5092822552723</v>
      </c>
      <c r="Y84" s="60">
        <v>3203.4071580834602</v>
      </c>
      <c r="Z84" s="69">
        <v>80.566175436185603</v>
      </c>
      <c r="AA84" s="71">
        <f t="shared" si="3"/>
        <v>0.83876915511260708</v>
      </c>
      <c r="AB84" s="50">
        <v>32.731290000000001</v>
      </c>
      <c r="AC84" s="60">
        <v>503.16788972046697</v>
      </c>
      <c r="AD84" s="61">
        <v>9.5604034920411198</v>
      </c>
      <c r="AE84" s="60">
        <v>960.39865817966404</v>
      </c>
      <c r="AF84" s="61">
        <v>2.08463095745104</v>
      </c>
      <c r="AG84" s="61">
        <v>8.2540653590911699</v>
      </c>
      <c r="AH84" s="61">
        <v>0.41847329055780003</v>
      </c>
      <c r="AI84" s="61">
        <v>9.8930153681238906</v>
      </c>
      <c r="AJ84" s="61">
        <v>0.520749546517978</v>
      </c>
      <c r="AK84" s="61">
        <v>4.44400262753686</v>
      </c>
      <c r="AL84" s="61">
        <v>5.3083759440427203</v>
      </c>
      <c r="AM84" s="61">
        <v>2.4771843491497298</v>
      </c>
      <c r="AN84" s="50">
        <v>24.329038080992699</v>
      </c>
      <c r="AO84" s="61">
        <v>7.7933241163591402</v>
      </c>
      <c r="AP84" s="50">
        <v>87.480634017828294</v>
      </c>
      <c r="AQ84" s="50">
        <v>33.406134587955101</v>
      </c>
      <c r="AR84" s="60">
        <v>142.57734898574401</v>
      </c>
      <c r="AS84" s="50">
        <v>29.206663949349998</v>
      </c>
      <c r="AT84" s="60">
        <v>266.08941924084297</v>
      </c>
      <c r="AU84" s="50">
        <v>57.121229138758899</v>
      </c>
      <c r="AV84" s="60">
        <v>11565.314953912</v>
      </c>
      <c r="AW84" s="61">
        <v>2.6806874010946302</v>
      </c>
      <c r="AX84" s="65">
        <v>0.32243673525032901</v>
      </c>
      <c r="AY84" s="65">
        <v>0</v>
      </c>
      <c r="AZ84" s="61">
        <v>2.4125673830365701</v>
      </c>
      <c r="BA84" s="65">
        <v>3.4239167716260499E-3</v>
      </c>
      <c r="BB84" s="50">
        <v>276.70757091355699</v>
      </c>
      <c r="BC84" s="50">
        <v>94.913805411402194</v>
      </c>
      <c r="BD84" s="60">
        <v>502.15885351413101</v>
      </c>
    </row>
    <row r="85" spans="1:56" s="41" customFormat="1" ht="12" customHeight="1">
      <c r="A85" s="47" t="s">
        <v>23</v>
      </c>
      <c r="B85" s="41" t="s">
        <v>202</v>
      </c>
      <c r="C85" s="41" t="s">
        <v>198</v>
      </c>
      <c r="D85" s="60">
        <v>451.277384177832</v>
      </c>
      <c r="E85" s="60">
        <v>679.46732532147803</v>
      </c>
      <c r="F85" s="60">
        <v>849.06765139491699</v>
      </c>
      <c r="G85" s="122">
        <f t="shared" si="2"/>
        <v>0.80025110390814458</v>
      </c>
      <c r="H85" s="61">
        <v>3.78992095096338</v>
      </c>
      <c r="I85" s="62">
        <v>0.189410296544122</v>
      </c>
      <c r="J85" s="62">
        <v>4.8157964845131802E-3</v>
      </c>
      <c r="K85" s="62">
        <v>9.75308298367821</v>
      </c>
      <c r="L85" s="62">
        <v>0.26557365211176598</v>
      </c>
      <c r="M85" s="62">
        <v>0.37367010864070699</v>
      </c>
      <c r="N85" s="62">
        <v>3.5578575204952599E-3</v>
      </c>
      <c r="O85" s="62">
        <v>0.34966899661692302</v>
      </c>
      <c r="P85" s="62">
        <v>0.102755550990143</v>
      </c>
      <c r="Q85" s="62">
        <v>2.4500450142791101E-3</v>
      </c>
      <c r="R85" s="62">
        <v>0.90010152634674701</v>
      </c>
      <c r="S85" s="60">
        <v>2738.895</v>
      </c>
      <c r="T85" s="69">
        <v>47.070000000000199</v>
      </c>
      <c r="U85" s="60">
        <v>2411.7302154002</v>
      </c>
      <c r="V85" s="69">
        <v>25.1309321994366</v>
      </c>
      <c r="W85" s="60">
        <v>2046.64670020327</v>
      </c>
      <c r="X85" s="69">
        <v>16.7329944089261</v>
      </c>
      <c r="Y85" s="60">
        <v>1977.00037919136</v>
      </c>
      <c r="Z85" s="69">
        <v>44.906479382461498</v>
      </c>
      <c r="AA85" s="71">
        <f t="shared" si="3"/>
        <v>0.83622581845011479</v>
      </c>
      <c r="AB85" s="50">
        <v>32.731290000000001</v>
      </c>
      <c r="AC85" s="60">
        <v>738.553156096458</v>
      </c>
      <c r="AD85" s="50">
        <v>18.386426480022301</v>
      </c>
      <c r="AE85" s="60">
        <v>1395.9282871036301</v>
      </c>
      <c r="AF85" s="61">
        <v>2.1876250536105402</v>
      </c>
      <c r="AG85" s="61">
        <v>11.3061415751233</v>
      </c>
      <c r="AH85" s="61">
        <v>2.2248500801304898</v>
      </c>
      <c r="AI85" s="50">
        <v>62.1308171096344</v>
      </c>
      <c r="AJ85" s="61">
        <v>1.2227352448362601</v>
      </c>
      <c r="AK85" s="61">
        <v>9.3008426356984604</v>
      </c>
      <c r="AL85" s="61">
        <v>8.5083491333805892</v>
      </c>
      <c r="AM85" s="61">
        <v>5.0115163888534999</v>
      </c>
      <c r="AN85" s="50">
        <v>41.621363945543798</v>
      </c>
      <c r="AO85" s="50">
        <v>12.399163646250001</v>
      </c>
      <c r="AP85" s="60">
        <v>136.55397964960599</v>
      </c>
      <c r="AQ85" s="50">
        <v>48.703552464910103</v>
      </c>
      <c r="AR85" s="60">
        <v>202.130843693976</v>
      </c>
      <c r="AS85" s="50">
        <v>39.448185255451598</v>
      </c>
      <c r="AT85" s="60">
        <v>339.37067170781</v>
      </c>
      <c r="AU85" s="50">
        <v>66.391179451661699</v>
      </c>
      <c r="AV85" s="60">
        <v>7162.7278839521196</v>
      </c>
      <c r="AW85" s="61">
        <v>0.46925770473404599</v>
      </c>
      <c r="AX85" s="65">
        <v>0.73658720544815903</v>
      </c>
      <c r="AY85" s="65">
        <v>0</v>
      </c>
      <c r="AZ85" s="61">
        <v>3.78992095096338</v>
      </c>
      <c r="BA85" s="65">
        <v>3.3145527138995302E-2</v>
      </c>
      <c r="BB85" s="60">
        <v>451.277384177832</v>
      </c>
      <c r="BC85" s="60">
        <v>679.46732532147803</v>
      </c>
      <c r="BD85" s="60">
        <v>849.06765139491699</v>
      </c>
    </row>
    <row r="86" spans="1:56" s="41" customFormat="1" ht="12" customHeight="1">
      <c r="A86" s="38"/>
      <c r="D86" s="50"/>
      <c r="E86" s="60"/>
      <c r="F86" s="60"/>
      <c r="G86" s="122"/>
      <c r="H86" s="61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0"/>
      <c r="T86" s="69"/>
      <c r="U86" s="60"/>
      <c r="V86" s="69"/>
      <c r="W86" s="60"/>
      <c r="X86" s="69"/>
      <c r="Y86" s="60"/>
      <c r="Z86" s="69"/>
      <c r="AA86" s="71"/>
      <c r="AB86" s="50"/>
      <c r="AC86" s="60"/>
      <c r="AD86" s="61"/>
      <c r="AE86" s="60"/>
      <c r="AF86" s="61"/>
      <c r="AG86" s="61"/>
      <c r="AH86" s="61"/>
      <c r="AI86" s="50"/>
      <c r="AJ86" s="61"/>
      <c r="AK86" s="61"/>
      <c r="AL86" s="61"/>
      <c r="AM86" s="61"/>
      <c r="AN86" s="50"/>
      <c r="AO86" s="50"/>
      <c r="AP86" s="60"/>
      <c r="AQ86" s="50"/>
      <c r="AR86" s="60"/>
      <c r="AS86" s="50"/>
      <c r="AT86" s="60"/>
      <c r="AU86" s="50"/>
      <c r="AV86" s="60"/>
      <c r="AW86" s="61"/>
      <c r="AX86" s="65"/>
      <c r="AY86" s="65"/>
      <c r="AZ86" s="61"/>
      <c r="BA86" s="65"/>
      <c r="BB86" s="50"/>
      <c r="BC86" s="60"/>
      <c r="BD86" s="60"/>
    </row>
    <row r="87" spans="1:56" s="39" customFormat="1" ht="12" customHeight="1">
      <c r="A87" s="47" t="s">
        <v>26</v>
      </c>
      <c r="B87" s="39" t="s">
        <v>203</v>
      </c>
      <c r="C87" s="39" t="s">
        <v>126</v>
      </c>
      <c r="D87" s="48">
        <v>267.73342146387603</v>
      </c>
      <c r="E87" s="52">
        <v>146.97424820934901</v>
      </c>
      <c r="F87" s="52">
        <v>277.43106521520099</v>
      </c>
      <c r="G87" s="122">
        <f t="shared" si="2"/>
        <v>0.52976853221301046</v>
      </c>
      <c r="H87" s="53">
        <v>6.1453674892813099</v>
      </c>
      <c r="I87" s="54">
        <v>0.271390535650683</v>
      </c>
      <c r="J87" s="54">
        <v>5.5075593128195597E-3</v>
      </c>
      <c r="K87" s="54">
        <v>25.852263954167299</v>
      </c>
      <c r="L87" s="54">
        <v>0.60428794130312502</v>
      </c>
      <c r="M87" s="54">
        <v>0.68592629078448297</v>
      </c>
      <c r="N87" s="54">
        <v>7.92291345844311E-3</v>
      </c>
      <c r="O87" s="54">
        <v>0.49415377399780402</v>
      </c>
      <c r="P87" s="54">
        <v>0.19411993653679699</v>
      </c>
      <c r="Q87" s="54">
        <v>9.2196640891835397E-3</v>
      </c>
      <c r="R87" s="54">
        <v>1.3493143306434301</v>
      </c>
      <c r="S87" s="52">
        <v>3313.8850000000002</v>
      </c>
      <c r="T87" s="67">
        <v>31.017499999999899</v>
      </c>
      <c r="U87" s="52">
        <v>3340.9657673668298</v>
      </c>
      <c r="V87" s="67">
        <v>22.963013895412999</v>
      </c>
      <c r="W87" s="52">
        <v>3367.0597274976299</v>
      </c>
      <c r="X87" s="67">
        <v>30.3490654937229</v>
      </c>
      <c r="Y87" s="52">
        <v>3585.8405110967701</v>
      </c>
      <c r="Z87" s="67">
        <v>156.05631446497699</v>
      </c>
      <c r="AA87" s="71">
        <f t="shared" si="3"/>
        <v>0.99222007723411987</v>
      </c>
      <c r="AB87" s="48">
        <v>32.731290000000001</v>
      </c>
      <c r="AC87" s="52">
        <v>601.99638949276698</v>
      </c>
      <c r="AD87" s="53">
        <v>7.2216292331782101</v>
      </c>
      <c r="AE87" s="52">
        <v>1829.9495258373399</v>
      </c>
      <c r="AF87" s="53">
        <v>4.4399185398109298</v>
      </c>
      <c r="AG87" s="53">
        <v>1.99087334434052</v>
      </c>
      <c r="AH87" s="53">
        <v>1.7044921473974199</v>
      </c>
      <c r="AI87" s="48">
        <v>19.639369752333302</v>
      </c>
      <c r="AJ87" s="53">
        <v>0.84416777630726603</v>
      </c>
      <c r="AK87" s="53">
        <v>6.6566439828000998</v>
      </c>
      <c r="AL87" s="53">
        <v>7.91797556468868</v>
      </c>
      <c r="AM87" s="53">
        <v>2.4834463788913101</v>
      </c>
      <c r="AN87" s="48">
        <v>43.942494382256001</v>
      </c>
      <c r="AO87" s="48">
        <v>14.433084609650299</v>
      </c>
      <c r="AP87" s="52">
        <v>172.89403094693401</v>
      </c>
      <c r="AQ87" s="48">
        <v>65.489392404116202</v>
      </c>
      <c r="AR87" s="52">
        <v>278.49981399185498</v>
      </c>
      <c r="AS87" s="48">
        <v>53.728421123116</v>
      </c>
      <c r="AT87" s="52">
        <v>447.632459012889</v>
      </c>
      <c r="AU87" s="48">
        <v>84.1214883086773</v>
      </c>
      <c r="AV87" s="52">
        <v>8584.7746292690699</v>
      </c>
      <c r="AW87" s="53">
        <v>1.69631727958683</v>
      </c>
      <c r="AX87" s="64">
        <v>0.25040520604007399</v>
      </c>
      <c r="AY87" s="64">
        <v>0</v>
      </c>
      <c r="AZ87" s="53">
        <v>6.1453674892813099</v>
      </c>
      <c r="BA87" s="64">
        <v>8.0118476009971799E-3</v>
      </c>
      <c r="BB87" s="48">
        <v>267.73342146387603</v>
      </c>
      <c r="BC87" s="52">
        <v>146.97424820934901</v>
      </c>
      <c r="BD87" s="52">
        <v>277.43106521520099</v>
      </c>
    </row>
    <row r="88" spans="1:56" s="39" customFormat="1" ht="12" customHeight="1">
      <c r="A88" s="47" t="s">
        <v>26</v>
      </c>
      <c r="B88" s="39" t="s">
        <v>204</v>
      </c>
      <c r="D88" s="48">
        <v>281.10981262500701</v>
      </c>
      <c r="E88" s="52">
        <v>194.55461717042499</v>
      </c>
      <c r="F88" s="52">
        <v>289.85072398115102</v>
      </c>
      <c r="G88" s="122">
        <f t="shared" si="2"/>
        <v>0.6712234991107936</v>
      </c>
      <c r="H88" s="53">
        <v>0.45281523924419498</v>
      </c>
      <c r="I88" s="54">
        <v>0.27710216933523202</v>
      </c>
      <c r="J88" s="54">
        <v>4.5816019236152297E-3</v>
      </c>
      <c r="K88" s="54">
        <v>25.951677562312302</v>
      </c>
      <c r="L88" s="54">
        <v>0.43824570138461699</v>
      </c>
      <c r="M88" s="54">
        <v>0.67652993474119805</v>
      </c>
      <c r="N88" s="54">
        <v>5.3456514712708399E-3</v>
      </c>
      <c r="O88" s="54">
        <v>0.46790899482124398</v>
      </c>
      <c r="P88" s="54">
        <v>0.17568389591671599</v>
      </c>
      <c r="Q88" s="54">
        <v>3.4205916106719598E-3</v>
      </c>
      <c r="R88" s="54">
        <v>1.07492410978196</v>
      </c>
      <c r="S88" s="52">
        <v>3346.6</v>
      </c>
      <c r="T88" s="67">
        <v>25.925000000000001</v>
      </c>
      <c r="U88" s="52">
        <v>3344.7180206405401</v>
      </c>
      <c r="V88" s="67">
        <v>16.666477918905802</v>
      </c>
      <c r="W88" s="52">
        <v>3331.0307317455199</v>
      </c>
      <c r="X88" s="67">
        <v>20.633084952550401</v>
      </c>
      <c r="Y88" s="52">
        <v>3271.34951703146</v>
      </c>
      <c r="Z88" s="67">
        <v>58.806435243288099</v>
      </c>
      <c r="AA88" s="71">
        <f t="shared" si="3"/>
        <v>0.99589939963210028</v>
      </c>
      <c r="AB88" s="48">
        <v>32.731290000000001</v>
      </c>
      <c r="AC88" s="52">
        <v>583.96085101252095</v>
      </c>
      <c r="AD88" s="53">
        <v>5.6724158376880798</v>
      </c>
      <c r="AE88" s="52">
        <v>1532.15483612552</v>
      </c>
      <c r="AF88" s="53">
        <v>2.55123702778168</v>
      </c>
      <c r="AG88" s="53">
        <v>0.23177511205446899</v>
      </c>
      <c r="AH88" s="53">
        <v>0.37513398718007301</v>
      </c>
      <c r="AI88" s="48">
        <v>14.9442156640463</v>
      </c>
      <c r="AJ88" s="53">
        <v>0.37054522028755399</v>
      </c>
      <c r="AK88" s="53">
        <v>3.9083145017598699</v>
      </c>
      <c r="AL88" s="53">
        <v>6.0721997864204802</v>
      </c>
      <c r="AM88" s="53">
        <v>0.84799551822228403</v>
      </c>
      <c r="AN88" s="48">
        <v>33.095431855907499</v>
      </c>
      <c r="AO88" s="48">
        <v>11.7004478675873</v>
      </c>
      <c r="AP88" s="52">
        <v>137.969544592842</v>
      </c>
      <c r="AQ88" s="48">
        <v>53.145760115255698</v>
      </c>
      <c r="AR88" s="52">
        <v>231.910485863639</v>
      </c>
      <c r="AS88" s="48">
        <v>45.948916371303199</v>
      </c>
      <c r="AT88" s="52">
        <v>394.12236072835799</v>
      </c>
      <c r="AU88" s="48">
        <v>75.558374233784306</v>
      </c>
      <c r="AV88" s="52">
        <v>9469.8312970164698</v>
      </c>
      <c r="AW88" s="53">
        <v>1.2498515598522799</v>
      </c>
      <c r="AX88" s="64">
        <v>0.32560614908645202</v>
      </c>
      <c r="AY88" s="64">
        <v>0</v>
      </c>
      <c r="AZ88" s="53">
        <v>0.45281523924419498</v>
      </c>
      <c r="BA88" s="64">
        <v>2.1146655385605902E-3</v>
      </c>
      <c r="BB88" s="48">
        <v>281.10981262500701</v>
      </c>
      <c r="BC88" s="52">
        <v>194.55461717042499</v>
      </c>
      <c r="BD88" s="52">
        <v>289.85072398115102</v>
      </c>
    </row>
    <row r="89" spans="1:56" s="39" customFormat="1" ht="12" customHeight="1">
      <c r="A89" s="47" t="s">
        <v>26</v>
      </c>
      <c r="B89" s="39" t="s">
        <v>205</v>
      </c>
      <c r="C89" s="39" t="s">
        <v>126</v>
      </c>
      <c r="D89" s="48">
        <v>228.47574712577</v>
      </c>
      <c r="E89" s="52">
        <v>138.83414270785099</v>
      </c>
      <c r="F89" s="52">
        <v>270.79173548348302</v>
      </c>
      <c r="G89" s="122">
        <f t="shared" si="2"/>
        <v>0.51269711928235417</v>
      </c>
      <c r="H89" s="48">
        <v>15.595177985468901</v>
      </c>
      <c r="I89" s="54">
        <v>0.25967991237343802</v>
      </c>
      <c r="J89" s="54">
        <v>4.2126808872300697E-3</v>
      </c>
      <c r="K89" s="54">
        <v>21.150487651007801</v>
      </c>
      <c r="L89" s="54">
        <v>0.47606043804049902</v>
      </c>
      <c r="M89" s="54">
        <v>0.588243456067295</v>
      </c>
      <c r="N89" s="54">
        <v>9.8886900427977795E-3</v>
      </c>
      <c r="O89" s="54">
        <v>0.74686129424909897</v>
      </c>
      <c r="P89" s="54">
        <v>0.19904836233482401</v>
      </c>
      <c r="Q89" s="54">
        <v>5.8816744072310596E-3</v>
      </c>
      <c r="R89" s="54">
        <v>1.48683183022375</v>
      </c>
      <c r="S89" s="52">
        <v>3255.55</v>
      </c>
      <c r="T89" s="67">
        <v>24.840000000000099</v>
      </c>
      <c r="U89" s="52">
        <v>3145.51404995243</v>
      </c>
      <c r="V89" s="67">
        <v>21.927285318199001</v>
      </c>
      <c r="W89" s="52">
        <v>2982.2959609362902</v>
      </c>
      <c r="X89" s="67">
        <v>40.168832358372399</v>
      </c>
      <c r="Y89" s="52">
        <v>3669.0896572121901</v>
      </c>
      <c r="Z89" s="67">
        <v>99.146748552492994</v>
      </c>
      <c r="AA89" s="71">
        <f t="shared" si="3"/>
        <v>0.94672873710963235</v>
      </c>
      <c r="AB89" s="48">
        <v>32.731290000000001</v>
      </c>
      <c r="AC89" s="52">
        <v>1115.52394857485</v>
      </c>
      <c r="AD89" s="48">
        <v>17.568201434995199</v>
      </c>
      <c r="AE89" s="52">
        <v>1245.9640890483399</v>
      </c>
      <c r="AF89" s="53">
        <v>2.29097661818024</v>
      </c>
      <c r="AG89" s="53">
        <v>8.0148747781618095</v>
      </c>
      <c r="AH89" s="53">
        <v>3.12881661824707</v>
      </c>
      <c r="AI89" s="48">
        <v>28.0012419922123</v>
      </c>
      <c r="AJ89" s="53">
        <v>2.7027335429108201</v>
      </c>
      <c r="AK89" s="48">
        <v>20.534812809257598</v>
      </c>
      <c r="AL89" s="48">
        <v>16.829080884135799</v>
      </c>
      <c r="AM89" s="53">
        <v>6.41906036877596</v>
      </c>
      <c r="AN89" s="48">
        <v>50.2323269877323</v>
      </c>
      <c r="AO89" s="48">
        <v>12.8177866969314</v>
      </c>
      <c r="AP89" s="52">
        <v>128.275386102466</v>
      </c>
      <c r="AQ89" s="48">
        <v>43.675623094520098</v>
      </c>
      <c r="AR89" s="52">
        <v>179.95383779495299</v>
      </c>
      <c r="AS89" s="48">
        <v>34.673863947206897</v>
      </c>
      <c r="AT89" s="52">
        <v>296.71017200473199</v>
      </c>
      <c r="AU89" s="48">
        <v>56.293790088387198</v>
      </c>
      <c r="AV89" s="52">
        <v>8046.75185932159</v>
      </c>
      <c r="AW89" s="53">
        <v>1.07313503538715</v>
      </c>
      <c r="AX89" s="64">
        <v>1.0109184967967499</v>
      </c>
      <c r="AY89" s="64">
        <v>0</v>
      </c>
      <c r="AZ89" s="48">
        <v>15.595177985468901</v>
      </c>
      <c r="BA89" s="64">
        <v>2.4992789055833999E-2</v>
      </c>
      <c r="BB89" s="48">
        <v>228.47574712577</v>
      </c>
      <c r="BC89" s="52">
        <v>138.83414270785099</v>
      </c>
      <c r="BD89" s="52">
        <v>270.79173548348302</v>
      </c>
    </row>
    <row r="90" spans="1:56" s="39" customFormat="1" ht="12" customHeight="1">
      <c r="A90" s="47" t="s">
        <v>26</v>
      </c>
      <c r="B90" s="39" t="s">
        <v>206</v>
      </c>
      <c r="C90" s="39" t="s">
        <v>126</v>
      </c>
      <c r="D90" s="48">
        <v>195.377731564106</v>
      </c>
      <c r="E90" s="52">
        <v>139.693180916443</v>
      </c>
      <c r="F90" s="52">
        <v>220.792520584979</v>
      </c>
      <c r="G90" s="122">
        <f t="shared" si="2"/>
        <v>0.63268982366944648</v>
      </c>
      <c r="H90" s="53">
        <v>4.87492962914627</v>
      </c>
      <c r="I90" s="54">
        <v>0.25725309000187402</v>
      </c>
      <c r="J90" s="54">
        <v>4.1680181739651399E-3</v>
      </c>
      <c r="K90" s="54">
        <v>22.427519369773801</v>
      </c>
      <c r="L90" s="54">
        <v>0.47877424006267</v>
      </c>
      <c r="M90" s="54">
        <v>0.62780481793778697</v>
      </c>
      <c r="N90" s="54">
        <v>8.0363958757801394E-3</v>
      </c>
      <c r="O90" s="54">
        <v>0.59963523262095397</v>
      </c>
      <c r="P90" s="54">
        <v>0.16544345952675299</v>
      </c>
      <c r="Q90" s="54">
        <v>4.0851434034681004E-3</v>
      </c>
      <c r="R90" s="54">
        <v>1.1479082695215299</v>
      </c>
      <c r="S90" s="52">
        <v>3231.48</v>
      </c>
      <c r="T90" s="67">
        <v>24.842500000000001</v>
      </c>
      <c r="U90" s="52">
        <v>3202.4281594272702</v>
      </c>
      <c r="V90" s="67">
        <v>20.864729696189801</v>
      </c>
      <c r="W90" s="52">
        <v>3140.90165796151</v>
      </c>
      <c r="X90" s="67">
        <v>31.870806629102201</v>
      </c>
      <c r="Y90" s="52">
        <v>3094.5258522967802</v>
      </c>
      <c r="Z90" s="67">
        <v>70.848440424341305</v>
      </c>
      <c r="AA90" s="71">
        <f t="shared" si="3"/>
        <v>0.98060119740357832</v>
      </c>
      <c r="AB90" s="48">
        <v>32.731290000000001</v>
      </c>
      <c r="AC90" s="52">
        <v>723.243602888071</v>
      </c>
      <c r="AD90" s="53">
        <v>8.7443737039113003</v>
      </c>
      <c r="AE90" s="52">
        <v>1539.6093031775099</v>
      </c>
      <c r="AF90" s="53">
        <v>1.81771709617607</v>
      </c>
      <c r="AG90" s="53">
        <v>4.5880442525286904</v>
      </c>
      <c r="AH90" s="53">
        <v>1.33167125219534</v>
      </c>
      <c r="AI90" s="48">
        <v>16.874515943737201</v>
      </c>
      <c r="AJ90" s="53">
        <v>0.84139904014286504</v>
      </c>
      <c r="AK90" s="53">
        <v>6.0857718794812996</v>
      </c>
      <c r="AL90" s="53">
        <v>7.78300259306834</v>
      </c>
      <c r="AM90" s="53">
        <v>2.4668864966334798</v>
      </c>
      <c r="AN90" s="48">
        <v>40.790706001890399</v>
      </c>
      <c r="AO90" s="48">
        <v>12.8830836049715</v>
      </c>
      <c r="AP90" s="52">
        <v>148.91449376788901</v>
      </c>
      <c r="AQ90" s="48">
        <v>54.871728308500003</v>
      </c>
      <c r="AR90" s="52">
        <v>229.677735882224</v>
      </c>
      <c r="AS90" s="48">
        <v>44.036723711503299</v>
      </c>
      <c r="AT90" s="52">
        <v>360.75566631591801</v>
      </c>
      <c r="AU90" s="48">
        <v>68.358993085098106</v>
      </c>
      <c r="AV90" s="52">
        <v>7430.6789070530704</v>
      </c>
      <c r="AW90" s="53">
        <v>0.71744487761584896</v>
      </c>
      <c r="AX90" s="64">
        <v>0.43380005438040597</v>
      </c>
      <c r="AY90" s="64">
        <v>0</v>
      </c>
      <c r="AZ90" s="53">
        <v>4.87492962914627</v>
      </c>
      <c r="BA90" s="64">
        <v>2.8177839133670401E-2</v>
      </c>
      <c r="BB90" s="48">
        <v>195.377731564106</v>
      </c>
      <c r="BC90" s="52">
        <v>139.693180916443</v>
      </c>
      <c r="BD90" s="52">
        <v>220.792520584979</v>
      </c>
    </row>
    <row r="91" spans="1:56" s="39" customFormat="1" ht="12" customHeight="1">
      <c r="A91" s="47" t="s">
        <v>26</v>
      </c>
      <c r="B91" s="39" t="s">
        <v>207</v>
      </c>
      <c r="D91" s="48">
        <v>95.901363468187796</v>
      </c>
      <c r="E91" s="48">
        <v>65.716005010665199</v>
      </c>
      <c r="F91" s="48">
        <v>98.487707381182702</v>
      </c>
      <c r="G91" s="122">
        <f t="shared" si="2"/>
        <v>0.66725083523693696</v>
      </c>
      <c r="H91" s="55">
        <v>0</v>
      </c>
      <c r="I91" s="54">
        <v>0.266275797769775</v>
      </c>
      <c r="J91" s="54">
        <v>4.2341567250568099E-3</v>
      </c>
      <c r="K91" s="54">
        <v>25.244990092647601</v>
      </c>
      <c r="L91" s="54">
        <v>0.41545225974544497</v>
      </c>
      <c r="M91" s="54">
        <v>0.68522228168523702</v>
      </c>
      <c r="N91" s="54">
        <v>5.51139699448892E-3</v>
      </c>
      <c r="O91" s="54">
        <v>0.48874721695510198</v>
      </c>
      <c r="P91" s="54">
        <v>0.177525586987099</v>
      </c>
      <c r="Q91" s="54">
        <v>3.16043579816273E-3</v>
      </c>
      <c r="R91" s="54">
        <v>1.0787215081984201</v>
      </c>
      <c r="S91" s="52">
        <v>3284.2550000000001</v>
      </c>
      <c r="T91" s="67">
        <v>25.0049999999999</v>
      </c>
      <c r="U91" s="52">
        <v>3317.7388609527702</v>
      </c>
      <c r="V91" s="67">
        <v>16.230843535200499</v>
      </c>
      <c r="W91" s="52">
        <v>3364.3672716712899</v>
      </c>
      <c r="X91" s="67">
        <v>21.160662623991399</v>
      </c>
      <c r="Y91" s="52">
        <v>3302.9868943444899</v>
      </c>
      <c r="Z91" s="67">
        <v>54.248885031618599</v>
      </c>
      <c r="AA91" s="71">
        <f t="shared" si="3"/>
        <v>0.98604379822976296</v>
      </c>
      <c r="AB91" s="48">
        <v>32.731290000000001</v>
      </c>
      <c r="AC91" s="52">
        <v>588.81897513441197</v>
      </c>
      <c r="AD91" s="53">
        <v>6.1493886560975399</v>
      </c>
      <c r="AE91" s="52">
        <v>3424.7649522868101</v>
      </c>
      <c r="AF91" s="53">
        <v>4.8314800288661299</v>
      </c>
      <c r="AG91" s="53">
        <v>3.9445845605945301E-2</v>
      </c>
      <c r="AH91" s="53">
        <v>0.29528576315779098</v>
      </c>
      <c r="AI91" s="53">
        <v>6.2577906422365697</v>
      </c>
      <c r="AJ91" s="53">
        <v>0.267644325269913</v>
      </c>
      <c r="AK91" s="53">
        <v>4.1071470981822999</v>
      </c>
      <c r="AL91" s="48">
        <v>10.6071465150844</v>
      </c>
      <c r="AM91" s="53">
        <v>2.77284481008485</v>
      </c>
      <c r="AN91" s="48">
        <v>80.720762093404105</v>
      </c>
      <c r="AO91" s="48">
        <v>27.839689469383099</v>
      </c>
      <c r="AP91" s="52">
        <v>340.30149350726902</v>
      </c>
      <c r="AQ91" s="52">
        <v>128.32002804661201</v>
      </c>
      <c r="AR91" s="52">
        <v>531.11303867822198</v>
      </c>
      <c r="AS91" s="52">
        <v>101.677050069806</v>
      </c>
      <c r="AT91" s="52">
        <v>851.57203204473205</v>
      </c>
      <c r="AU91" s="52">
        <v>162.37317403302399</v>
      </c>
      <c r="AV91" s="52">
        <v>8716.1871900611004</v>
      </c>
      <c r="AW91" s="53">
        <v>1.8065834689817499</v>
      </c>
      <c r="AX91" s="64">
        <v>9.8286996740860499E-2</v>
      </c>
      <c r="AY91" s="64">
        <v>0</v>
      </c>
      <c r="AZ91" s="55">
        <v>0</v>
      </c>
      <c r="BA91" s="64">
        <v>9.1979176033358601E-4</v>
      </c>
      <c r="BB91" s="48">
        <v>95.901363468187796</v>
      </c>
      <c r="BC91" s="48">
        <v>65.716005010665199</v>
      </c>
      <c r="BD91" s="48">
        <v>98.487707381182702</v>
      </c>
    </row>
    <row r="92" spans="1:56" s="39" customFormat="1" ht="12" customHeight="1">
      <c r="A92" s="47" t="s">
        <v>26</v>
      </c>
      <c r="B92" s="39" t="s">
        <v>208</v>
      </c>
      <c r="C92" s="39" t="s">
        <v>126</v>
      </c>
      <c r="D92" s="48">
        <v>152.125543098734</v>
      </c>
      <c r="E92" s="48">
        <v>85.243248934117901</v>
      </c>
      <c r="F92" s="52">
        <v>155.18255030157101</v>
      </c>
      <c r="G92" s="122">
        <f t="shared" si="2"/>
        <v>0.54930949883515945</v>
      </c>
      <c r="H92" s="53">
        <v>7.4686570784057498</v>
      </c>
      <c r="I92" s="54">
        <v>0.27511891455584098</v>
      </c>
      <c r="J92" s="54">
        <v>4.5366553323609197E-3</v>
      </c>
      <c r="K92" s="54">
        <v>25.1638424605515</v>
      </c>
      <c r="L92" s="54">
        <v>0.42870454990123302</v>
      </c>
      <c r="M92" s="54">
        <v>0.66078265434356398</v>
      </c>
      <c r="N92" s="54">
        <v>4.7254726514118503E-3</v>
      </c>
      <c r="O92" s="54">
        <v>0.419764285171493</v>
      </c>
      <c r="P92" s="54">
        <v>0.18486701008433401</v>
      </c>
      <c r="Q92" s="54">
        <v>3.4115011884511999E-3</v>
      </c>
      <c r="R92" s="54">
        <v>1.31025095298606</v>
      </c>
      <c r="S92" s="52">
        <v>3335.49</v>
      </c>
      <c r="T92" s="67">
        <v>25.614999999999998</v>
      </c>
      <c r="U92" s="52">
        <v>3314.5945056113501</v>
      </c>
      <c r="V92" s="67">
        <v>16.7894178999288</v>
      </c>
      <c r="W92" s="52">
        <v>3270.1948092028802</v>
      </c>
      <c r="X92" s="67">
        <v>18.426978480768899</v>
      </c>
      <c r="Y92" s="52">
        <v>3428.6112281385199</v>
      </c>
      <c r="Z92" s="67">
        <v>58.195595467488999</v>
      </c>
      <c r="AA92" s="71">
        <f t="shared" si="3"/>
        <v>0.9865144671193713</v>
      </c>
      <c r="AB92" s="48">
        <v>32.731290000000001</v>
      </c>
      <c r="AC92" s="52">
        <v>598.97393054943996</v>
      </c>
      <c r="AD92" s="53">
        <v>7.7584583242913601</v>
      </c>
      <c r="AE92" s="52">
        <v>1520.1831498377801</v>
      </c>
      <c r="AF92" s="53">
        <v>1.8562901836376999</v>
      </c>
      <c r="AG92" s="53">
        <v>0.55500629947592295</v>
      </c>
      <c r="AH92" s="53">
        <v>1.4882909454117199</v>
      </c>
      <c r="AI92" s="53">
        <v>9.7246704443046195</v>
      </c>
      <c r="AJ92" s="53">
        <v>0.64414566919980398</v>
      </c>
      <c r="AK92" s="53">
        <v>5.4217503179133901</v>
      </c>
      <c r="AL92" s="53">
        <v>7.5516683380892902</v>
      </c>
      <c r="AM92" s="53">
        <v>1.29429851910286</v>
      </c>
      <c r="AN92" s="48">
        <v>38.070854229887402</v>
      </c>
      <c r="AO92" s="48">
        <v>12.8314308691831</v>
      </c>
      <c r="AP92" s="52">
        <v>147.687089250615</v>
      </c>
      <c r="AQ92" s="48">
        <v>55.041253882233597</v>
      </c>
      <c r="AR92" s="52">
        <v>227.621407825375</v>
      </c>
      <c r="AS92" s="48">
        <v>43.287878640859802</v>
      </c>
      <c r="AT92" s="52">
        <v>360.83999151301998</v>
      </c>
      <c r="AU92" s="48">
        <v>68.336972565874603</v>
      </c>
      <c r="AV92" s="52">
        <v>7450.6267330266101</v>
      </c>
      <c r="AW92" s="53">
        <v>0.81238298426260103</v>
      </c>
      <c r="AX92" s="64">
        <v>0.70104351879826998</v>
      </c>
      <c r="AY92" s="64">
        <v>0</v>
      </c>
      <c r="AZ92" s="53">
        <v>7.4686570784057498</v>
      </c>
      <c r="BA92" s="64">
        <v>1.4007660220490699E-3</v>
      </c>
      <c r="BB92" s="48">
        <v>152.125543098734</v>
      </c>
      <c r="BC92" s="48">
        <v>85.243248934117901</v>
      </c>
      <c r="BD92" s="52">
        <v>155.18255030157101</v>
      </c>
    </row>
    <row r="93" spans="1:56" s="39" customFormat="1" ht="12" customHeight="1">
      <c r="A93" s="47" t="s">
        <v>26</v>
      </c>
      <c r="B93" s="39" t="s">
        <v>209</v>
      </c>
      <c r="C93" s="39" t="s">
        <v>126</v>
      </c>
      <c r="D93" s="48">
        <v>274.20372808216598</v>
      </c>
      <c r="E93" s="52">
        <v>215.21757674801401</v>
      </c>
      <c r="F93" s="52">
        <v>624.17516700764099</v>
      </c>
      <c r="G93" s="122">
        <f t="shared" si="2"/>
        <v>0.34480317084671741</v>
      </c>
      <c r="H93" s="48">
        <v>31.979723134061899</v>
      </c>
      <c r="I93" s="54">
        <v>0.220748256725321</v>
      </c>
      <c r="J93" s="54">
        <v>4.0830414868512598E-3</v>
      </c>
      <c r="K93" s="54">
        <v>8.9125669855135303</v>
      </c>
      <c r="L93" s="54">
        <v>0.187751013474869</v>
      </c>
      <c r="M93" s="54">
        <v>0.29080056749337402</v>
      </c>
      <c r="N93" s="54">
        <v>2.4867714409205601E-3</v>
      </c>
      <c r="O93" s="54">
        <v>0.40593933728405301</v>
      </c>
      <c r="P93" s="54">
        <v>0.124725237386847</v>
      </c>
      <c r="Q93" s="54">
        <v>5.4747108115736597E-3</v>
      </c>
      <c r="R93" s="54">
        <v>2.0656626641308402</v>
      </c>
      <c r="S93" s="52">
        <v>2986.1149999999998</v>
      </c>
      <c r="T93" s="67">
        <v>24.537499999999898</v>
      </c>
      <c r="U93" s="52">
        <v>2329.0890436301902</v>
      </c>
      <c r="V93" s="67">
        <v>19.297174304967299</v>
      </c>
      <c r="W93" s="52">
        <v>1645.5285791475901</v>
      </c>
      <c r="X93" s="67">
        <v>12.450985568237201</v>
      </c>
      <c r="Y93" s="52">
        <v>2375.7205132415902</v>
      </c>
      <c r="Z93" s="67">
        <v>98.385011431424999</v>
      </c>
      <c r="AA93" s="71">
        <f t="shared" si="3"/>
        <v>0.65603711885880811</v>
      </c>
      <c r="AB93" s="48">
        <v>32.731290000000001</v>
      </c>
      <c r="AC93" s="52">
        <v>534.214019347869</v>
      </c>
      <c r="AD93" s="48">
        <v>42.200166652336797</v>
      </c>
      <c r="AE93" s="52">
        <v>1220.22141963893</v>
      </c>
      <c r="AF93" s="53">
        <v>4.9203736219556102</v>
      </c>
      <c r="AG93" s="53">
        <v>34.239028245950998</v>
      </c>
      <c r="AH93" s="53">
        <v>3.7151629603512601</v>
      </c>
      <c r="AI93" s="48">
        <v>54.7028411341661</v>
      </c>
      <c r="AJ93" s="53">
        <v>5.9825920674466904</v>
      </c>
      <c r="AK93" s="48">
        <v>44.905678544552103</v>
      </c>
      <c r="AL93" s="48">
        <v>43.833828897571699</v>
      </c>
      <c r="AM93" s="48">
        <v>35.661924984827102</v>
      </c>
      <c r="AN93" s="48">
        <v>72.985717121599905</v>
      </c>
      <c r="AO93" s="48">
        <v>14.622239181010899</v>
      </c>
      <c r="AP93" s="52">
        <v>125.600249773893</v>
      </c>
      <c r="AQ93" s="48">
        <v>41.645218241924901</v>
      </c>
      <c r="AR93" s="52">
        <v>175.13230751738399</v>
      </c>
      <c r="AS93" s="48">
        <v>35.405844991227902</v>
      </c>
      <c r="AT93" s="52">
        <v>309.23489980147798</v>
      </c>
      <c r="AU93" s="48">
        <v>60.743431618164699</v>
      </c>
      <c r="AV93" s="52">
        <v>9762.5552859898999</v>
      </c>
      <c r="AW93" s="53">
        <v>2.3184315391691999</v>
      </c>
      <c r="AX93" s="64">
        <v>4.77562018876871</v>
      </c>
      <c r="AY93" s="64">
        <v>0</v>
      </c>
      <c r="AZ93" s="48">
        <v>31.979723134061899</v>
      </c>
      <c r="BA93" s="64">
        <v>0.173930451035268</v>
      </c>
      <c r="BB93" s="48">
        <v>274.20372808216598</v>
      </c>
      <c r="BC93" s="52">
        <v>215.21757674801401</v>
      </c>
      <c r="BD93" s="52">
        <v>624.17516700764099</v>
      </c>
    </row>
    <row r="94" spans="1:56" s="39" customFormat="1" ht="12" customHeight="1">
      <c r="A94" s="47" t="s">
        <v>26</v>
      </c>
      <c r="B94" s="39" t="s">
        <v>210</v>
      </c>
      <c r="C94" s="39" t="s">
        <v>126</v>
      </c>
      <c r="D94" s="48">
        <v>277.52621986576997</v>
      </c>
      <c r="E94" s="52">
        <v>160.337535586515</v>
      </c>
      <c r="F94" s="52">
        <v>304.21872028761601</v>
      </c>
      <c r="G94" s="122">
        <f t="shared" si="2"/>
        <v>0.52704690702441936</v>
      </c>
      <c r="H94" s="53">
        <v>7.4869451715466599</v>
      </c>
      <c r="I94" s="54">
        <v>0.26940442496947697</v>
      </c>
      <c r="J94" s="54">
        <v>4.7279856115686201E-3</v>
      </c>
      <c r="K94" s="54">
        <v>23.960748868345199</v>
      </c>
      <c r="L94" s="54">
        <v>0.49538215957881698</v>
      </c>
      <c r="M94" s="54">
        <v>0.64283179215428299</v>
      </c>
      <c r="N94" s="54">
        <v>8.2001963255788797E-3</v>
      </c>
      <c r="O94" s="54">
        <v>0.61700250634106801</v>
      </c>
      <c r="P94" s="54">
        <v>0.17626681651057599</v>
      </c>
      <c r="Q94" s="54">
        <v>3.27114532887064E-3</v>
      </c>
      <c r="R94" s="54">
        <v>1.3619425711508599</v>
      </c>
      <c r="S94" s="52">
        <v>3302.7750000000001</v>
      </c>
      <c r="T94" s="67">
        <v>28.242500000000099</v>
      </c>
      <c r="U94" s="52">
        <v>3266.7965129607001</v>
      </c>
      <c r="V94" s="67">
        <v>20.2738142992525</v>
      </c>
      <c r="W94" s="52">
        <v>3200.1383099579298</v>
      </c>
      <c r="X94" s="67">
        <v>32.223651564595798</v>
      </c>
      <c r="Y94" s="52">
        <v>3281.36854027041</v>
      </c>
      <c r="Z94" s="67">
        <v>56.209301820580201</v>
      </c>
      <c r="AA94" s="71">
        <f t="shared" si="3"/>
        <v>0.97938491578219233</v>
      </c>
      <c r="AB94" s="48">
        <v>32.731290000000001</v>
      </c>
      <c r="AC94" s="52">
        <v>546.44366894403197</v>
      </c>
      <c r="AD94" s="53">
        <v>8.1506125193048202</v>
      </c>
      <c r="AE94" s="52">
        <v>1415.2344214294901</v>
      </c>
      <c r="AF94" s="53">
        <v>6.46408633052918</v>
      </c>
      <c r="AG94" s="53">
        <v>2.94816102921222</v>
      </c>
      <c r="AH94" s="53">
        <v>0.80214178495975796</v>
      </c>
      <c r="AI94" s="48">
        <v>24.944617936244299</v>
      </c>
      <c r="AJ94" s="53">
        <v>1.2093321626532401</v>
      </c>
      <c r="AK94" s="53">
        <v>9.5492979734081693</v>
      </c>
      <c r="AL94" s="53">
        <v>8.4297048905999006</v>
      </c>
      <c r="AM94" s="53">
        <v>4.5747748287026502</v>
      </c>
      <c r="AN94" s="48">
        <v>35.566429049602398</v>
      </c>
      <c r="AO94" s="48">
        <v>11.583092286205099</v>
      </c>
      <c r="AP94" s="52">
        <v>132.56283859483099</v>
      </c>
      <c r="AQ94" s="48">
        <v>51.279245115145798</v>
      </c>
      <c r="AR94" s="52">
        <v>220.03684011075899</v>
      </c>
      <c r="AS94" s="48">
        <v>42.456011069681097</v>
      </c>
      <c r="AT94" s="52">
        <v>361.28276291043602</v>
      </c>
      <c r="AU94" s="48">
        <v>67.784439178777802</v>
      </c>
      <c r="AV94" s="52">
        <v>9046.8591525087595</v>
      </c>
      <c r="AW94" s="53">
        <v>2.3199861039889398</v>
      </c>
      <c r="AX94" s="64">
        <v>0.90880635274236299</v>
      </c>
      <c r="AY94" s="64">
        <v>0</v>
      </c>
      <c r="AZ94" s="53">
        <v>7.4869451715466599</v>
      </c>
      <c r="BA94" s="64">
        <v>8.2314852405913803E-3</v>
      </c>
      <c r="BB94" s="48">
        <v>277.52621986576997</v>
      </c>
      <c r="BC94" s="52">
        <v>160.337535586515</v>
      </c>
      <c r="BD94" s="52">
        <v>304.21872028761601</v>
      </c>
    </row>
    <row r="95" spans="1:56" s="39" customFormat="1" ht="12" customHeight="1">
      <c r="A95" s="47" t="s">
        <v>26</v>
      </c>
      <c r="B95" s="39" t="s">
        <v>211</v>
      </c>
      <c r="C95" s="39" t="s">
        <v>126</v>
      </c>
      <c r="D95" s="48">
        <v>219.20660242938601</v>
      </c>
      <c r="E95" s="52">
        <v>151.624249040378</v>
      </c>
      <c r="F95" s="52">
        <v>271.73293607109298</v>
      </c>
      <c r="G95" s="122">
        <f t="shared" si="2"/>
        <v>0.55798995599381018</v>
      </c>
      <c r="H95" s="48">
        <v>16.169187744055002</v>
      </c>
      <c r="I95" s="54">
        <v>0.25325292380299402</v>
      </c>
      <c r="J95" s="54">
        <v>4.7071971787971401E-3</v>
      </c>
      <c r="K95" s="54">
        <v>20.215777383473601</v>
      </c>
      <c r="L95" s="54">
        <v>0.62924111246760595</v>
      </c>
      <c r="M95" s="54">
        <v>0.57336546530938604</v>
      </c>
      <c r="N95" s="54">
        <v>1.3465448340139999E-2</v>
      </c>
      <c r="O95" s="54">
        <v>0.75450590525182304</v>
      </c>
      <c r="P95" s="54">
        <v>0.17555760103436299</v>
      </c>
      <c r="Q95" s="54">
        <v>4.06953847251344E-3</v>
      </c>
      <c r="R95" s="54">
        <v>1.2475795411900501</v>
      </c>
      <c r="S95" s="52">
        <v>3205.25</v>
      </c>
      <c r="T95" s="67">
        <v>29.317500000000098</v>
      </c>
      <c r="U95" s="52">
        <v>3101.7364279717599</v>
      </c>
      <c r="V95" s="67">
        <v>30.1891291456093</v>
      </c>
      <c r="W95" s="52">
        <v>2921.6240682478401</v>
      </c>
      <c r="X95" s="67">
        <v>55.193369547117499</v>
      </c>
      <c r="Y95" s="52">
        <v>3269.1781526578602</v>
      </c>
      <c r="Z95" s="67">
        <v>69.970574822748702</v>
      </c>
      <c r="AA95" s="71">
        <f t="shared" si="3"/>
        <v>0.94019539098250471</v>
      </c>
      <c r="AB95" s="48">
        <v>32.731290000000001</v>
      </c>
      <c r="AC95" s="52">
        <v>715.30295193515406</v>
      </c>
      <c r="AD95" s="48">
        <v>10.1218588179668</v>
      </c>
      <c r="AE95" s="52">
        <v>2025.2585636542599</v>
      </c>
      <c r="AF95" s="53">
        <v>3.47996793024971</v>
      </c>
      <c r="AG95" s="53">
        <v>6.4098883018784401</v>
      </c>
      <c r="AH95" s="53">
        <v>5.3657726889382298</v>
      </c>
      <c r="AI95" s="48">
        <v>41.787783357275799</v>
      </c>
      <c r="AJ95" s="53">
        <v>5.0652699127304697</v>
      </c>
      <c r="AK95" s="48">
        <v>36.526533347074697</v>
      </c>
      <c r="AL95" s="48">
        <v>21.385872485067601</v>
      </c>
      <c r="AM95" s="48">
        <v>21.889476706769202</v>
      </c>
      <c r="AN95" s="48">
        <v>68.618616084126998</v>
      </c>
      <c r="AO95" s="48">
        <v>19.164644114961099</v>
      </c>
      <c r="AP95" s="52">
        <v>206.56248031910499</v>
      </c>
      <c r="AQ95" s="48">
        <v>74.121749664240795</v>
      </c>
      <c r="AR95" s="52">
        <v>302.53794533579099</v>
      </c>
      <c r="AS95" s="48">
        <v>56.246681136173699</v>
      </c>
      <c r="AT95" s="52">
        <v>465.80932850524499</v>
      </c>
      <c r="AU95" s="48">
        <v>90.189039049231596</v>
      </c>
      <c r="AV95" s="52">
        <v>7702.8276239503102</v>
      </c>
      <c r="AW95" s="53">
        <v>1.04093192470715</v>
      </c>
      <c r="AX95" s="64">
        <v>1.1862915880591001</v>
      </c>
      <c r="AY95" s="64">
        <v>0</v>
      </c>
      <c r="AZ95" s="48">
        <v>16.169187744055002</v>
      </c>
      <c r="BA95" s="64">
        <v>2.4536762375489699E-2</v>
      </c>
      <c r="BB95" s="48">
        <v>219.20660242938601</v>
      </c>
      <c r="BC95" s="52">
        <v>151.624249040378</v>
      </c>
      <c r="BD95" s="52">
        <v>271.73293607109298</v>
      </c>
    </row>
    <row r="96" spans="1:56" s="39" customFormat="1" ht="12" customHeight="1">
      <c r="A96" s="47" t="s">
        <v>26</v>
      </c>
      <c r="B96" s="39" t="s">
        <v>212</v>
      </c>
      <c r="C96" s="39" t="s">
        <v>126</v>
      </c>
      <c r="D96" s="48">
        <v>283.72966185303301</v>
      </c>
      <c r="E96" s="52">
        <v>216.83045918366699</v>
      </c>
      <c r="F96" s="52">
        <v>425.44258771741102</v>
      </c>
      <c r="G96" s="122">
        <f t="shared" si="2"/>
        <v>0.50965856602886894</v>
      </c>
      <c r="H96" s="53">
        <v>8.0055042075903504</v>
      </c>
      <c r="I96" s="54">
        <v>0.24979439000363499</v>
      </c>
      <c r="J96" s="54">
        <v>4.7658859228028204E-3</v>
      </c>
      <c r="K96" s="54">
        <v>17.0190522054463</v>
      </c>
      <c r="L96" s="54">
        <v>0.49325936283127803</v>
      </c>
      <c r="M96" s="54">
        <v>0.48852142636106299</v>
      </c>
      <c r="N96" s="54">
        <v>9.4303237063624399E-3</v>
      </c>
      <c r="O96" s="54">
        <v>0.66604414831255299</v>
      </c>
      <c r="P96" s="54">
        <v>0.130065777100591</v>
      </c>
      <c r="Q96" s="54">
        <v>3.0136487373291E-3</v>
      </c>
      <c r="R96" s="54">
        <v>1.4055785993223699</v>
      </c>
      <c r="S96" s="52">
        <v>3183.645</v>
      </c>
      <c r="T96" s="67">
        <v>30.242500000000099</v>
      </c>
      <c r="U96" s="52">
        <v>2935.9086703405101</v>
      </c>
      <c r="V96" s="67">
        <v>27.8670286382435</v>
      </c>
      <c r="W96" s="52">
        <v>2564.2758805440499</v>
      </c>
      <c r="X96" s="67">
        <v>40.863842292809302</v>
      </c>
      <c r="Y96" s="52">
        <v>2471.4672229137</v>
      </c>
      <c r="Z96" s="67">
        <v>53.901779723892197</v>
      </c>
      <c r="AA96" s="71">
        <f t="shared" si="3"/>
        <v>0.86486533811426636</v>
      </c>
      <c r="AB96" s="48">
        <v>32.731290000000001</v>
      </c>
      <c r="AC96" s="52">
        <v>575.41000949967702</v>
      </c>
      <c r="AD96" s="53">
        <v>7.5318882863216503</v>
      </c>
      <c r="AE96" s="52">
        <v>1791.9428695172501</v>
      </c>
      <c r="AF96" s="53">
        <v>4.0192090711437096</v>
      </c>
      <c r="AG96" s="53">
        <v>13.3143886297081</v>
      </c>
      <c r="AH96" s="53">
        <v>1.80455527576538</v>
      </c>
      <c r="AI96" s="48">
        <v>32.459732634493399</v>
      </c>
      <c r="AJ96" s="53">
        <v>2.8044205006743099</v>
      </c>
      <c r="AK96" s="48">
        <v>20.589271859667502</v>
      </c>
      <c r="AL96" s="48">
        <v>19.061663478415401</v>
      </c>
      <c r="AM96" s="48">
        <v>16.953057924635601</v>
      </c>
      <c r="AN96" s="48">
        <v>65.253289679980497</v>
      </c>
      <c r="AO96" s="48">
        <v>17.840309568963999</v>
      </c>
      <c r="AP96" s="52">
        <v>187.51519438366699</v>
      </c>
      <c r="AQ96" s="48">
        <v>64.623103143650198</v>
      </c>
      <c r="AR96" s="52">
        <v>261.42401322954601</v>
      </c>
      <c r="AS96" s="48">
        <v>48.749706252838102</v>
      </c>
      <c r="AT96" s="52">
        <v>401.02106836866699</v>
      </c>
      <c r="AU96" s="48">
        <v>72.858227372182597</v>
      </c>
      <c r="AV96" s="52">
        <v>9180.16092064433</v>
      </c>
      <c r="AW96" s="53">
        <v>1.6742606542302401</v>
      </c>
      <c r="AX96" s="64">
        <v>1.64723133488253</v>
      </c>
      <c r="AY96" s="64">
        <v>0</v>
      </c>
      <c r="AZ96" s="53">
        <v>8.0055042075903504</v>
      </c>
      <c r="BA96" s="64">
        <v>3.0014053682344201E-2</v>
      </c>
      <c r="BB96" s="48">
        <v>283.72966185303301</v>
      </c>
      <c r="BC96" s="52">
        <v>216.83045918366699</v>
      </c>
      <c r="BD96" s="52">
        <v>425.44258771741102</v>
      </c>
    </row>
    <row r="97" spans="1:56" s="39" customFormat="1" ht="12" customHeight="1">
      <c r="A97" s="47" t="s">
        <v>26</v>
      </c>
      <c r="B97" s="39" t="s">
        <v>213</v>
      </c>
      <c r="C97" s="39" t="s">
        <v>126</v>
      </c>
      <c r="D97" s="48">
        <v>351.40901517478898</v>
      </c>
      <c r="E97" s="52">
        <v>226.66354908256</v>
      </c>
      <c r="F97" s="52">
        <v>387.351150286723</v>
      </c>
      <c r="G97" s="122">
        <f t="shared" si="2"/>
        <v>0.5851629688327511</v>
      </c>
      <c r="H97" s="53">
        <v>8.4522857013585693</v>
      </c>
      <c r="I97" s="54">
        <v>0.26680291184307903</v>
      </c>
      <c r="J97" s="54">
        <v>4.5276822665109304E-3</v>
      </c>
      <c r="K97" s="54">
        <v>23.433180519421299</v>
      </c>
      <c r="L97" s="54">
        <v>0.465334142271772</v>
      </c>
      <c r="M97" s="54">
        <v>0.63401010457464002</v>
      </c>
      <c r="N97" s="54">
        <v>7.2055573795228103E-3</v>
      </c>
      <c r="O97" s="54">
        <v>0.57231841624206703</v>
      </c>
      <c r="P97" s="54">
        <v>0.165671739116071</v>
      </c>
      <c r="Q97" s="54">
        <v>3.0510670574990699E-3</v>
      </c>
      <c r="R97" s="54">
        <v>1.2308598617042299</v>
      </c>
      <c r="S97" s="52">
        <v>3287.3449999999998</v>
      </c>
      <c r="T97" s="67">
        <v>26.852500000000202</v>
      </c>
      <c r="U97" s="52">
        <v>3245.1054128891201</v>
      </c>
      <c r="V97" s="67">
        <v>19.463639814109602</v>
      </c>
      <c r="W97" s="52">
        <v>3165.4290434739701</v>
      </c>
      <c r="X97" s="67">
        <v>28.478346414602999</v>
      </c>
      <c r="Y97" s="52">
        <v>3098.4845062623799</v>
      </c>
      <c r="Z97" s="67">
        <v>52.904142868815299</v>
      </c>
      <c r="AA97" s="71">
        <f t="shared" si="3"/>
        <v>0.97514205096080142</v>
      </c>
      <c r="AB97" s="48">
        <v>32.731290000000001</v>
      </c>
      <c r="AC97" s="52">
        <v>715.80162837640796</v>
      </c>
      <c r="AD97" s="53">
        <v>5.1434927436489497</v>
      </c>
      <c r="AE97" s="52">
        <v>1959.78444017227</v>
      </c>
      <c r="AF97" s="53">
        <v>2.6419151202723201</v>
      </c>
      <c r="AG97" s="53">
        <v>4.5907404211640301</v>
      </c>
      <c r="AH97" s="53">
        <v>0.94295376566010802</v>
      </c>
      <c r="AI97" s="48">
        <v>19.2356237752523</v>
      </c>
      <c r="AJ97" s="53">
        <v>1.30924257863161</v>
      </c>
      <c r="AK97" s="48">
        <v>13.320787834090099</v>
      </c>
      <c r="AL97" s="48">
        <v>14.0316015515752</v>
      </c>
      <c r="AM97" s="53">
        <v>3.2378960761848901</v>
      </c>
      <c r="AN97" s="48">
        <v>59.997368099656498</v>
      </c>
      <c r="AO97" s="48">
        <v>18.0293793181824</v>
      </c>
      <c r="AP97" s="52">
        <v>199.909387644399</v>
      </c>
      <c r="AQ97" s="48">
        <v>71.354714223399199</v>
      </c>
      <c r="AR97" s="52">
        <v>290.01811465981802</v>
      </c>
      <c r="AS97" s="48">
        <v>54.308196969393002</v>
      </c>
      <c r="AT97" s="52">
        <v>446.86535230649901</v>
      </c>
      <c r="AU97" s="48">
        <v>82.179309191252699</v>
      </c>
      <c r="AV97" s="52">
        <v>8860.7923671127901</v>
      </c>
      <c r="AW97" s="53">
        <v>1.3840636424405901</v>
      </c>
      <c r="AX97" s="64">
        <v>0.45025839487831099</v>
      </c>
      <c r="AY97" s="64">
        <v>0</v>
      </c>
      <c r="AZ97" s="53">
        <v>8.4522857013585693</v>
      </c>
      <c r="BA97" s="64">
        <v>1.19065425431042E-2</v>
      </c>
      <c r="BB97" s="48">
        <v>351.40901517478898</v>
      </c>
      <c r="BC97" s="52">
        <v>226.66354908256</v>
      </c>
      <c r="BD97" s="52">
        <v>387.351150286723</v>
      </c>
    </row>
    <row r="98" spans="1:56" s="39" customFormat="1" ht="12" customHeight="1">
      <c r="A98" s="47" t="s">
        <v>26</v>
      </c>
      <c r="B98" s="39" t="s">
        <v>214</v>
      </c>
      <c r="D98" s="48">
        <v>221.89165033814999</v>
      </c>
      <c r="E98" s="52">
        <v>165.77984644562301</v>
      </c>
      <c r="F98" s="52">
        <v>338.74828674748301</v>
      </c>
      <c r="G98" s="122">
        <f t="shared" si="2"/>
        <v>0.48938947569999719</v>
      </c>
      <c r="H98" s="53">
        <v>0.90720439057244895</v>
      </c>
      <c r="I98" s="54">
        <v>0.249274615345499</v>
      </c>
      <c r="J98" s="54">
        <v>3.9949101257416401E-3</v>
      </c>
      <c r="K98" s="54">
        <v>17.114465187580599</v>
      </c>
      <c r="L98" s="54">
        <v>0.40796047926040302</v>
      </c>
      <c r="M98" s="54">
        <v>0.49332034988965701</v>
      </c>
      <c r="N98" s="54">
        <v>7.1128123252395996E-3</v>
      </c>
      <c r="O98" s="54">
        <v>0.604863750468007</v>
      </c>
      <c r="P98" s="54">
        <v>0.137948307097923</v>
      </c>
      <c r="Q98" s="54">
        <v>2.73608372797723E-3</v>
      </c>
      <c r="R98" s="54">
        <v>1.4589147195047401</v>
      </c>
      <c r="S98" s="52">
        <v>3179.94</v>
      </c>
      <c r="T98" s="67">
        <v>25.307499999999902</v>
      </c>
      <c r="U98" s="52">
        <v>2941.2710572477699</v>
      </c>
      <c r="V98" s="67">
        <v>22.954998676741099</v>
      </c>
      <c r="W98" s="52">
        <v>2585.0253888842499</v>
      </c>
      <c r="X98" s="67">
        <v>30.7365355265628</v>
      </c>
      <c r="Y98" s="52">
        <v>2611.9638267740902</v>
      </c>
      <c r="Z98" s="67">
        <v>48.598296496840099</v>
      </c>
      <c r="AA98" s="71">
        <f t="shared" si="3"/>
        <v>0.87107254493635988</v>
      </c>
      <c r="AB98" s="48">
        <v>32.731290000000001</v>
      </c>
      <c r="AC98" s="52">
        <v>531.21259351022104</v>
      </c>
      <c r="AD98" s="53">
        <v>7.2016985084210603</v>
      </c>
      <c r="AE98" s="52">
        <v>1485.4473431241299</v>
      </c>
      <c r="AF98" s="53">
        <v>2.73656049250422</v>
      </c>
      <c r="AG98" s="53">
        <v>7.6051002896549198</v>
      </c>
      <c r="AH98" s="53">
        <v>2.4567775414498798</v>
      </c>
      <c r="AI98" s="48">
        <v>23.425995673000099</v>
      </c>
      <c r="AJ98" s="53">
        <v>1.41716236129355</v>
      </c>
      <c r="AK98" s="53">
        <v>9.7943675708039297</v>
      </c>
      <c r="AL98" s="48">
        <v>11.0699621164582</v>
      </c>
      <c r="AM98" s="53">
        <v>4.5883811839773001</v>
      </c>
      <c r="AN98" s="48">
        <v>43.403558795137599</v>
      </c>
      <c r="AO98" s="48">
        <v>13.263983103155001</v>
      </c>
      <c r="AP98" s="52">
        <v>145.544587336136</v>
      </c>
      <c r="AQ98" s="48">
        <v>52.721869045550598</v>
      </c>
      <c r="AR98" s="52">
        <v>224.92284184310401</v>
      </c>
      <c r="AS98" s="48">
        <v>42.7204363840412</v>
      </c>
      <c r="AT98" s="52">
        <v>365.84417370056701</v>
      </c>
      <c r="AU98" s="48">
        <v>68.7015812704973</v>
      </c>
      <c r="AV98" s="52">
        <v>9103.2659383596801</v>
      </c>
      <c r="AW98" s="53">
        <v>1.1386482618487499</v>
      </c>
      <c r="AX98" s="64">
        <v>1.07006410213431</v>
      </c>
      <c r="AY98" s="64">
        <v>0</v>
      </c>
      <c r="AZ98" s="53">
        <v>0.90720439057244895</v>
      </c>
      <c r="BA98" s="64">
        <v>2.0813423281413002E-2</v>
      </c>
      <c r="BB98" s="48">
        <v>221.89165033814999</v>
      </c>
      <c r="BC98" s="52">
        <v>165.77984644562301</v>
      </c>
      <c r="BD98" s="52">
        <v>338.74828674748301</v>
      </c>
    </row>
    <row r="99" spans="1:56" s="40" customFormat="1" ht="12" customHeight="1">
      <c r="A99" s="47" t="s">
        <v>26</v>
      </c>
      <c r="B99" s="40" t="s">
        <v>215</v>
      </c>
      <c r="C99" s="40" t="s">
        <v>126</v>
      </c>
      <c r="D99" s="56">
        <v>292.77518371170402</v>
      </c>
      <c r="E99" s="56">
        <v>187.41795493912599</v>
      </c>
      <c r="F99" s="56">
        <v>384.70417295728998</v>
      </c>
      <c r="G99" s="122">
        <f t="shared" si="2"/>
        <v>0.48717421882484546</v>
      </c>
      <c r="H99" s="49">
        <v>63.902352131928602</v>
      </c>
      <c r="I99" s="58">
        <v>0.212890338041206</v>
      </c>
      <c r="J99" s="58">
        <v>4.6660094864806601E-3</v>
      </c>
      <c r="K99" s="58">
        <v>12.935461855962901</v>
      </c>
      <c r="L99" s="58">
        <v>0.28630839322322899</v>
      </c>
      <c r="M99" s="58">
        <v>0.44026219024692698</v>
      </c>
      <c r="N99" s="58">
        <v>4.57382408884968E-3</v>
      </c>
      <c r="O99" s="58">
        <v>0.46937064800487699</v>
      </c>
      <c r="P99" s="58">
        <v>0.17494615252958801</v>
      </c>
      <c r="Q99" s="58">
        <v>1.0814613297897799E-2</v>
      </c>
      <c r="R99" s="58">
        <v>1.5047040234072</v>
      </c>
      <c r="S99" s="56">
        <v>2927.47</v>
      </c>
      <c r="T99" s="68">
        <v>35.492500000000099</v>
      </c>
      <c r="U99" s="56">
        <v>2674.96248563464</v>
      </c>
      <c r="V99" s="68">
        <v>20.9405114793826</v>
      </c>
      <c r="W99" s="56">
        <v>2351.8141729208701</v>
      </c>
      <c r="X99" s="68">
        <v>20.511157564199198</v>
      </c>
      <c r="Y99" s="56">
        <v>3258.6623327258399</v>
      </c>
      <c r="Z99" s="68">
        <v>186.04038452699299</v>
      </c>
      <c r="AA99" s="71">
        <f t="shared" si="3"/>
        <v>0.87142921412122987</v>
      </c>
      <c r="AB99" s="49">
        <v>32.731290000000001</v>
      </c>
      <c r="AC99" s="56">
        <v>522.48541337708605</v>
      </c>
      <c r="AD99" s="49">
        <v>12.428855764092701</v>
      </c>
      <c r="AE99" s="56">
        <v>603.64209718004304</v>
      </c>
      <c r="AF99" s="59">
        <v>1.50926916453011</v>
      </c>
      <c r="AG99" s="59">
        <v>19.563477486881801</v>
      </c>
      <c r="AH99" s="59">
        <v>1.4364111400597701</v>
      </c>
      <c r="AI99" s="49">
        <v>36.486958632193399</v>
      </c>
      <c r="AJ99" s="59">
        <v>2.3559804559883601</v>
      </c>
      <c r="AK99" s="49">
        <v>18.579113297728199</v>
      </c>
      <c r="AL99" s="49">
        <v>14.7625672761733</v>
      </c>
      <c r="AM99" s="49">
        <v>16.6575169611483</v>
      </c>
      <c r="AN99" s="49">
        <v>33.273004572633099</v>
      </c>
      <c r="AO99" s="59">
        <v>7.8595008423478099</v>
      </c>
      <c r="AP99" s="49">
        <v>67.696716619085095</v>
      </c>
      <c r="AQ99" s="49">
        <v>20.3393866526328</v>
      </c>
      <c r="AR99" s="49">
        <v>77.818254517870599</v>
      </c>
      <c r="AS99" s="49">
        <v>14.844159350177</v>
      </c>
      <c r="AT99" s="56">
        <v>126.028748504673</v>
      </c>
      <c r="AU99" s="49">
        <v>22.9833664129632</v>
      </c>
      <c r="AV99" s="56">
        <v>9084.1734140058998</v>
      </c>
      <c r="AW99" s="59">
        <v>0.38664594740041902</v>
      </c>
      <c r="AX99" s="72">
        <v>2.33343541564656</v>
      </c>
      <c r="AY99" s="72">
        <v>0</v>
      </c>
      <c r="AZ99" s="49">
        <v>63.902352131928602</v>
      </c>
      <c r="BA99" s="72">
        <v>1.85723203729223E-2</v>
      </c>
      <c r="BB99" s="56">
        <v>292.77518371170402</v>
      </c>
      <c r="BC99" s="56">
        <v>187.41795493912599</v>
      </c>
      <c r="BD99" s="56">
        <v>384.70417295728998</v>
      </c>
    </row>
    <row r="100" spans="1:56" s="40" customFormat="1" ht="12" customHeight="1">
      <c r="A100" s="47" t="s">
        <v>26</v>
      </c>
      <c r="B100" s="40" t="s">
        <v>216</v>
      </c>
      <c r="C100" s="40" t="s">
        <v>126</v>
      </c>
      <c r="D100" s="56">
        <v>289.42879129972198</v>
      </c>
      <c r="E100" s="56">
        <v>473.35301962712401</v>
      </c>
      <c r="F100" s="56">
        <v>334.130754947779</v>
      </c>
      <c r="G100" s="122">
        <f t="shared" si="2"/>
        <v>1.4166700090241735</v>
      </c>
      <c r="H100" s="59">
        <v>3.5411628708788099</v>
      </c>
      <c r="I100" s="58">
        <v>0.225611959367612</v>
      </c>
      <c r="J100" s="58">
        <v>4.33527410289717E-3</v>
      </c>
      <c r="K100" s="58">
        <v>16.521040929537801</v>
      </c>
      <c r="L100" s="58">
        <v>0.331346931251081</v>
      </c>
      <c r="M100" s="58">
        <v>0.52930518705892105</v>
      </c>
      <c r="N100" s="58">
        <v>4.7436658972877296E-3</v>
      </c>
      <c r="O100" s="58">
        <v>0.44685065398670698</v>
      </c>
      <c r="P100" s="58">
        <v>0.145923100060811</v>
      </c>
      <c r="Q100" s="58">
        <v>2.79788286603707E-3</v>
      </c>
      <c r="R100" s="58">
        <v>0.506684150648267</v>
      </c>
      <c r="S100" s="56">
        <v>3021.2950000000001</v>
      </c>
      <c r="T100" s="68">
        <v>30.867500000000099</v>
      </c>
      <c r="U100" s="56">
        <v>2907.45037064499</v>
      </c>
      <c r="V100" s="68">
        <v>19.303798122337099</v>
      </c>
      <c r="W100" s="56">
        <v>2738.5238108143499</v>
      </c>
      <c r="X100" s="68">
        <v>20.050378659324501</v>
      </c>
      <c r="Y100" s="56">
        <v>2753.1180015617801</v>
      </c>
      <c r="Z100" s="68">
        <v>49.350124381555197</v>
      </c>
      <c r="AA100" s="71">
        <f t="shared" si="3"/>
        <v>0.94016034987004604</v>
      </c>
      <c r="AB100" s="49">
        <v>32.731290000000001</v>
      </c>
      <c r="AC100" s="56">
        <v>551.45244381815201</v>
      </c>
      <c r="AD100" s="49">
        <v>15.1479284981527</v>
      </c>
      <c r="AE100" s="56">
        <v>1025.96160261049</v>
      </c>
      <c r="AF100" s="59">
        <v>1.8227383717663299</v>
      </c>
      <c r="AG100" s="59">
        <v>6.3178208440669001</v>
      </c>
      <c r="AH100" s="59">
        <v>1.75386774179659</v>
      </c>
      <c r="AI100" s="56">
        <v>101.39966660234499</v>
      </c>
      <c r="AJ100" s="59">
        <v>2.7214157003783801</v>
      </c>
      <c r="AK100" s="49">
        <v>30.2651383075148</v>
      </c>
      <c r="AL100" s="49">
        <v>31.4339960707266</v>
      </c>
      <c r="AM100" s="49">
        <v>15.036440437183799</v>
      </c>
      <c r="AN100" s="49">
        <v>69.8178379252127</v>
      </c>
      <c r="AO100" s="49">
        <v>14.360254116941199</v>
      </c>
      <c r="AP100" s="56">
        <v>117.942594376239</v>
      </c>
      <c r="AQ100" s="49">
        <v>34.325542097969802</v>
      </c>
      <c r="AR100" s="56">
        <v>127.562684246681</v>
      </c>
      <c r="AS100" s="49">
        <v>24.078392075814801</v>
      </c>
      <c r="AT100" s="56">
        <v>203.73802804892401</v>
      </c>
      <c r="AU100" s="49">
        <v>39.4006611963257</v>
      </c>
      <c r="AV100" s="56">
        <v>6519.0535076529804</v>
      </c>
      <c r="AW100" s="59">
        <v>0.41058188653233602</v>
      </c>
      <c r="AX100" s="72">
        <v>0.60509011554615599</v>
      </c>
      <c r="AY100" s="72">
        <v>0</v>
      </c>
      <c r="AZ100" s="59">
        <v>3.5411628708788099</v>
      </c>
      <c r="BA100" s="72">
        <v>2.8637128699834698E-2</v>
      </c>
      <c r="BB100" s="56">
        <v>289.42879129972198</v>
      </c>
      <c r="BC100" s="56">
        <v>473.35301962712401</v>
      </c>
      <c r="BD100" s="56">
        <v>334.130754947779</v>
      </c>
    </row>
    <row r="101" spans="1:56" s="40" customFormat="1" ht="12" customHeight="1">
      <c r="A101" s="47" t="s">
        <v>26</v>
      </c>
      <c r="B101" s="40" t="s">
        <v>217</v>
      </c>
      <c r="C101" s="40" t="s">
        <v>126</v>
      </c>
      <c r="D101" s="49">
        <v>159.272138495658</v>
      </c>
      <c r="E101" s="56">
        <v>226.76250758202099</v>
      </c>
      <c r="F101" s="56">
        <v>160.86399987016</v>
      </c>
      <c r="G101" s="122">
        <f t="shared" si="2"/>
        <v>1.409653544391849</v>
      </c>
      <c r="H101" s="59">
        <v>2.1778225904257398</v>
      </c>
      <c r="I101" s="58">
        <v>0.23947402214236899</v>
      </c>
      <c r="J101" s="58">
        <v>4.14681171536094E-3</v>
      </c>
      <c r="K101" s="58">
        <v>19.734552095779701</v>
      </c>
      <c r="L101" s="58">
        <v>0.35952257326079101</v>
      </c>
      <c r="M101" s="58">
        <v>0.59559243653048699</v>
      </c>
      <c r="N101" s="58">
        <v>5.0651223973264999E-3</v>
      </c>
      <c r="O101" s="58">
        <v>0.466811859428305</v>
      </c>
      <c r="P101" s="58">
        <v>0.17234903728750001</v>
      </c>
      <c r="Q101" s="58">
        <v>5.1153544470084796E-3</v>
      </c>
      <c r="R101" s="58">
        <v>0.51838354131002795</v>
      </c>
      <c r="S101" s="56">
        <v>3116.36</v>
      </c>
      <c r="T101" s="68">
        <v>27.472499999999901</v>
      </c>
      <c r="U101" s="56">
        <v>3078.43985592124</v>
      </c>
      <c r="V101" s="68">
        <v>17.730040333139499</v>
      </c>
      <c r="W101" s="56">
        <v>3012.0554445374601</v>
      </c>
      <c r="X101" s="68">
        <v>20.5283328277382</v>
      </c>
      <c r="Y101" s="56">
        <v>3213.9355270835099</v>
      </c>
      <c r="Z101" s="68">
        <v>88.192772913268698</v>
      </c>
      <c r="AA101" s="71">
        <f t="shared" si="3"/>
        <v>0.97820065262055778</v>
      </c>
      <c r="AB101" s="49">
        <v>32.731290000000001</v>
      </c>
      <c r="AC101" s="56">
        <v>949.28344062657504</v>
      </c>
      <c r="AD101" s="49">
        <v>10.052731499945899</v>
      </c>
      <c r="AE101" s="56">
        <v>460.492768000909</v>
      </c>
      <c r="AF101" s="59">
        <v>0.59836553625221001</v>
      </c>
      <c r="AG101" s="59">
        <v>0.22530583970580001</v>
      </c>
      <c r="AH101" s="59">
        <v>0.96685913696329995</v>
      </c>
      <c r="AI101" s="49">
        <v>33.586136893871199</v>
      </c>
      <c r="AJ101" s="59">
        <v>1.2604911089009101</v>
      </c>
      <c r="AK101" s="49">
        <v>12.5857437406321</v>
      </c>
      <c r="AL101" s="49">
        <v>11.1295926349789</v>
      </c>
      <c r="AM101" s="59">
        <v>4.6444848505976903</v>
      </c>
      <c r="AN101" s="49">
        <v>30.492200638167699</v>
      </c>
      <c r="AO101" s="59">
        <v>6.6566054556339997</v>
      </c>
      <c r="AP101" s="49">
        <v>54.9791323136172</v>
      </c>
      <c r="AQ101" s="49">
        <v>15.679699295006699</v>
      </c>
      <c r="AR101" s="49">
        <v>57.275109727298599</v>
      </c>
      <c r="AS101" s="49">
        <v>10.6526179857449</v>
      </c>
      <c r="AT101" s="49">
        <v>87.370250679546103</v>
      </c>
      <c r="AU101" s="49">
        <v>16.8958718295479</v>
      </c>
      <c r="AV101" s="56">
        <v>6833.8701028945898</v>
      </c>
      <c r="AW101" s="59">
        <v>0.15484713767444</v>
      </c>
      <c r="AX101" s="72">
        <v>0.301294079716039</v>
      </c>
      <c r="AY101" s="72">
        <v>0</v>
      </c>
      <c r="AZ101" s="59">
        <v>2.1778225904257398</v>
      </c>
      <c r="BA101" s="72">
        <v>0</v>
      </c>
      <c r="BB101" s="49">
        <v>159.272138495658</v>
      </c>
      <c r="BC101" s="56">
        <v>226.76250758202099</v>
      </c>
      <c r="BD101" s="56">
        <v>160.86399987016</v>
      </c>
    </row>
    <row r="102" spans="1:56" s="40" customFormat="1" ht="12" customHeight="1">
      <c r="A102" s="47" t="s">
        <v>26</v>
      </c>
      <c r="B102" s="40" t="s">
        <v>218</v>
      </c>
      <c r="D102" s="49">
        <v>339.07291438044001</v>
      </c>
      <c r="E102" s="56">
        <v>329.83469908778301</v>
      </c>
      <c r="F102" s="56">
        <v>403.55766472898398</v>
      </c>
      <c r="G102" s="122">
        <f t="shared" si="2"/>
        <v>0.8173173945520007</v>
      </c>
      <c r="H102" s="59">
        <v>0.22301160221055399</v>
      </c>
      <c r="I102" s="58">
        <v>0.23580454251004701</v>
      </c>
      <c r="J102" s="58">
        <v>3.7439115631176601E-3</v>
      </c>
      <c r="K102" s="58">
        <v>18.866534080623701</v>
      </c>
      <c r="L102" s="58">
        <v>0.30123055443826602</v>
      </c>
      <c r="M102" s="58">
        <v>0.57789400230738297</v>
      </c>
      <c r="N102" s="58">
        <v>3.68311406416417E-3</v>
      </c>
      <c r="O102" s="58">
        <v>0.39917201385330903</v>
      </c>
      <c r="P102" s="58">
        <v>0.15268145110202899</v>
      </c>
      <c r="Q102" s="58">
        <v>2.4716765674746601E-3</v>
      </c>
      <c r="R102" s="58">
        <v>0.904148198524375</v>
      </c>
      <c r="S102" s="56">
        <v>3091.665</v>
      </c>
      <c r="T102" s="68">
        <v>25.309999999999899</v>
      </c>
      <c r="U102" s="56">
        <v>3035.0171209695</v>
      </c>
      <c r="V102" s="68">
        <v>15.5336717703129</v>
      </c>
      <c r="W102" s="56">
        <v>2940.1518001110999</v>
      </c>
      <c r="X102" s="68">
        <v>15.1307240782302</v>
      </c>
      <c r="Y102" s="56">
        <v>2871.9742253534901</v>
      </c>
      <c r="Z102" s="68">
        <v>43.340761023322401</v>
      </c>
      <c r="AA102" s="71">
        <f t="shared" si="3"/>
        <v>0.96824681540844415</v>
      </c>
      <c r="AB102" s="49">
        <v>32.731290000000001</v>
      </c>
      <c r="AC102" s="56">
        <v>570.19919048974396</v>
      </c>
      <c r="AD102" s="59">
        <v>8.8181806342675007</v>
      </c>
      <c r="AE102" s="56">
        <v>982.83812156966997</v>
      </c>
      <c r="AF102" s="59">
        <v>1.1429694621578199</v>
      </c>
      <c r="AG102" s="59">
        <v>3.2920655296995699E-2</v>
      </c>
      <c r="AH102" s="59">
        <v>5.21549230178317E-2</v>
      </c>
      <c r="AI102" s="49">
        <v>37.079746270152</v>
      </c>
      <c r="AJ102" s="59">
        <v>0.400223157737505</v>
      </c>
      <c r="AK102" s="59">
        <v>6.0120043607339104</v>
      </c>
      <c r="AL102" s="59">
        <v>9.6242345583302296</v>
      </c>
      <c r="AM102" s="59">
        <v>4.5846524783026297</v>
      </c>
      <c r="AN102" s="49">
        <v>38.452628595733998</v>
      </c>
      <c r="AO102" s="49">
        <v>10.169848030048099</v>
      </c>
      <c r="AP102" s="56">
        <v>100.033013203274</v>
      </c>
      <c r="AQ102" s="49">
        <v>32.696758333555401</v>
      </c>
      <c r="AR102" s="56">
        <v>128.90673150742401</v>
      </c>
      <c r="AS102" s="49">
        <v>25.060046273253199</v>
      </c>
      <c r="AT102" s="56">
        <v>216.462261682649</v>
      </c>
      <c r="AU102" s="49">
        <v>42.946933026267502</v>
      </c>
      <c r="AV102" s="56">
        <v>7411.9882826852499</v>
      </c>
      <c r="AW102" s="59">
        <v>0.36649154622755198</v>
      </c>
      <c r="AX102" s="72">
        <v>6.0590497053905401E-2</v>
      </c>
      <c r="AY102" s="72">
        <v>0</v>
      </c>
      <c r="AZ102" s="59">
        <v>0.22301160221055399</v>
      </c>
      <c r="BA102" s="72">
        <v>4.7973159152084202E-3</v>
      </c>
      <c r="BB102" s="49">
        <v>339.07291438044001</v>
      </c>
      <c r="BC102" s="56">
        <v>329.83469908778301</v>
      </c>
      <c r="BD102" s="56">
        <v>403.55766472898398</v>
      </c>
    </row>
    <row r="103" spans="1:56" s="40" customFormat="1" ht="12" customHeight="1">
      <c r="A103" s="47" t="s">
        <v>26</v>
      </c>
      <c r="B103" s="40" t="s">
        <v>219</v>
      </c>
      <c r="D103" s="56">
        <v>411.47521360965698</v>
      </c>
      <c r="E103" s="56">
        <v>508.05783235586199</v>
      </c>
      <c r="F103" s="56">
        <v>427.54478900975403</v>
      </c>
      <c r="G103" s="122">
        <f t="shared" si="2"/>
        <v>1.1883148746417562</v>
      </c>
      <c r="H103" s="59">
        <v>2.4205835341708202</v>
      </c>
      <c r="I103" s="58">
        <v>0.24034807940414499</v>
      </c>
      <c r="J103" s="58">
        <v>3.3994238826414E-3</v>
      </c>
      <c r="K103" s="58">
        <v>20.5114537195265</v>
      </c>
      <c r="L103" s="58">
        <v>0.30364719582068</v>
      </c>
      <c r="M103" s="58">
        <v>0.61612083653540395</v>
      </c>
      <c r="N103" s="58">
        <v>4.6658073573064901E-3</v>
      </c>
      <c r="O103" s="58">
        <v>0.51154998217699399</v>
      </c>
      <c r="P103" s="58">
        <v>0.167587394905749</v>
      </c>
      <c r="Q103" s="58">
        <v>2.7022119633815299E-3</v>
      </c>
      <c r="R103" s="58">
        <v>0.61581318565562304</v>
      </c>
      <c r="S103" s="56">
        <v>3124.08</v>
      </c>
      <c r="T103" s="68">
        <v>23.305000000000099</v>
      </c>
      <c r="U103" s="56">
        <v>3115.7897389689101</v>
      </c>
      <c r="V103" s="68">
        <v>14.488501434883601</v>
      </c>
      <c r="W103" s="56">
        <v>3094.4640282815499</v>
      </c>
      <c r="X103" s="68">
        <v>18.685928996344</v>
      </c>
      <c r="Y103" s="56">
        <v>3131.67385971969</v>
      </c>
      <c r="Z103" s="68">
        <v>46.778275975284203</v>
      </c>
      <c r="AA103" s="71">
        <f t="shared" si="3"/>
        <v>0.99313209685574511</v>
      </c>
      <c r="AB103" s="49">
        <v>32.731290000000001</v>
      </c>
      <c r="AC103" s="56">
        <v>633.091769199395</v>
      </c>
      <c r="AD103" s="49">
        <v>13.8997713503244</v>
      </c>
      <c r="AE103" s="56">
        <v>1386.0880263760801</v>
      </c>
      <c r="AF103" s="59">
        <v>0.94794853555888103</v>
      </c>
      <c r="AG103" s="59">
        <v>2.1486405884347</v>
      </c>
      <c r="AH103" s="59">
        <v>0.28614356423618298</v>
      </c>
      <c r="AI103" s="49">
        <v>50.520367860899299</v>
      </c>
      <c r="AJ103" s="59">
        <v>0.95589713690769496</v>
      </c>
      <c r="AK103" s="49">
        <v>11.232681684760699</v>
      </c>
      <c r="AL103" s="49">
        <v>14.087606554256499</v>
      </c>
      <c r="AM103" s="59">
        <v>8.6109997021500906</v>
      </c>
      <c r="AN103" s="49">
        <v>53.7552132296466</v>
      </c>
      <c r="AO103" s="49">
        <v>14.154160805205001</v>
      </c>
      <c r="AP103" s="56">
        <v>144.86620769117599</v>
      </c>
      <c r="AQ103" s="49">
        <v>49.363968100263399</v>
      </c>
      <c r="AR103" s="56">
        <v>204.51905655417301</v>
      </c>
      <c r="AS103" s="49">
        <v>39.883804903102998</v>
      </c>
      <c r="AT103" s="56">
        <v>349.83071320076698</v>
      </c>
      <c r="AU103" s="49">
        <v>69.556492021833606</v>
      </c>
      <c r="AV103" s="56">
        <v>6287.5665117521003</v>
      </c>
      <c r="AW103" s="59">
        <v>0.188624387567941</v>
      </c>
      <c r="AX103" s="72">
        <v>0.43858836439196303</v>
      </c>
      <c r="AY103" s="72">
        <v>0</v>
      </c>
      <c r="AZ103" s="59">
        <v>2.4205835341708202</v>
      </c>
      <c r="BA103" s="72">
        <v>0</v>
      </c>
      <c r="BB103" s="56">
        <v>411.47521360965698</v>
      </c>
      <c r="BC103" s="56">
        <v>508.05783235586199</v>
      </c>
      <c r="BD103" s="56">
        <v>427.54478900975403</v>
      </c>
    </row>
    <row r="104" spans="1:56" s="40" customFormat="1" ht="12" customHeight="1">
      <c r="A104" s="47" t="s">
        <v>26</v>
      </c>
      <c r="B104" s="40" t="s">
        <v>220</v>
      </c>
      <c r="D104" s="49">
        <v>194.22694039458301</v>
      </c>
      <c r="E104" s="49">
        <v>99.343602547783405</v>
      </c>
      <c r="F104" s="56">
        <v>230.06265034705299</v>
      </c>
      <c r="G104" s="122">
        <f t="shared" si="2"/>
        <v>0.43181108449338507</v>
      </c>
      <c r="H104" s="59">
        <v>0.257639121204782</v>
      </c>
      <c r="I104" s="58">
        <v>0.24178927480908299</v>
      </c>
      <c r="J104" s="58">
        <v>3.4285605687105199E-3</v>
      </c>
      <c r="K104" s="58">
        <v>20.9856571839926</v>
      </c>
      <c r="L104" s="58">
        <v>0.29585516168779302</v>
      </c>
      <c r="M104" s="58">
        <v>0.62665021386942599</v>
      </c>
      <c r="N104" s="58">
        <v>4.2265614742364203E-3</v>
      </c>
      <c r="O104" s="58">
        <v>0.47841569771281001</v>
      </c>
      <c r="P104" s="58">
        <v>0.1672217603883</v>
      </c>
      <c r="Q104" s="58">
        <v>2.58179333629991E-3</v>
      </c>
      <c r="R104" s="58">
        <v>1.7188513576919799</v>
      </c>
      <c r="S104" s="56">
        <v>3131.8</v>
      </c>
      <c r="T104" s="68">
        <v>22.5350000000001</v>
      </c>
      <c r="U104" s="56">
        <v>3137.9299330525901</v>
      </c>
      <c r="V104" s="68">
        <v>13.829348424568</v>
      </c>
      <c r="W104" s="56">
        <v>3136.32758563263</v>
      </c>
      <c r="X104" s="68">
        <v>16.835266526466501</v>
      </c>
      <c r="Y104" s="56">
        <v>3125.3433308020799</v>
      </c>
      <c r="Z104" s="68">
        <v>44.707696824325197</v>
      </c>
      <c r="AA104" s="71">
        <f t="shared" si="3"/>
        <v>0.99948923122291744</v>
      </c>
      <c r="AB104" s="49">
        <v>32.731290000000001</v>
      </c>
      <c r="AC104" s="56">
        <v>551.82139046928705</v>
      </c>
      <c r="AD104" s="59">
        <v>9.2429991994634708</v>
      </c>
      <c r="AE104" s="56">
        <v>582.56271958560103</v>
      </c>
      <c r="AF104" s="59">
        <v>0.91118736567983705</v>
      </c>
      <c r="AG104" s="59">
        <v>0</v>
      </c>
      <c r="AH104" s="59">
        <v>2.7840748560896699E-2</v>
      </c>
      <c r="AI104" s="49">
        <v>16.284479697014199</v>
      </c>
      <c r="AJ104" s="59">
        <v>0.10176890658862001</v>
      </c>
      <c r="AK104" s="59">
        <v>1.79318115527518</v>
      </c>
      <c r="AL104" s="59">
        <v>3.25256317894693</v>
      </c>
      <c r="AM104" s="59">
        <v>1.72026227878885</v>
      </c>
      <c r="AN104" s="49">
        <v>16.179758737205098</v>
      </c>
      <c r="AO104" s="59">
        <v>4.7281152221143303</v>
      </c>
      <c r="AP104" s="49">
        <v>53.1140381927097</v>
      </c>
      <c r="AQ104" s="49">
        <v>18.717908726563898</v>
      </c>
      <c r="AR104" s="49">
        <v>80.695348904855607</v>
      </c>
      <c r="AS104" s="49">
        <v>17.221737936713399</v>
      </c>
      <c r="AT104" s="56">
        <v>159.44709749896899</v>
      </c>
      <c r="AU104" s="49">
        <v>33.231955901007403</v>
      </c>
      <c r="AV104" s="56">
        <v>7539.8111093385896</v>
      </c>
      <c r="AW104" s="59">
        <v>0.32927323259212898</v>
      </c>
      <c r="AX104" s="72">
        <v>4.14081525468665E-2</v>
      </c>
      <c r="AY104" s="72">
        <v>0</v>
      </c>
      <c r="AZ104" s="59">
        <v>0.257639121204782</v>
      </c>
      <c r="BA104" s="72">
        <v>0</v>
      </c>
      <c r="BB104" s="49">
        <v>194.22694039458301</v>
      </c>
      <c r="BC104" s="49">
        <v>99.343602547783405</v>
      </c>
      <c r="BD104" s="56">
        <v>230.06265034705299</v>
      </c>
    </row>
    <row r="105" spans="1:56" s="41" customFormat="1" ht="12" customHeight="1">
      <c r="A105" s="47" t="s">
        <v>26</v>
      </c>
      <c r="B105" s="41" t="s">
        <v>221</v>
      </c>
      <c r="C105" s="41" t="s">
        <v>126</v>
      </c>
      <c r="D105" s="50">
        <v>269.73202630618198</v>
      </c>
      <c r="E105" s="60">
        <v>590.99118761264401</v>
      </c>
      <c r="F105" s="60">
        <v>1398.7288204122999</v>
      </c>
      <c r="G105" s="122">
        <f t="shared" si="2"/>
        <v>0.42252020476595237</v>
      </c>
      <c r="H105" s="50">
        <v>34.604092968818101</v>
      </c>
      <c r="I105" s="62">
        <v>0.17290109967765699</v>
      </c>
      <c r="J105" s="62">
        <v>3.5439076006164002E-3</v>
      </c>
      <c r="K105" s="62">
        <v>3.38587225640988</v>
      </c>
      <c r="L105" s="62">
        <v>0.14012410313804599</v>
      </c>
      <c r="M105" s="62">
        <v>0.13903408980738999</v>
      </c>
      <c r="N105" s="62">
        <v>4.4270041045909297E-3</v>
      </c>
      <c r="O105" s="62">
        <v>0.76938966715982504</v>
      </c>
      <c r="P105" s="62">
        <v>3.9151633076923299E-2</v>
      </c>
      <c r="Q105" s="62">
        <v>1.7020817243466699E-3</v>
      </c>
      <c r="R105" s="62">
        <v>1.7310625885503901</v>
      </c>
      <c r="S105" s="60">
        <v>2587.04</v>
      </c>
      <c r="T105" s="69">
        <v>33.952499999999901</v>
      </c>
      <c r="U105" s="60">
        <v>1501.13065366909</v>
      </c>
      <c r="V105" s="69">
        <v>32.456498917884701</v>
      </c>
      <c r="W105" s="60">
        <v>839.19815381794604</v>
      </c>
      <c r="X105" s="69">
        <v>25.0589248631949</v>
      </c>
      <c r="Y105" s="60">
        <v>776.24341247949496</v>
      </c>
      <c r="Z105" s="69">
        <v>33.106683827265599</v>
      </c>
      <c r="AA105" s="71">
        <f t="shared" si="3"/>
        <v>0.43432521299269555</v>
      </c>
      <c r="AB105" s="50">
        <v>32.731290000000001</v>
      </c>
      <c r="AC105" s="60">
        <v>505.03724777911702</v>
      </c>
      <c r="AD105" s="60">
        <v>164.210088675522</v>
      </c>
      <c r="AE105" s="60">
        <v>2630.9940127261998</v>
      </c>
      <c r="AF105" s="61">
        <v>9.7108916342540095</v>
      </c>
      <c r="AG105" s="61">
        <v>92.689573183496194</v>
      </c>
      <c r="AH105" s="61">
        <v>15.628141076911101</v>
      </c>
      <c r="AI105" s="60">
        <v>249.66465829878601</v>
      </c>
      <c r="AJ105" s="50">
        <v>28.8939806861355</v>
      </c>
      <c r="AK105" s="60">
        <v>236.47292459137</v>
      </c>
      <c r="AL105" s="60">
        <v>288.917584459853</v>
      </c>
      <c r="AM105" s="60">
        <v>198.60051989547799</v>
      </c>
      <c r="AN105" s="60">
        <v>436.77861679865299</v>
      </c>
      <c r="AO105" s="50">
        <v>66.5048457695477</v>
      </c>
      <c r="AP105" s="60">
        <v>390.982832475137</v>
      </c>
      <c r="AQ105" s="50">
        <v>87.847348577580405</v>
      </c>
      <c r="AR105" s="60">
        <v>284.81997467329802</v>
      </c>
      <c r="AS105" s="50">
        <v>49.626802095971897</v>
      </c>
      <c r="AT105" s="60">
        <v>406.01724279289903</v>
      </c>
      <c r="AU105" s="50">
        <v>75.372356521967106</v>
      </c>
      <c r="AV105" s="60">
        <v>9720.9060289413192</v>
      </c>
      <c r="AW105" s="61">
        <v>1.4483132058294099</v>
      </c>
      <c r="AX105" s="65">
        <v>17.431639523818198</v>
      </c>
      <c r="AY105" s="65">
        <v>0</v>
      </c>
      <c r="AZ105" s="50">
        <v>34.604092968818101</v>
      </c>
      <c r="BA105" s="65">
        <v>0.118959038907094</v>
      </c>
      <c r="BB105" s="50">
        <v>269.73202630618198</v>
      </c>
      <c r="BC105" s="60">
        <v>590.99118761264401</v>
      </c>
      <c r="BD105" s="60">
        <v>1398.7288204122999</v>
      </c>
    </row>
    <row r="106" spans="1:56" s="43" customFormat="1" ht="12" customHeight="1">
      <c r="A106" s="47" t="s">
        <v>26</v>
      </c>
      <c r="B106" s="43" t="s">
        <v>222</v>
      </c>
      <c r="C106" s="73" t="s">
        <v>223</v>
      </c>
      <c r="D106" s="74">
        <v>887.63358056127095</v>
      </c>
      <c r="E106" s="74">
        <v>150.37324817754799</v>
      </c>
      <c r="F106" s="74">
        <v>298.47014065321503</v>
      </c>
      <c r="G106" s="122">
        <f t="shared" si="2"/>
        <v>0.50381337258209324</v>
      </c>
      <c r="H106" s="74">
        <v>559.08662769458704</v>
      </c>
      <c r="I106" s="75">
        <v>0.40449850436922002</v>
      </c>
      <c r="J106" s="75">
        <v>1.85131064592782E-2</v>
      </c>
      <c r="K106" s="75">
        <v>87.066531193406703</v>
      </c>
      <c r="L106" s="75">
        <v>12.268843967046701</v>
      </c>
      <c r="M106" s="75">
        <v>1.2049168344079999</v>
      </c>
      <c r="N106" s="75">
        <v>0.11699433469308</v>
      </c>
      <c r="O106" s="75">
        <v>0.68905733297618399</v>
      </c>
      <c r="P106" s="75">
        <v>2.00805283089867</v>
      </c>
      <c r="Q106" s="75">
        <v>0.33407701472847001</v>
      </c>
      <c r="R106" s="75">
        <v>1.51777067287949</v>
      </c>
      <c r="S106" s="74">
        <v>3925.88</v>
      </c>
      <c r="T106" s="76">
        <v>68.772499999999994</v>
      </c>
      <c r="U106" s="74">
        <v>4546.97930153369</v>
      </c>
      <c r="V106" s="76">
        <v>141.490208006926</v>
      </c>
      <c r="W106" s="74">
        <v>5097.1138847106704</v>
      </c>
      <c r="X106" s="76">
        <v>342.06204247009498</v>
      </c>
      <c r="Y106" s="74">
        <v>22259.585030763301</v>
      </c>
      <c r="Z106" s="76">
        <v>2244.7880086790001</v>
      </c>
      <c r="AA106" s="71">
        <f t="shared" si="3"/>
        <v>0.88591263635617856</v>
      </c>
      <c r="AB106" s="77">
        <v>32.731290000000001</v>
      </c>
      <c r="AC106" s="74">
        <v>558.16025986796103</v>
      </c>
      <c r="AD106" s="78">
        <v>6.9100588888284697</v>
      </c>
      <c r="AE106" s="74">
        <v>1627.21693388164</v>
      </c>
      <c r="AF106" s="78">
        <v>3.5836850828561002</v>
      </c>
      <c r="AG106" s="78">
        <v>5.4058913666240098</v>
      </c>
      <c r="AH106" s="78">
        <v>1.0831760254023299</v>
      </c>
      <c r="AI106" s="77">
        <v>15.4941736641206</v>
      </c>
      <c r="AJ106" s="78">
        <v>0.73435978879756603</v>
      </c>
      <c r="AK106" s="78">
        <v>6.6949950621417598</v>
      </c>
      <c r="AL106" s="78">
        <v>8.6358220436705402</v>
      </c>
      <c r="AM106" s="78">
        <v>7.0681398091400904</v>
      </c>
      <c r="AN106" s="77">
        <v>42.2739811780854</v>
      </c>
      <c r="AO106" s="77">
        <v>13.5624464687635</v>
      </c>
      <c r="AP106" s="74">
        <v>158.69980833836701</v>
      </c>
      <c r="AQ106" s="77">
        <v>59.193428341262397</v>
      </c>
      <c r="AR106" s="74">
        <v>247.365890763707</v>
      </c>
      <c r="AS106" s="77">
        <v>47.640762929676001</v>
      </c>
      <c r="AT106" s="74">
        <v>404.68467808794497</v>
      </c>
      <c r="AU106" s="77">
        <v>77.594951135846799</v>
      </c>
      <c r="AV106" s="74">
        <v>8856.1061194691301</v>
      </c>
      <c r="AW106" s="78">
        <v>1.3537735246765901</v>
      </c>
      <c r="AX106" s="135">
        <v>0.419415034100874</v>
      </c>
      <c r="AY106" s="135">
        <v>0</v>
      </c>
      <c r="AZ106" s="74">
        <v>559.08662769458704</v>
      </c>
      <c r="BA106" s="135">
        <v>5.9063007012745304E-3</v>
      </c>
      <c r="BB106" s="74">
        <v>887.63358056127095</v>
      </c>
      <c r="BC106" s="74">
        <v>150.37324817754799</v>
      </c>
      <c r="BD106" s="74">
        <v>298.47014065321503</v>
      </c>
    </row>
    <row r="107" spans="1:56" s="41" customFormat="1" ht="12" customHeight="1">
      <c r="A107" s="38"/>
      <c r="D107" s="50"/>
      <c r="E107" s="50"/>
      <c r="F107" s="60"/>
      <c r="G107" s="122"/>
      <c r="H107" s="61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0"/>
      <c r="T107" s="69"/>
      <c r="U107" s="60"/>
      <c r="V107" s="69"/>
      <c r="W107" s="60"/>
      <c r="X107" s="69"/>
      <c r="Y107" s="60"/>
      <c r="Z107" s="69"/>
      <c r="AA107" s="71"/>
      <c r="AB107" s="50"/>
      <c r="AC107" s="60"/>
      <c r="AD107" s="61"/>
      <c r="AE107" s="60"/>
      <c r="AF107" s="61"/>
      <c r="AG107" s="61"/>
      <c r="AH107" s="61"/>
      <c r="AI107" s="50"/>
      <c r="AJ107" s="61"/>
      <c r="AK107" s="61"/>
      <c r="AL107" s="61"/>
      <c r="AM107" s="61"/>
      <c r="AN107" s="50"/>
      <c r="AO107" s="61"/>
      <c r="AP107" s="50"/>
      <c r="AQ107" s="50"/>
      <c r="AR107" s="50"/>
      <c r="AS107" s="50"/>
      <c r="AT107" s="60"/>
      <c r="AU107" s="50"/>
      <c r="AV107" s="60"/>
      <c r="AW107" s="61"/>
      <c r="AX107" s="65"/>
      <c r="AY107" s="65"/>
      <c r="AZ107" s="61"/>
      <c r="BA107" s="65"/>
      <c r="BB107" s="50"/>
      <c r="BC107" s="50"/>
      <c r="BD107" s="60"/>
    </row>
    <row r="108" spans="1:56" s="39" customFormat="1" ht="12" customHeight="1">
      <c r="A108" s="47" t="s">
        <v>27</v>
      </c>
      <c r="B108" s="39" t="s">
        <v>224</v>
      </c>
      <c r="D108" s="53">
        <v>108.59306688831001</v>
      </c>
      <c r="E108" s="48">
        <v>30.362999591251501</v>
      </c>
      <c r="F108" s="52">
        <v>142.218590768985</v>
      </c>
      <c r="G108" s="122">
        <f t="shared" si="2"/>
        <v>0.21349529219124466</v>
      </c>
      <c r="H108" s="55">
        <v>0</v>
      </c>
      <c r="I108" s="54">
        <v>0.215615049541062</v>
      </c>
      <c r="J108" s="54">
        <v>4.0155486747944199E-3</v>
      </c>
      <c r="K108" s="54">
        <v>17.823282882045699</v>
      </c>
      <c r="L108" s="54">
        <v>0.31931311301668602</v>
      </c>
      <c r="M108" s="54">
        <v>0.596579391725234</v>
      </c>
      <c r="N108" s="54">
        <v>4.2895130822330502E-3</v>
      </c>
      <c r="O108" s="54">
        <v>0.401338382446078</v>
      </c>
      <c r="P108" s="54">
        <v>0.16001444114177599</v>
      </c>
      <c r="Q108" s="54">
        <v>3.4159048563150202E-3</v>
      </c>
      <c r="R108" s="54">
        <v>3.3629185563309298</v>
      </c>
      <c r="S108" s="52">
        <v>2949.9949999999999</v>
      </c>
      <c r="T108" s="67">
        <v>35.650000000000098</v>
      </c>
      <c r="U108" s="52">
        <v>2980.2452706102099</v>
      </c>
      <c r="V108" s="67">
        <v>17.343493189191701</v>
      </c>
      <c r="W108" s="52">
        <v>3016.0416473545702</v>
      </c>
      <c r="X108" s="67">
        <v>17.395921399590399</v>
      </c>
      <c r="Y108" s="52">
        <v>3000.1506680330099</v>
      </c>
      <c r="Z108" s="67">
        <v>59.519128981133299</v>
      </c>
      <c r="AA108" s="71">
        <f t="shared" si="3"/>
        <v>0.98806048568586169</v>
      </c>
      <c r="AB108" s="48">
        <v>32.731290000000001</v>
      </c>
      <c r="AC108" s="52">
        <v>463.28522057545899</v>
      </c>
      <c r="AD108" s="53">
        <v>0.311834148733098</v>
      </c>
      <c r="AE108" s="52">
        <v>110.611821863196</v>
      </c>
      <c r="AF108" s="53">
        <v>0.52774226058762996</v>
      </c>
      <c r="AG108" s="53">
        <v>2.8744841788867499E-2</v>
      </c>
      <c r="AH108" s="53">
        <v>0</v>
      </c>
      <c r="AI108" s="53">
        <v>2.0071493985840898</v>
      </c>
      <c r="AJ108" s="55">
        <v>2.7419139760479399E-3</v>
      </c>
      <c r="AK108" s="64">
        <v>5.26972617291942E-2</v>
      </c>
      <c r="AL108" s="53">
        <v>0.30407688696576401</v>
      </c>
      <c r="AM108" s="64">
        <v>2.9931561689320998E-2</v>
      </c>
      <c r="AN108" s="53">
        <v>2.0589959523269799</v>
      </c>
      <c r="AO108" s="53">
        <v>0.64350593797905797</v>
      </c>
      <c r="AP108" s="53">
        <v>8.8794586161069002</v>
      </c>
      <c r="AQ108" s="53">
        <v>3.6180557008674201</v>
      </c>
      <c r="AR108" s="48">
        <v>17.6776963064579</v>
      </c>
      <c r="AS108" s="53">
        <v>4.03842310969564</v>
      </c>
      <c r="AT108" s="48">
        <v>38.479541313877</v>
      </c>
      <c r="AU108" s="53">
        <v>8.1568623024580198</v>
      </c>
      <c r="AV108" s="52">
        <v>10619.181301270501</v>
      </c>
      <c r="AW108" s="53">
        <v>0.29630254174065301</v>
      </c>
      <c r="AX108" s="64">
        <v>2.1402791173111301E-3</v>
      </c>
      <c r="AY108" s="64">
        <v>0</v>
      </c>
      <c r="AZ108" s="55">
        <v>0</v>
      </c>
      <c r="BA108" s="64">
        <v>0</v>
      </c>
      <c r="BB108" s="53">
        <v>108.59306688831001</v>
      </c>
      <c r="BC108" s="48">
        <v>30.362999591251501</v>
      </c>
      <c r="BD108" s="52">
        <v>142.218590768985</v>
      </c>
    </row>
    <row r="109" spans="1:56" s="39" customFormat="1" ht="12" customHeight="1">
      <c r="A109" s="47" t="s">
        <v>27</v>
      </c>
      <c r="B109" s="39" t="s">
        <v>225</v>
      </c>
      <c r="C109" s="39" t="s">
        <v>126</v>
      </c>
      <c r="D109" s="52">
        <v>340.80300776552502</v>
      </c>
      <c r="E109" s="52">
        <v>246.503053276667</v>
      </c>
      <c r="F109" s="52">
        <v>988.04005739230797</v>
      </c>
      <c r="G109" s="122">
        <f t="shared" si="2"/>
        <v>0.24948690230966142</v>
      </c>
      <c r="H109" s="48">
        <v>39.090381505420403</v>
      </c>
      <c r="I109" s="54">
        <v>0.16324979118020999</v>
      </c>
      <c r="J109" s="54">
        <v>2.8976006668385299E-3</v>
      </c>
      <c r="K109" s="54">
        <v>5.4832918447495604</v>
      </c>
      <c r="L109" s="54">
        <v>0.14001581695606</v>
      </c>
      <c r="M109" s="54">
        <v>0.24225229355102601</v>
      </c>
      <c r="N109" s="54">
        <v>4.6841582572217204E-3</v>
      </c>
      <c r="O109" s="54">
        <v>0.75723019762850696</v>
      </c>
      <c r="P109" s="54">
        <v>0.15362144192845401</v>
      </c>
      <c r="Q109" s="54">
        <v>3.80433766150302E-3</v>
      </c>
      <c r="R109" s="54">
        <v>3.4159383325562498</v>
      </c>
      <c r="S109" s="52">
        <v>2500</v>
      </c>
      <c r="T109" s="67">
        <v>29.632499999999901</v>
      </c>
      <c r="U109" s="52">
        <v>1897.9828218596199</v>
      </c>
      <c r="V109" s="67">
        <v>21.966574554551599</v>
      </c>
      <c r="W109" s="52">
        <v>1398.3954732402501</v>
      </c>
      <c r="X109" s="67">
        <v>24.3192077780711</v>
      </c>
      <c r="Y109" s="52">
        <v>2888.4502141625599</v>
      </c>
      <c r="Z109" s="67">
        <v>66.654570488530695</v>
      </c>
      <c r="AA109" s="71">
        <f t="shared" si="3"/>
        <v>0.69688712647937523</v>
      </c>
      <c r="AB109" s="48">
        <v>32.731290000000001</v>
      </c>
      <c r="AC109" s="52">
        <v>512.87622976536704</v>
      </c>
      <c r="AD109" s="48">
        <v>23.982432782541299</v>
      </c>
      <c r="AE109" s="52">
        <v>1596.4057108918601</v>
      </c>
      <c r="AF109" s="48">
        <v>23.799278011825301</v>
      </c>
      <c r="AG109" s="53">
        <v>27.458432474693801</v>
      </c>
      <c r="AH109" s="53">
        <v>21.999970883235399</v>
      </c>
      <c r="AI109" s="48">
        <v>68.770291490984505</v>
      </c>
      <c r="AJ109" s="53">
        <v>7.0350545804970004</v>
      </c>
      <c r="AK109" s="48">
        <v>28.213023036087801</v>
      </c>
      <c r="AL109" s="48">
        <v>10.941823085901399</v>
      </c>
      <c r="AM109" s="53">
        <v>6.7583389845447597</v>
      </c>
      <c r="AN109" s="48">
        <v>26.851429145724499</v>
      </c>
      <c r="AO109" s="53">
        <v>8.5933033752939796</v>
      </c>
      <c r="AP109" s="52">
        <v>112.161976617785</v>
      </c>
      <c r="AQ109" s="48">
        <v>46.7582690118522</v>
      </c>
      <c r="AR109" s="52">
        <v>222.996128668446</v>
      </c>
      <c r="AS109" s="48">
        <v>46.679181057661502</v>
      </c>
      <c r="AT109" s="52">
        <v>417.25328279034102</v>
      </c>
      <c r="AU109" s="48">
        <v>83.317310094713093</v>
      </c>
      <c r="AV109" s="52">
        <v>11697.446092943401</v>
      </c>
      <c r="AW109" s="53">
        <v>7.7663089858809196</v>
      </c>
      <c r="AX109" s="64">
        <v>2.53387192659393</v>
      </c>
      <c r="AY109" s="64">
        <v>0</v>
      </c>
      <c r="AZ109" s="48">
        <v>39.090381505420403</v>
      </c>
      <c r="BA109" s="64">
        <v>0.102974548340518</v>
      </c>
      <c r="BB109" s="52">
        <v>340.80300776552502</v>
      </c>
      <c r="BC109" s="52">
        <v>246.503053276667</v>
      </c>
      <c r="BD109" s="52">
        <v>988.04005739230797</v>
      </c>
    </row>
    <row r="110" spans="1:56" s="39" customFormat="1" ht="12" customHeight="1">
      <c r="A110" s="47" t="s">
        <v>27</v>
      </c>
      <c r="B110" s="39" t="s">
        <v>226</v>
      </c>
      <c r="C110" s="39" t="s">
        <v>126</v>
      </c>
      <c r="D110" s="48">
        <v>228.27169934463799</v>
      </c>
      <c r="E110" s="48">
        <v>39.631433613811097</v>
      </c>
      <c r="F110" s="52">
        <v>312.73405182786303</v>
      </c>
      <c r="G110" s="122">
        <f t="shared" si="2"/>
        <v>0.12672567436188648</v>
      </c>
      <c r="H110" s="53">
        <v>2.2146972436638599</v>
      </c>
      <c r="I110" s="54">
        <v>0.21553331805058301</v>
      </c>
      <c r="J110" s="54">
        <v>3.53226167505545E-3</v>
      </c>
      <c r="K110" s="54">
        <v>17.173851848994001</v>
      </c>
      <c r="L110" s="54">
        <v>0.27449189276192798</v>
      </c>
      <c r="M110" s="54">
        <v>0.57516238994737501</v>
      </c>
      <c r="N110" s="54">
        <v>3.7567398188550699E-3</v>
      </c>
      <c r="O110" s="54">
        <v>0.40865689292010399</v>
      </c>
      <c r="P110" s="54">
        <v>0.18706681760005001</v>
      </c>
      <c r="Q110" s="54">
        <v>5.0668576634387104E-3</v>
      </c>
      <c r="R110" s="54">
        <v>6.9803402343006304</v>
      </c>
      <c r="S110" s="52">
        <v>2947.83</v>
      </c>
      <c r="T110" s="67">
        <v>26.545000000000101</v>
      </c>
      <c r="U110" s="52">
        <v>2944.59445542907</v>
      </c>
      <c r="V110" s="67">
        <v>15.466175244392</v>
      </c>
      <c r="W110" s="52">
        <v>2928.98225103085</v>
      </c>
      <c r="X110" s="67">
        <v>15.4557472139312</v>
      </c>
      <c r="Y110" s="52">
        <v>3466.1021768055798</v>
      </c>
      <c r="Z110" s="67">
        <v>86.2735634052585</v>
      </c>
      <c r="AA110" s="71">
        <f t="shared" si="3"/>
        <v>0.99468391912510501</v>
      </c>
      <c r="AB110" s="48">
        <v>32.731290000000001</v>
      </c>
      <c r="AC110" s="52">
        <v>423.71594822603203</v>
      </c>
      <c r="AD110" s="53">
        <v>1.14859956493973</v>
      </c>
      <c r="AE110" s="52">
        <v>119.20263026378301</v>
      </c>
      <c r="AF110" s="53">
        <v>0.60468700823760901</v>
      </c>
      <c r="AG110" s="53">
        <v>1.73987059161521</v>
      </c>
      <c r="AH110" s="53">
        <v>0.163075999850083</v>
      </c>
      <c r="AI110" s="53">
        <v>3.9942341514200401</v>
      </c>
      <c r="AJ110" s="64">
        <v>5.1793076898505597E-2</v>
      </c>
      <c r="AK110" s="53">
        <v>0.36698494906483498</v>
      </c>
      <c r="AL110" s="53">
        <v>0.418068315925332</v>
      </c>
      <c r="AM110" s="53">
        <v>0.215511989573128</v>
      </c>
      <c r="AN110" s="53">
        <v>2.1185410585287201</v>
      </c>
      <c r="AO110" s="53">
        <v>0.636266435892897</v>
      </c>
      <c r="AP110" s="53">
        <v>8.8768347279359094</v>
      </c>
      <c r="AQ110" s="53">
        <v>3.7283354544588199</v>
      </c>
      <c r="AR110" s="48">
        <v>18.041129962287599</v>
      </c>
      <c r="AS110" s="53">
        <v>4.4195119396434199</v>
      </c>
      <c r="AT110" s="48">
        <v>47.707367467545303</v>
      </c>
      <c r="AU110" s="48">
        <v>12.155460545911501</v>
      </c>
      <c r="AV110" s="52">
        <v>13107.7667589906</v>
      </c>
      <c r="AW110" s="53">
        <v>0.17095461558098801</v>
      </c>
      <c r="AX110" s="64">
        <v>7.0217891382939407E-2</v>
      </c>
      <c r="AY110" s="64">
        <v>0</v>
      </c>
      <c r="AZ110" s="53">
        <v>2.2146972436638599</v>
      </c>
      <c r="BA110" s="64">
        <v>0</v>
      </c>
      <c r="BB110" s="48">
        <v>228.27169934463799</v>
      </c>
      <c r="BC110" s="48">
        <v>39.631433613811097</v>
      </c>
      <c r="BD110" s="52">
        <v>312.73405182786303</v>
      </c>
    </row>
    <row r="111" spans="1:56" s="39" customFormat="1" ht="12" customHeight="1">
      <c r="A111" s="47" t="s">
        <v>27</v>
      </c>
      <c r="B111" s="39" t="s">
        <v>227</v>
      </c>
      <c r="C111" s="39" t="s">
        <v>126</v>
      </c>
      <c r="D111" s="52">
        <v>265.73165667169502</v>
      </c>
      <c r="E111" s="52">
        <v>397.96574911168199</v>
      </c>
      <c r="F111" s="52">
        <v>679.10974023870699</v>
      </c>
      <c r="G111" s="122">
        <f t="shared" si="2"/>
        <v>0.58601095748059373</v>
      </c>
      <c r="H111" s="48">
        <v>23.332100099413399</v>
      </c>
      <c r="I111" s="54">
        <v>0.173043702291695</v>
      </c>
      <c r="J111" s="54">
        <v>2.9712358380239198E-3</v>
      </c>
      <c r="K111" s="54">
        <v>6.1623866879157196</v>
      </c>
      <c r="L111" s="54">
        <v>0.122713394854171</v>
      </c>
      <c r="M111" s="54">
        <v>0.25726523959534198</v>
      </c>
      <c r="N111" s="54">
        <v>3.0140897394562E-3</v>
      </c>
      <c r="O111" s="54">
        <v>0.58834496858249496</v>
      </c>
      <c r="P111" s="54">
        <v>0.10331478878188299</v>
      </c>
      <c r="Q111" s="54">
        <v>2.4658241250072898E-3</v>
      </c>
      <c r="R111" s="54">
        <v>1.2591697225859899</v>
      </c>
      <c r="S111" s="52">
        <v>2587.35</v>
      </c>
      <c r="T111" s="67">
        <v>29.1675</v>
      </c>
      <c r="U111" s="52">
        <v>1999.1300824789901</v>
      </c>
      <c r="V111" s="67">
        <v>17.449622344356801</v>
      </c>
      <c r="W111" s="52">
        <v>1475.83508376334</v>
      </c>
      <c r="X111" s="67">
        <v>15.474768824962901</v>
      </c>
      <c r="Y111" s="52">
        <v>1987.2479601627199</v>
      </c>
      <c r="Z111" s="67">
        <v>45.172783788584702</v>
      </c>
      <c r="AA111" s="71">
        <f t="shared" si="3"/>
        <v>0.69882000326264126</v>
      </c>
      <c r="AB111" s="48">
        <v>32.731290000000001</v>
      </c>
      <c r="AC111" s="52">
        <v>386.52751482338903</v>
      </c>
      <c r="AD111" s="53">
        <v>8.3317212222111792</v>
      </c>
      <c r="AE111" s="52">
        <v>1089.0647413279</v>
      </c>
      <c r="AF111" s="53">
        <v>7.8514331323489701</v>
      </c>
      <c r="AG111" s="53">
        <v>17.914837549438701</v>
      </c>
      <c r="AH111" s="53">
        <v>3.0113089216011102</v>
      </c>
      <c r="AI111" s="48">
        <v>48.006982368884401</v>
      </c>
      <c r="AJ111" s="53">
        <v>1.6002576362944201</v>
      </c>
      <c r="AK111" s="48">
        <v>12.825164372029001</v>
      </c>
      <c r="AL111" s="48">
        <v>10.6571318673798</v>
      </c>
      <c r="AM111" s="53">
        <v>4.60251375905455</v>
      </c>
      <c r="AN111" s="48">
        <v>36.3449754163832</v>
      </c>
      <c r="AO111" s="48">
        <v>10.0685419994353</v>
      </c>
      <c r="AP111" s="52">
        <v>103.796885066397</v>
      </c>
      <c r="AQ111" s="48">
        <v>36.483100465549803</v>
      </c>
      <c r="AR111" s="52">
        <v>155.98777838221901</v>
      </c>
      <c r="AS111" s="48">
        <v>32.165401134523201</v>
      </c>
      <c r="AT111" s="52">
        <v>283.58141875451003</v>
      </c>
      <c r="AU111" s="48">
        <v>55.842918246306503</v>
      </c>
      <c r="AV111" s="52">
        <v>10268.1796503844</v>
      </c>
      <c r="AW111" s="53">
        <v>2.0339657687066999</v>
      </c>
      <c r="AX111" s="64">
        <v>0.73371708024853199</v>
      </c>
      <c r="AY111" s="64">
        <v>0</v>
      </c>
      <c r="AZ111" s="48">
        <v>23.332100099413399</v>
      </c>
      <c r="BA111" s="64">
        <v>8.1108314392521697E-2</v>
      </c>
      <c r="BB111" s="52">
        <v>265.73165667169502</v>
      </c>
      <c r="BC111" s="52">
        <v>397.96574911168199</v>
      </c>
      <c r="BD111" s="52">
        <v>679.10974023870699</v>
      </c>
    </row>
    <row r="112" spans="1:56" s="39" customFormat="1" ht="12" customHeight="1">
      <c r="A112" s="47" t="s">
        <v>27</v>
      </c>
      <c r="B112" s="39" t="s">
        <v>228</v>
      </c>
      <c r="D112" s="48">
        <v>223.55908854385501</v>
      </c>
      <c r="E112" s="52">
        <v>242.85991784193999</v>
      </c>
      <c r="F112" s="52">
        <v>267.50305200060097</v>
      </c>
      <c r="G112" s="122">
        <f t="shared" si="2"/>
        <v>0.90787718504757242</v>
      </c>
      <c r="H112" s="53">
        <v>0.30178397110204302</v>
      </c>
      <c r="I112" s="54">
        <v>0.216439398125749</v>
      </c>
      <c r="J112" s="54">
        <v>3.2691341019826202E-3</v>
      </c>
      <c r="K112" s="54">
        <v>17.126590316918701</v>
      </c>
      <c r="L112" s="54">
        <v>0.26965000659043997</v>
      </c>
      <c r="M112" s="54">
        <v>0.57172467232471502</v>
      </c>
      <c r="N112" s="54">
        <v>4.3342892265424999E-3</v>
      </c>
      <c r="O112" s="54">
        <v>0.48150569490744299</v>
      </c>
      <c r="P112" s="54">
        <v>0.153138458389808</v>
      </c>
      <c r="Q112" s="54">
        <v>2.60501307907613E-3</v>
      </c>
      <c r="R112" s="54">
        <v>0.787348735251575</v>
      </c>
      <c r="S112" s="52">
        <v>2954.625</v>
      </c>
      <c r="T112" s="67">
        <v>23.612500000000001</v>
      </c>
      <c r="U112" s="52">
        <v>2941.9504884142402</v>
      </c>
      <c r="V112" s="67">
        <v>15.2366760796899</v>
      </c>
      <c r="W112" s="52">
        <v>2914.89788129419</v>
      </c>
      <c r="X112" s="67">
        <v>17.846596898724499</v>
      </c>
      <c r="Y112" s="52">
        <v>2879.9862437797001</v>
      </c>
      <c r="Z112" s="67">
        <v>45.660708782584202</v>
      </c>
      <c r="AA112" s="71">
        <f t="shared" si="3"/>
        <v>0.99076205992971711</v>
      </c>
      <c r="AB112" s="48">
        <v>32.731290000000001</v>
      </c>
      <c r="AC112" s="52">
        <v>594.21038896845698</v>
      </c>
      <c r="AD112" s="53">
        <v>7.4265249677915897</v>
      </c>
      <c r="AE112" s="52">
        <v>758.986839259774</v>
      </c>
      <c r="AF112" s="53">
        <v>2.7532822793421401</v>
      </c>
      <c r="AG112" s="53">
        <v>5.5877445693243502E-2</v>
      </c>
      <c r="AH112" s="53">
        <v>9.4023892543270097E-3</v>
      </c>
      <c r="AI112" s="48">
        <v>23.6774904090252</v>
      </c>
      <c r="AJ112" s="64">
        <v>9.6556523986846707E-2</v>
      </c>
      <c r="AK112" s="53">
        <v>2.1521148993560102</v>
      </c>
      <c r="AL112" s="53">
        <v>3.7763947897121102</v>
      </c>
      <c r="AM112" s="53">
        <v>0.96667238243430398</v>
      </c>
      <c r="AN112" s="48">
        <v>21.204949269553101</v>
      </c>
      <c r="AO112" s="53">
        <v>6.6817084796324897</v>
      </c>
      <c r="AP112" s="48">
        <v>73.959387377325797</v>
      </c>
      <c r="AQ112" s="48">
        <v>26.260702828002799</v>
      </c>
      <c r="AR112" s="52">
        <v>109.31728065471999</v>
      </c>
      <c r="AS112" s="48">
        <v>21.092081735443699</v>
      </c>
      <c r="AT112" s="52">
        <v>183.392205046508</v>
      </c>
      <c r="AU112" s="48">
        <v>36.035166113437498</v>
      </c>
      <c r="AV112" s="52">
        <v>9476.7520134566093</v>
      </c>
      <c r="AW112" s="53">
        <v>1.04309617372553</v>
      </c>
      <c r="AX112" s="64">
        <v>8.4243769293242496E-2</v>
      </c>
      <c r="AY112" s="64">
        <v>0</v>
      </c>
      <c r="AZ112" s="53">
        <v>0.30178397110204302</v>
      </c>
      <c r="BA112" s="64">
        <v>2.4414610263107598E-3</v>
      </c>
      <c r="BB112" s="48">
        <v>223.55908854385501</v>
      </c>
      <c r="BC112" s="52">
        <v>242.85991784193999</v>
      </c>
      <c r="BD112" s="52">
        <v>267.50305200060097</v>
      </c>
    </row>
    <row r="113" spans="1:56" s="39" customFormat="1" ht="12" customHeight="1">
      <c r="A113" s="47" t="s">
        <v>27</v>
      </c>
      <c r="B113" s="39" t="s">
        <v>229</v>
      </c>
      <c r="C113" s="39" t="s">
        <v>126</v>
      </c>
      <c r="D113" s="52">
        <v>454.84817030830698</v>
      </c>
      <c r="E113" s="52">
        <v>777.08931358520499</v>
      </c>
      <c r="F113" s="52">
        <v>854.09506327062195</v>
      </c>
      <c r="G113" s="122">
        <f t="shared" si="2"/>
        <v>0.90983936917919228</v>
      </c>
      <c r="H113" s="53">
        <v>8.8529564038241393</v>
      </c>
      <c r="I113" s="54">
        <v>0.19241972306150601</v>
      </c>
      <c r="J113" s="54">
        <v>3.1287273215887699E-3</v>
      </c>
      <c r="K113" s="54">
        <v>10.3085291993896</v>
      </c>
      <c r="L113" s="54">
        <v>0.37107484024707699</v>
      </c>
      <c r="M113" s="54">
        <v>0.38255286404142402</v>
      </c>
      <c r="N113" s="54">
        <v>1.09683934439868E-2</v>
      </c>
      <c r="O113" s="54">
        <v>0.79650179534638998</v>
      </c>
      <c r="P113" s="54">
        <v>0.106366606059848</v>
      </c>
      <c r="Q113" s="54">
        <v>2.6262743677070502E-3</v>
      </c>
      <c r="R113" s="54">
        <v>0.78286471911093003</v>
      </c>
      <c r="S113" s="52">
        <v>2762.66</v>
      </c>
      <c r="T113" s="67">
        <v>27.3125</v>
      </c>
      <c r="U113" s="52">
        <v>2462.8697135694802</v>
      </c>
      <c r="V113" s="67">
        <v>33.360552946443001</v>
      </c>
      <c r="W113" s="52">
        <v>2088.1978513324502</v>
      </c>
      <c r="X113" s="67">
        <v>51.154638582620997</v>
      </c>
      <c r="Y113" s="52">
        <v>2043.0786941463</v>
      </c>
      <c r="Z113" s="67">
        <v>47.9794464742833</v>
      </c>
      <c r="AA113" s="71">
        <f t="shared" si="3"/>
        <v>0.83534770385457735</v>
      </c>
      <c r="AB113" s="48">
        <v>32.731290000000001</v>
      </c>
      <c r="AC113" s="52">
        <v>746.46384889007504</v>
      </c>
      <c r="AD113" s="53">
        <v>7.2862742047897804</v>
      </c>
      <c r="AE113" s="52">
        <v>1788.9909345870201</v>
      </c>
      <c r="AF113" s="53">
        <v>6.0371553851883197</v>
      </c>
      <c r="AG113" s="53">
        <v>7.1780732014027198</v>
      </c>
      <c r="AH113" s="53">
        <v>8.7431324780036306</v>
      </c>
      <c r="AI113" s="48">
        <v>60.223858115720901</v>
      </c>
      <c r="AJ113" s="53">
        <v>2.6040822446235499</v>
      </c>
      <c r="AK113" s="48">
        <v>13.3349185468128</v>
      </c>
      <c r="AL113" s="48">
        <v>10.434578059901501</v>
      </c>
      <c r="AM113" s="53">
        <v>2.9217899583203102</v>
      </c>
      <c r="AN113" s="48">
        <v>44.140778197513299</v>
      </c>
      <c r="AO113" s="48">
        <v>14.1473857688247</v>
      </c>
      <c r="AP113" s="52">
        <v>164.905777060509</v>
      </c>
      <c r="AQ113" s="48">
        <v>60.914470151768597</v>
      </c>
      <c r="AR113" s="52">
        <v>265.37979031247102</v>
      </c>
      <c r="AS113" s="48">
        <v>53.359705778317</v>
      </c>
      <c r="AT113" s="52">
        <v>468.08255966326902</v>
      </c>
      <c r="AU113" s="48">
        <v>92.168103276341796</v>
      </c>
      <c r="AV113" s="52">
        <v>8715.3300947613807</v>
      </c>
      <c r="AW113" s="53">
        <v>1.4098945567469401</v>
      </c>
      <c r="AX113" s="64">
        <v>0.59572957253565595</v>
      </c>
      <c r="AY113" s="64">
        <v>0</v>
      </c>
      <c r="AZ113" s="53">
        <v>8.8529564038241393</v>
      </c>
      <c r="BA113" s="64">
        <v>4.0817658393511799E-2</v>
      </c>
      <c r="BB113" s="52">
        <v>454.84817030830698</v>
      </c>
      <c r="BC113" s="52">
        <v>777.08931358520499</v>
      </c>
      <c r="BD113" s="52">
        <v>854.09506327062195</v>
      </c>
    </row>
    <row r="114" spans="1:56" s="39" customFormat="1" ht="12" customHeight="1">
      <c r="A114" s="47" t="s">
        <v>27</v>
      </c>
      <c r="B114" s="39" t="s">
        <v>230</v>
      </c>
      <c r="C114" s="39" t="s">
        <v>126</v>
      </c>
      <c r="D114" s="52">
        <v>300.39743606537201</v>
      </c>
      <c r="E114" s="52">
        <v>525.431149156625</v>
      </c>
      <c r="F114" s="52">
        <v>405.14131142297299</v>
      </c>
      <c r="G114" s="122">
        <f t="shared" si="2"/>
        <v>1.2969083486232482</v>
      </c>
      <c r="H114" s="48">
        <v>20.649590326812699</v>
      </c>
      <c r="I114" s="54">
        <v>0.19910612248259599</v>
      </c>
      <c r="J114" s="54">
        <v>3.3151559322579099E-3</v>
      </c>
      <c r="K114" s="54">
        <v>12.2934544501252</v>
      </c>
      <c r="L114" s="54">
        <v>0.214753828727723</v>
      </c>
      <c r="M114" s="54">
        <v>0.44671601255271998</v>
      </c>
      <c r="N114" s="54">
        <v>4.1348824373128503E-3</v>
      </c>
      <c r="O114" s="54">
        <v>0.52986430931554496</v>
      </c>
      <c r="P114" s="54">
        <v>0.13319805176046801</v>
      </c>
      <c r="Q114" s="54">
        <v>2.59864942832082E-3</v>
      </c>
      <c r="R114" s="54">
        <v>0.55205295727142201</v>
      </c>
      <c r="S114" s="52">
        <v>2820.37</v>
      </c>
      <c r="T114" s="67">
        <v>27.157499999999999</v>
      </c>
      <c r="U114" s="52">
        <v>2627.0719068656999</v>
      </c>
      <c r="V114" s="67">
        <v>16.500353686254901</v>
      </c>
      <c r="W114" s="52">
        <v>2380.6360607378101</v>
      </c>
      <c r="X114" s="67">
        <v>18.469394440660601</v>
      </c>
      <c r="Y114" s="52">
        <v>2527.4132336655298</v>
      </c>
      <c r="Z114" s="67">
        <v>46.350676027393199</v>
      </c>
      <c r="AA114" s="71">
        <f t="shared" si="3"/>
        <v>0.90157738920793173</v>
      </c>
      <c r="AB114" s="48">
        <v>32.731290000000001</v>
      </c>
      <c r="AC114" s="52">
        <v>517.32117037213902</v>
      </c>
      <c r="AD114" s="48">
        <v>69.001618602750398</v>
      </c>
      <c r="AE114" s="52">
        <v>1336.6248761515899</v>
      </c>
      <c r="AF114" s="48">
        <v>16.055520741112499</v>
      </c>
      <c r="AG114" s="53">
        <v>5.9406636310844796</v>
      </c>
      <c r="AH114" s="53">
        <v>294.88301224787398</v>
      </c>
      <c r="AI114" s="52">
        <v>448.43289041840899</v>
      </c>
      <c r="AJ114" s="48">
        <v>41.487144184227503</v>
      </c>
      <c r="AK114" s="52">
        <v>161.54719313407401</v>
      </c>
      <c r="AL114" s="48">
        <v>40.220024371680402</v>
      </c>
      <c r="AM114" s="53">
        <v>4.9834765985633203</v>
      </c>
      <c r="AN114" s="48">
        <v>62.584581163264403</v>
      </c>
      <c r="AO114" s="48">
        <v>14.526345239038401</v>
      </c>
      <c r="AP114" s="52">
        <v>139.07602516537901</v>
      </c>
      <c r="AQ114" s="48">
        <v>46.649049043183197</v>
      </c>
      <c r="AR114" s="52">
        <v>187.14183546741901</v>
      </c>
      <c r="AS114" s="48">
        <v>36.944794168071603</v>
      </c>
      <c r="AT114" s="52">
        <v>318.084211159745</v>
      </c>
      <c r="AU114" s="48">
        <v>62.83018157867</v>
      </c>
      <c r="AV114" s="52">
        <v>8169.7446551698004</v>
      </c>
      <c r="AW114" s="53">
        <v>3.14272026224041</v>
      </c>
      <c r="AX114" s="64">
        <v>0.70078827610374295</v>
      </c>
      <c r="AY114" s="64">
        <v>0</v>
      </c>
      <c r="AZ114" s="48">
        <v>20.649590326812699</v>
      </c>
      <c r="BA114" s="64">
        <v>3.2165060986585697E-2</v>
      </c>
      <c r="BB114" s="52">
        <v>300.39743606537201</v>
      </c>
      <c r="BC114" s="52">
        <v>525.431149156625</v>
      </c>
      <c r="BD114" s="52">
        <v>405.14131142297299</v>
      </c>
    </row>
    <row r="115" spans="1:56" s="39" customFormat="1" ht="12" customHeight="1">
      <c r="A115" s="47" t="s">
        <v>27</v>
      </c>
      <c r="B115" s="39" t="s">
        <v>231</v>
      </c>
      <c r="C115" s="39" t="s">
        <v>126</v>
      </c>
      <c r="D115" s="52">
        <v>506.17937670325603</v>
      </c>
      <c r="E115" s="52">
        <v>1095.3543600974699</v>
      </c>
      <c r="F115" s="52">
        <v>840.59802822482902</v>
      </c>
      <c r="G115" s="122">
        <f t="shared" si="2"/>
        <v>1.3030655834520979</v>
      </c>
      <c r="H115" s="48">
        <v>31.7018656404368</v>
      </c>
      <c r="I115" s="54">
        <v>0.18963840885172001</v>
      </c>
      <c r="J115" s="54">
        <v>3.28824413427484E-3</v>
      </c>
      <c r="K115" s="54">
        <v>9.7361421027062107</v>
      </c>
      <c r="L115" s="54">
        <v>0.18706083123711001</v>
      </c>
      <c r="M115" s="54">
        <v>0.37113331909883301</v>
      </c>
      <c r="N115" s="54">
        <v>3.62424755589187E-3</v>
      </c>
      <c r="O115" s="54">
        <v>0.50826704657668498</v>
      </c>
      <c r="P115" s="54">
        <v>9.8925049839867801E-2</v>
      </c>
      <c r="Q115" s="54">
        <v>2.1311080750346699E-3</v>
      </c>
      <c r="R115" s="54">
        <v>0.55461330780963702</v>
      </c>
      <c r="S115" s="52">
        <v>2739.2049999999999</v>
      </c>
      <c r="T115" s="67">
        <v>29.1675</v>
      </c>
      <c r="U115" s="52">
        <v>2410.1292747482598</v>
      </c>
      <c r="V115" s="67">
        <v>17.767243115207901</v>
      </c>
      <c r="W115" s="52">
        <v>2034.73094654991</v>
      </c>
      <c r="X115" s="67">
        <v>17.0748701922424</v>
      </c>
      <c r="Y115" s="52">
        <v>1906.6695217383699</v>
      </c>
      <c r="Z115" s="67">
        <v>39.196888959883999</v>
      </c>
      <c r="AA115" s="71">
        <f t="shared" si="3"/>
        <v>0.83108655412848476</v>
      </c>
      <c r="AB115" s="48">
        <v>32.731290000000001</v>
      </c>
      <c r="AC115" s="52">
        <v>1087.3170275183099</v>
      </c>
      <c r="AD115" s="48">
        <v>24.008272798189701</v>
      </c>
      <c r="AE115" s="52">
        <v>1991.0297042360601</v>
      </c>
      <c r="AF115" s="53">
        <v>6.7493328414260301</v>
      </c>
      <c r="AG115" s="53">
        <v>4.5119974974087897</v>
      </c>
      <c r="AH115" s="53">
        <v>4.6125343441517304</v>
      </c>
      <c r="AI115" s="48">
        <v>74.335588738363398</v>
      </c>
      <c r="AJ115" s="53">
        <v>3.3886284859673599</v>
      </c>
      <c r="AK115" s="48">
        <v>22.9198320909533</v>
      </c>
      <c r="AL115" s="48">
        <v>18.981333368538699</v>
      </c>
      <c r="AM115" s="53">
        <v>3.12449671250369</v>
      </c>
      <c r="AN115" s="48">
        <v>72.235474878813605</v>
      </c>
      <c r="AO115" s="48">
        <v>20.635141869147802</v>
      </c>
      <c r="AP115" s="52">
        <v>213.85947864448099</v>
      </c>
      <c r="AQ115" s="48">
        <v>71.863181863922307</v>
      </c>
      <c r="AR115" s="52">
        <v>280.13859782829701</v>
      </c>
      <c r="AS115" s="48">
        <v>51.678909860540401</v>
      </c>
      <c r="AT115" s="52">
        <v>421.77155307521099</v>
      </c>
      <c r="AU115" s="48">
        <v>79.932387652512404</v>
      </c>
      <c r="AV115" s="52">
        <v>9034.3012240232492</v>
      </c>
      <c r="AW115" s="53">
        <v>2.23881710467426</v>
      </c>
      <c r="AX115" s="64">
        <v>0.78793396257980997</v>
      </c>
      <c r="AY115" s="64">
        <v>0</v>
      </c>
      <c r="AZ115" s="48">
        <v>31.7018656404368</v>
      </c>
      <c r="BA115" s="64">
        <v>4.6782143790941998E-2</v>
      </c>
      <c r="BB115" s="52">
        <v>506.17937670325603</v>
      </c>
      <c r="BC115" s="52">
        <v>1095.3543600974699</v>
      </c>
      <c r="BD115" s="52">
        <v>840.59802822482902</v>
      </c>
    </row>
    <row r="116" spans="1:56" s="39" customFormat="1" ht="12" customHeight="1">
      <c r="A116" s="47" t="s">
        <v>27</v>
      </c>
      <c r="B116" s="39" t="s">
        <v>232</v>
      </c>
      <c r="C116" s="39" t="s">
        <v>126</v>
      </c>
      <c r="D116" s="48">
        <v>251.73999974857301</v>
      </c>
      <c r="E116" s="52">
        <v>215.91880023113501</v>
      </c>
      <c r="F116" s="52">
        <v>285.80610694221502</v>
      </c>
      <c r="G116" s="122">
        <f t="shared" si="2"/>
        <v>0.7554730112005269</v>
      </c>
      <c r="H116" s="48">
        <v>19.2391546402236</v>
      </c>
      <c r="I116" s="54">
        <v>0.208009772480519</v>
      </c>
      <c r="J116" s="54">
        <v>4.3112463428618703E-3</v>
      </c>
      <c r="K116" s="54">
        <v>16.556162623100501</v>
      </c>
      <c r="L116" s="54">
        <v>0.37128439886389702</v>
      </c>
      <c r="M116" s="54">
        <v>0.57547443101931395</v>
      </c>
      <c r="N116" s="54">
        <v>5.6210289420215599E-3</v>
      </c>
      <c r="O116" s="54">
        <v>0.435554767708274</v>
      </c>
      <c r="P116" s="54">
        <v>0.18040691800633599</v>
      </c>
      <c r="Q116" s="54">
        <v>5.0693821586254304E-3</v>
      </c>
      <c r="R116" s="54">
        <v>0.97541383439032103</v>
      </c>
      <c r="S116" s="52">
        <v>2889.8150000000001</v>
      </c>
      <c r="T116" s="67">
        <v>32.872499999999903</v>
      </c>
      <c r="U116" s="52">
        <v>2909.4837131438699</v>
      </c>
      <c r="V116" s="67">
        <v>21.5646548447973</v>
      </c>
      <c r="W116" s="52">
        <v>2930.2591649453602</v>
      </c>
      <c r="X116" s="67">
        <v>23.054093105623199</v>
      </c>
      <c r="Y116" s="52">
        <v>3352.38453360321</v>
      </c>
      <c r="Z116" s="67">
        <v>86.803549237798194</v>
      </c>
      <c r="AA116" s="71">
        <f t="shared" si="3"/>
        <v>0.9928848059802633</v>
      </c>
      <c r="AB116" s="48">
        <v>32.731290000000001</v>
      </c>
      <c r="AC116" s="52">
        <v>488.42555106153799</v>
      </c>
      <c r="AD116" s="53">
        <v>6.2937698064196601</v>
      </c>
      <c r="AE116" s="52">
        <v>637.796951819676</v>
      </c>
      <c r="AF116" s="53">
        <v>2.7637415728454102</v>
      </c>
      <c r="AG116" s="53">
        <v>13.4804286110367</v>
      </c>
      <c r="AH116" s="53">
        <v>5.3055206907470502</v>
      </c>
      <c r="AI116" s="48">
        <v>37.9695949713985</v>
      </c>
      <c r="AJ116" s="53">
        <v>1.19110121633657</v>
      </c>
      <c r="AK116" s="53">
        <v>6.91402446350825</v>
      </c>
      <c r="AL116" s="53">
        <v>4.4530432267361499</v>
      </c>
      <c r="AM116" s="53">
        <v>2.65393824727578</v>
      </c>
      <c r="AN116" s="48">
        <v>19.858394940964399</v>
      </c>
      <c r="AO116" s="53">
        <v>5.4211973766274602</v>
      </c>
      <c r="AP116" s="48">
        <v>59.691702161837298</v>
      </c>
      <c r="AQ116" s="48">
        <v>21.001825362656799</v>
      </c>
      <c r="AR116" s="48">
        <v>88.367477277925104</v>
      </c>
      <c r="AS116" s="48">
        <v>18.059502463235098</v>
      </c>
      <c r="AT116" s="52">
        <v>159.73889196797401</v>
      </c>
      <c r="AU116" s="48">
        <v>33.773888875428803</v>
      </c>
      <c r="AV116" s="52">
        <v>8616.3349047383908</v>
      </c>
      <c r="AW116" s="53">
        <v>0.73171778136565901</v>
      </c>
      <c r="AX116" s="64">
        <v>0.371443787704408</v>
      </c>
      <c r="AY116" s="64">
        <v>0</v>
      </c>
      <c r="AZ116" s="48">
        <v>19.2391546402236</v>
      </c>
      <c r="BA116" s="64">
        <v>2.4647824243811699E-2</v>
      </c>
      <c r="BB116" s="48">
        <v>251.73999974857301</v>
      </c>
      <c r="BC116" s="52">
        <v>215.91880023113501</v>
      </c>
      <c r="BD116" s="52">
        <v>285.80610694221502</v>
      </c>
    </row>
    <row r="117" spans="1:56" s="39" customFormat="1" ht="12" customHeight="1">
      <c r="A117" s="47" t="s">
        <v>27</v>
      </c>
      <c r="B117" s="39" t="s">
        <v>233</v>
      </c>
      <c r="C117" s="39" t="s">
        <v>126</v>
      </c>
      <c r="D117" s="48">
        <v>247.70618708877299</v>
      </c>
      <c r="E117" s="52">
        <v>200.154198614829</v>
      </c>
      <c r="F117" s="52">
        <v>442.03686591837197</v>
      </c>
      <c r="G117" s="122">
        <f t="shared" si="2"/>
        <v>0.45279978673043564</v>
      </c>
      <c r="H117" s="48">
        <v>11.681102101193501</v>
      </c>
      <c r="I117" s="54">
        <v>0.19216325473847101</v>
      </c>
      <c r="J117" s="54">
        <v>4.10535832185844E-3</v>
      </c>
      <c r="K117" s="54">
        <v>11.114795159523901</v>
      </c>
      <c r="L117" s="54">
        <v>0.26666085122879402</v>
      </c>
      <c r="M117" s="54">
        <v>0.41837603076255803</v>
      </c>
      <c r="N117" s="54">
        <v>5.2081323309730899E-3</v>
      </c>
      <c r="O117" s="54">
        <v>0.51886863306608699</v>
      </c>
      <c r="P117" s="54">
        <v>0.117501753372535</v>
      </c>
      <c r="Q117" s="54">
        <v>3.1392853757197798E-3</v>
      </c>
      <c r="R117" s="54">
        <v>1.63133778834216</v>
      </c>
      <c r="S117" s="52">
        <v>2760.81</v>
      </c>
      <c r="T117" s="67">
        <v>35.182499999999898</v>
      </c>
      <c r="U117" s="52">
        <v>2532.7993563699201</v>
      </c>
      <c r="V117" s="67">
        <v>22.416035259281699</v>
      </c>
      <c r="W117" s="52">
        <v>2253.1028322289299</v>
      </c>
      <c r="X117" s="67">
        <v>23.7018244801401</v>
      </c>
      <c r="Y117" s="52">
        <v>2245.4899750946902</v>
      </c>
      <c r="Z117" s="67">
        <v>56.780182070967001</v>
      </c>
      <c r="AA117" s="71">
        <f t="shared" si="3"/>
        <v>0.88311648959007416</v>
      </c>
      <c r="AB117" s="48">
        <v>32.731290000000001</v>
      </c>
      <c r="AC117" s="52">
        <v>983.86498422249497</v>
      </c>
      <c r="AD117" s="48">
        <v>14.3372760089699</v>
      </c>
      <c r="AE117" s="52">
        <v>574.56557437870697</v>
      </c>
      <c r="AF117" s="53">
        <v>8.3022976205556098</v>
      </c>
      <c r="AG117" s="53">
        <v>44.151067921645598</v>
      </c>
      <c r="AH117" s="53">
        <v>5.9546353472306297</v>
      </c>
      <c r="AI117" s="48">
        <v>31.416809004007199</v>
      </c>
      <c r="AJ117" s="53">
        <v>2.4992963169887501</v>
      </c>
      <c r="AK117" s="48">
        <v>12.3985959866638</v>
      </c>
      <c r="AL117" s="53">
        <v>6.4676241620199901</v>
      </c>
      <c r="AM117" s="53">
        <v>1.59124312254991</v>
      </c>
      <c r="AN117" s="48">
        <v>15.983581040069801</v>
      </c>
      <c r="AO117" s="53">
        <v>4.6866950492841299</v>
      </c>
      <c r="AP117" s="48">
        <v>53.1561296458299</v>
      </c>
      <c r="AQ117" s="48">
        <v>19.836022040041499</v>
      </c>
      <c r="AR117" s="48">
        <v>89.980132557397098</v>
      </c>
      <c r="AS117" s="48">
        <v>19.2503301953457</v>
      </c>
      <c r="AT117" s="52">
        <v>180.99846635607801</v>
      </c>
      <c r="AU117" s="48">
        <v>38.037305118257301</v>
      </c>
      <c r="AV117" s="52">
        <v>6555.92387562978</v>
      </c>
      <c r="AW117" s="53">
        <v>2.6821678331477399</v>
      </c>
      <c r="AX117" s="64">
        <v>1.18549262347347</v>
      </c>
      <c r="AY117" s="64">
        <v>0</v>
      </c>
      <c r="AZ117" s="48">
        <v>11.681102101193501</v>
      </c>
      <c r="BA117" s="64">
        <v>0.221908400417374</v>
      </c>
      <c r="BB117" s="48">
        <v>247.70618708877299</v>
      </c>
      <c r="BC117" s="52">
        <v>200.154198614829</v>
      </c>
      <c r="BD117" s="52">
        <v>442.03686591837197</v>
      </c>
    </row>
    <row r="118" spans="1:56" s="39" customFormat="1" ht="12" customHeight="1">
      <c r="A118" s="47" t="s">
        <v>27</v>
      </c>
      <c r="B118" s="39" t="s">
        <v>234</v>
      </c>
      <c r="C118" s="39" t="s">
        <v>126</v>
      </c>
      <c r="D118" s="48">
        <v>368.23926476175097</v>
      </c>
      <c r="E118" s="52">
        <v>120.277901518026</v>
      </c>
      <c r="F118" s="52">
        <v>1491.45957147286</v>
      </c>
      <c r="G118" s="122">
        <f t="shared" si="2"/>
        <v>8.0644426318071796E-2</v>
      </c>
      <c r="H118" s="48">
        <v>42.456030703151299</v>
      </c>
      <c r="I118" s="54">
        <v>0.149328273656577</v>
      </c>
      <c r="J118" s="54">
        <v>2.89804910891655E-3</v>
      </c>
      <c r="K118" s="54">
        <v>4.1120288731520702</v>
      </c>
      <c r="L118" s="54">
        <v>0.105383827088998</v>
      </c>
      <c r="M118" s="54">
        <v>0.20040259388045201</v>
      </c>
      <c r="N118" s="54">
        <v>4.3591524156360003E-3</v>
      </c>
      <c r="O118" s="54">
        <v>0.84875218424600196</v>
      </c>
      <c r="P118" s="54">
        <v>3.1930389484155899E-2</v>
      </c>
      <c r="Q118" s="54">
        <v>1.0053973286192E-2</v>
      </c>
      <c r="R118" s="54">
        <v>12.058398106441301</v>
      </c>
      <c r="S118" s="52">
        <v>2337.9699999999998</v>
      </c>
      <c r="T118" s="67">
        <v>33.335000000000001</v>
      </c>
      <c r="U118" s="52">
        <v>1656.6952989510801</v>
      </c>
      <c r="V118" s="67">
        <v>20.962286332127601</v>
      </c>
      <c r="W118" s="52">
        <v>1177.4826457921099</v>
      </c>
      <c r="X118" s="67">
        <v>23.418198129145399</v>
      </c>
      <c r="Y118" s="52">
        <v>635.29485061430103</v>
      </c>
      <c r="Z118" s="67">
        <v>196.92530275351601</v>
      </c>
      <c r="AA118" s="71">
        <f t="shared" si="3"/>
        <v>0.66183305176881368</v>
      </c>
      <c r="AB118" s="48">
        <v>32.731290000000001</v>
      </c>
      <c r="AC118" s="52">
        <v>450.87940802708198</v>
      </c>
      <c r="AD118" s="48">
        <v>14.835687472676501</v>
      </c>
      <c r="AE118" s="52">
        <v>1488.4603698526901</v>
      </c>
      <c r="AF118" s="48">
        <v>26.059668959267299</v>
      </c>
      <c r="AG118" s="53">
        <v>24.512943511218499</v>
      </c>
      <c r="AH118" s="53">
        <v>20.149792127979101</v>
      </c>
      <c r="AI118" s="48">
        <v>35.269139284003003</v>
      </c>
      <c r="AJ118" s="53">
        <v>6.1281692959505296</v>
      </c>
      <c r="AK118" s="48">
        <v>23.938923430445499</v>
      </c>
      <c r="AL118" s="48">
        <v>10.507735814373699</v>
      </c>
      <c r="AM118" s="53">
        <v>4.3604755977774401</v>
      </c>
      <c r="AN118" s="48">
        <v>28.371799919825399</v>
      </c>
      <c r="AO118" s="48">
        <v>11.039493693238001</v>
      </c>
      <c r="AP118" s="52">
        <v>126.93613288641301</v>
      </c>
      <c r="AQ118" s="48">
        <v>42.963694355990299</v>
      </c>
      <c r="AR118" s="52">
        <v>178.54393674993301</v>
      </c>
      <c r="AS118" s="48">
        <v>37.627585375394297</v>
      </c>
      <c r="AT118" s="52">
        <v>358.402844563347</v>
      </c>
      <c r="AU118" s="48">
        <v>77.613820049685202</v>
      </c>
      <c r="AV118" s="52">
        <v>13286.256649471299</v>
      </c>
      <c r="AW118" s="48">
        <v>11.9574676972425</v>
      </c>
      <c r="AX118" s="64">
        <v>3.1631581283897199</v>
      </c>
      <c r="AY118" s="64">
        <v>0</v>
      </c>
      <c r="AZ118" s="48">
        <v>42.456030703151299</v>
      </c>
      <c r="BA118" s="64">
        <v>9.9914465287121307E-2</v>
      </c>
      <c r="BB118" s="48">
        <v>368.23926476175097</v>
      </c>
      <c r="BC118" s="52">
        <v>120.277901518026</v>
      </c>
      <c r="BD118" s="52">
        <v>1491.45957147286</v>
      </c>
    </row>
    <row r="119" spans="1:56" s="39" customFormat="1" ht="12" customHeight="1">
      <c r="A119" s="47" t="s">
        <v>27</v>
      </c>
      <c r="B119" s="39" t="s">
        <v>235</v>
      </c>
      <c r="C119" s="39" t="s">
        <v>126</v>
      </c>
      <c r="D119" s="52">
        <v>302.05181081423302</v>
      </c>
      <c r="E119" s="52">
        <v>547.90445847569595</v>
      </c>
      <c r="F119" s="52">
        <v>339.34595759564098</v>
      </c>
      <c r="G119" s="122">
        <f t="shared" si="2"/>
        <v>1.6145896133778903</v>
      </c>
      <c r="H119" s="53">
        <v>4.3129719268186797</v>
      </c>
      <c r="I119" s="54">
        <v>0.211944558763211</v>
      </c>
      <c r="J119" s="54">
        <v>3.54298567675239E-3</v>
      </c>
      <c r="K119" s="54">
        <v>15.8318655341882</v>
      </c>
      <c r="L119" s="54">
        <v>0.28220360346419099</v>
      </c>
      <c r="M119" s="54">
        <v>0.53933299955728997</v>
      </c>
      <c r="N119" s="54">
        <v>4.5442945994499202E-3</v>
      </c>
      <c r="O119" s="54">
        <v>0.47269283792793598</v>
      </c>
      <c r="P119" s="54">
        <v>0.142796176454867</v>
      </c>
      <c r="Q119" s="54">
        <v>2.77646775031402E-3</v>
      </c>
      <c r="R119" s="54">
        <v>0.43715023202915698</v>
      </c>
      <c r="S119" s="52">
        <v>2920.68</v>
      </c>
      <c r="T119" s="67">
        <v>26.385000000000002</v>
      </c>
      <c r="U119" s="52">
        <v>2866.7044197823002</v>
      </c>
      <c r="V119" s="67">
        <v>17.135189254637201</v>
      </c>
      <c r="W119" s="52">
        <v>2780.6556353432002</v>
      </c>
      <c r="X119" s="67">
        <v>19.089729490176701</v>
      </c>
      <c r="Y119" s="52">
        <v>2697.8887438019901</v>
      </c>
      <c r="Z119" s="67">
        <v>49.106394881035698</v>
      </c>
      <c r="AA119" s="71">
        <f t="shared" si="3"/>
        <v>0.96952601442119746</v>
      </c>
      <c r="AB119" s="48">
        <v>32.731290000000001</v>
      </c>
      <c r="AC119" s="52">
        <v>2335.7855421437998</v>
      </c>
      <c r="AD119" s="53">
        <v>6.1395717493492796</v>
      </c>
      <c r="AE119" s="52">
        <v>1278.0194784968301</v>
      </c>
      <c r="AF119" s="53">
        <v>2.5332129329148199</v>
      </c>
      <c r="AG119" s="53">
        <v>0.76329124265797899</v>
      </c>
      <c r="AH119" s="53">
        <v>33.301116534176302</v>
      </c>
      <c r="AI119" s="52">
        <v>114.077064089979</v>
      </c>
      <c r="AJ119" s="53">
        <v>8.9089222600066993</v>
      </c>
      <c r="AK119" s="48">
        <v>43.057317971242597</v>
      </c>
      <c r="AL119" s="48">
        <v>19.934319399539401</v>
      </c>
      <c r="AM119" s="53">
        <v>4.3642681855804097</v>
      </c>
      <c r="AN119" s="48">
        <v>52.348726136594301</v>
      </c>
      <c r="AO119" s="48">
        <v>13.343303771596799</v>
      </c>
      <c r="AP119" s="52">
        <v>131.044196459197</v>
      </c>
      <c r="AQ119" s="48">
        <v>44.007370182452497</v>
      </c>
      <c r="AR119" s="52">
        <v>175.177793430268</v>
      </c>
      <c r="AS119" s="48">
        <v>33.865472830844098</v>
      </c>
      <c r="AT119" s="52">
        <v>287.744493754921</v>
      </c>
      <c r="AU119" s="48">
        <v>55.565337644161403</v>
      </c>
      <c r="AV119" s="52">
        <v>8155.06106885585</v>
      </c>
      <c r="AW119" s="53">
        <v>0.67651721935589104</v>
      </c>
      <c r="AX119" s="64">
        <v>0.199534594442838</v>
      </c>
      <c r="AY119" s="64">
        <v>0</v>
      </c>
      <c r="AZ119" s="53">
        <v>4.3129719268186797</v>
      </c>
      <c r="BA119" s="64">
        <v>1.1956307125534599E-2</v>
      </c>
      <c r="BB119" s="52">
        <v>302.05181081423302</v>
      </c>
      <c r="BC119" s="52">
        <v>547.90445847569595</v>
      </c>
      <c r="BD119" s="52">
        <v>339.34595759564098</v>
      </c>
    </row>
    <row r="120" spans="1:56" s="41" customFormat="1" ht="12" customHeight="1">
      <c r="A120" s="47" t="s">
        <v>27</v>
      </c>
      <c r="B120" s="41" t="s">
        <v>236</v>
      </c>
      <c r="D120" s="50">
        <v>330.50987046668098</v>
      </c>
      <c r="E120" s="60">
        <v>116.748377113811</v>
      </c>
      <c r="F120" s="60">
        <v>385.79791774497397</v>
      </c>
      <c r="G120" s="122">
        <f t="shared" si="2"/>
        <v>0.3026153634944857</v>
      </c>
      <c r="H120" s="61">
        <v>1.09594708796941</v>
      </c>
      <c r="I120" s="62">
        <v>0.26733294324766199</v>
      </c>
      <c r="J120" s="62">
        <v>4.9826017981475703E-3</v>
      </c>
      <c r="K120" s="62">
        <v>23.618150055505801</v>
      </c>
      <c r="L120" s="62">
        <v>0.43440764466919002</v>
      </c>
      <c r="M120" s="62">
        <v>0.63728589004980396</v>
      </c>
      <c r="N120" s="62">
        <v>5.16587808962509E-3</v>
      </c>
      <c r="O120" s="62">
        <v>0.44071544237337301</v>
      </c>
      <c r="P120" s="62">
        <v>0.16461806681139499</v>
      </c>
      <c r="Q120" s="62">
        <v>3.4550429362512499E-3</v>
      </c>
      <c r="R120" s="62">
        <v>2.6333461854529401</v>
      </c>
      <c r="S120" s="60">
        <v>3290.43</v>
      </c>
      <c r="T120" s="69">
        <v>29.3249999999998</v>
      </c>
      <c r="U120" s="60">
        <v>3252.7633426682401</v>
      </c>
      <c r="V120" s="69">
        <v>18.053286312909499</v>
      </c>
      <c r="W120" s="60">
        <v>3178.3395700895398</v>
      </c>
      <c r="X120" s="69">
        <v>20.4116712107793</v>
      </c>
      <c r="Y120" s="60">
        <v>3080.2060357681098</v>
      </c>
      <c r="Z120" s="69">
        <v>59.963106311952103</v>
      </c>
      <c r="AA120" s="71">
        <f t="shared" si="3"/>
        <v>0.97685505158654473</v>
      </c>
      <c r="AB120" s="50">
        <v>32.731290000000001</v>
      </c>
      <c r="AC120" s="60">
        <v>447.09739567220902</v>
      </c>
      <c r="AD120" s="61">
        <v>5.5353206857589496</v>
      </c>
      <c r="AE120" s="60">
        <v>764.95669604977797</v>
      </c>
      <c r="AF120" s="61">
        <v>3.3336415289127901</v>
      </c>
      <c r="AG120" s="61">
        <v>1.6907844588745899</v>
      </c>
      <c r="AH120" s="61">
        <v>0.53640549697988704</v>
      </c>
      <c r="AI120" s="61">
        <v>6.8250094534946797</v>
      </c>
      <c r="AJ120" s="61">
        <v>0.21668971860266401</v>
      </c>
      <c r="AK120" s="61">
        <v>1.6734768157384401</v>
      </c>
      <c r="AL120" s="61">
        <v>2.7249301166728701</v>
      </c>
      <c r="AM120" s="61">
        <v>0.198085044000746</v>
      </c>
      <c r="AN120" s="50">
        <v>15.373667808082701</v>
      </c>
      <c r="AO120" s="61">
        <v>5.3341956641353798</v>
      </c>
      <c r="AP120" s="50">
        <v>65.066716663496607</v>
      </c>
      <c r="AQ120" s="50">
        <v>25.491467302422901</v>
      </c>
      <c r="AR120" s="60">
        <v>112.77176651031699</v>
      </c>
      <c r="AS120" s="50">
        <v>23.9189973384828</v>
      </c>
      <c r="AT120" s="60">
        <v>225.836408493172</v>
      </c>
      <c r="AU120" s="50">
        <v>49.476310468688197</v>
      </c>
      <c r="AV120" s="60">
        <v>11824.6969930426</v>
      </c>
      <c r="AW120" s="61">
        <v>1.54064111766455</v>
      </c>
      <c r="AX120" s="65">
        <v>0.16745939111087399</v>
      </c>
      <c r="AY120" s="65">
        <v>0</v>
      </c>
      <c r="AZ120" s="61">
        <v>1.09594708796941</v>
      </c>
      <c r="BA120" s="65">
        <v>2.3025142472521801E-2</v>
      </c>
      <c r="BB120" s="50">
        <v>330.50987046668098</v>
      </c>
      <c r="BC120" s="60">
        <v>116.748377113811</v>
      </c>
      <c r="BD120" s="60">
        <v>385.79791774497397</v>
      </c>
    </row>
    <row r="121" spans="1:56" s="41" customFormat="1" ht="12" customHeight="1">
      <c r="A121" s="47" t="s">
        <v>27</v>
      </c>
      <c r="B121" s="41" t="s">
        <v>237</v>
      </c>
      <c r="D121" s="50">
        <v>222.75091667307001</v>
      </c>
      <c r="E121" s="60">
        <v>159.625772218234</v>
      </c>
      <c r="F121" s="60">
        <v>229.44367910744501</v>
      </c>
      <c r="G121" s="122">
        <f t="shared" si="2"/>
        <v>0.69570786538636209</v>
      </c>
      <c r="H121" s="61">
        <v>0.188548297941735</v>
      </c>
      <c r="I121" s="62">
        <v>0.268690576276781</v>
      </c>
      <c r="J121" s="62">
        <v>4.2448955111513602E-3</v>
      </c>
      <c r="K121" s="62">
        <v>24.7245399263705</v>
      </c>
      <c r="L121" s="62">
        <v>0.38271272369681503</v>
      </c>
      <c r="M121" s="62">
        <v>0.66438936378145497</v>
      </c>
      <c r="N121" s="62">
        <v>4.3923480007992599E-3</v>
      </c>
      <c r="O121" s="62">
        <v>0.42709981981990702</v>
      </c>
      <c r="P121" s="62">
        <v>0.17464459454099401</v>
      </c>
      <c r="Q121" s="62">
        <v>2.8450812993457502E-3</v>
      </c>
      <c r="R121" s="62">
        <v>1.0349190294324</v>
      </c>
      <c r="S121" s="60">
        <v>3298.46</v>
      </c>
      <c r="T121" s="69">
        <v>25.002500000000101</v>
      </c>
      <c r="U121" s="60">
        <v>3297.40102275445</v>
      </c>
      <c r="V121" s="69">
        <v>15.2717009302504</v>
      </c>
      <c r="W121" s="60">
        <v>3284.1792598493398</v>
      </c>
      <c r="X121" s="69">
        <v>17.1043701557806</v>
      </c>
      <c r="Y121" s="60">
        <v>3253.4740598474</v>
      </c>
      <c r="Z121" s="69">
        <v>48.955601805872597</v>
      </c>
      <c r="AA121" s="71">
        <f t="shared" si="3"/>
        <v>0.99598219201547766</v>
      </c>
      <c r="AB121" s="50">
        <v>32.731290000000001</v>
      </c>
      <c r="AC121" s="60">
        <v>612.84080158905601</v>
      </c>
      <c r="AD121" s="61">
        <v>8.8316243313828604</v>
      </c>
      <c r="AE121" s="60">
        <v>1718.0392151088499</v>
      </c>
      <c r="AF121" s="61">
        <v>3.7730074194377998</v>
      </c>
      <c r="AG121" s="61">
        <v>1.35144359196516E-2</v>
      </c>
      <c r="AH121" s="61">
        <v>1.5614856723083201E-2</v>
      </c>
      <c r="AI121" s="50">
        <v>16.3256774408048</v>
      </c>
      <c r="AJ121" s="61">
        <v>0.29273535538499901</v>
      </c>
      <c r="AK121" s="61">
        <v>4.2951024662672399</v>
      </c>
      <c r="AL121" s="61">
        <v>7.62131282703771</v>
      </c>
      <c r="AM121" s="61">
        <v>0.86442502874017302</v>
      </c>
      <c r="AN121" s="50">
        <v>36.538006466761402</v>
      </c>
      <c r="AO121" s="50">
        <v>12.2823541008735</v>
      </c>
      <c r="AP121" s="60">
        <v>146.32027314846599</v>
      </c>
      <c r="AQ121" s="50">
        <v>56.789106732577203</v>
      </c>
      <c r="AR121" s="60">
        <v>251.30495799084699</v>
      </c>
      <c r="AS121" s="50">
        <v>49.544335096669499</v>
      </c>
      <c r="AT121" s="60">
        <v>426.28300396969098</v>
      </c>
      <c r="AU121" s="50">
        <v>84.015906461062102</v>
      </c>
      <c r="AV121" s="60">
        <v>8827.8912108865297</v>
      </c>
      <c r="AW121" s="61">
        <v>1.28263690093223</v>
      </c>
      <c r="AX121" s="65">
        <v>4.6008134978651402E-2</v>
      </c>
      <c r="AY121" s="65">
        <v>0</v>
      </c>
      <c r="AZ121" s="61">
        <v>0.188548297941735</v>
      </c>
      <c r="BA121" s="65">
        <v>0</v>
      </c>
      <c r="BB121" s="50">
        <v>222.75091667307001</v>
      </c>
      <c r="BC121" s="60">
        <v>159.625772218234</v>
      </c>
      <c r="BD121" s="60">
        <v>229.44367910744501</v>
      </c>
    </row>
    <row r="122" spans="1:56" s="41" customFormat="1" ht="12" customHeight="1">
      <c r="A122" s="47" t="s">
        <v>27</v>
      </c>
      <c r="B122" s="41" t="s">
        <v>238</v>
      </c>
      <c r="C122" s="41" t="s">
        <v>126</v>
      </c>
      <c r="D122" s="60">
        <v>469.15047850121903</v>
      </c>
      <c r="E122" s="60">
        <v>610.90873033803496</v>
      </c>
      <c r="F122" s="60">
        <v>777.749559049455</v>
      </c>
      <c r="G122" s="122">
        <f t="shared" si="2"/>
        <v>0.78548258013115624</v>
      </c>
      <c r="H122" s="50">
        <v>13.8872824451617</v>
      </c>
      <c r="I122" s="62">
        <v>0.231149411704693</v>
      </c>
      <c r="J122" s="62">
        <v>3.4769108982713398E-3</v>
      </c>
      <c r="K122" s="62">
        <v>13.356824468104801</v>
      </c>
      <c r="L122" s="62">
        <v>0.25005197430067799</v>
      </c>
      <c r="M122" s="62">
        <v>0.41696622485304202</v>
      </c>
      <c r="N122" s="62">
        <v>4.6199996415021202E-3</v>
      </c>
      <c r="O122" s="62">
        <v>0.59185319303005401</v>
      </c>
      <c r="P122" s="62">
        <v>0.10121100320037101</v>
      </c>
      <c r="Q122" s="62">
        <v>1.8157123730202201E-3</v>
      </c>
      <c r="R122" s="62">
        <v>0.94096439332488102</v>
      </c>
      <c r="S122" s="60">
        <v>3060.19</v>
      </c>
      <c r="T122" s="69">
        <v>24.072500000000002</v>
      </c>
      <c r="U122" s="60">
        <v>2705.2093230918499</v>
      </c>
      <c r="V122" s="69">
        <v>17.780282654703001</v>
      </c>
      <c r="W122" s="60">
        <v>2246.6921821283299</v>
      </c>
      <c r="X122" s="69">
        <v>21.053433274721201</v>
      </c>
      <c r="Y122" s="60">
        <v>1948.6707679727199</v>
      </c>
      <c r="Z122" s="69">
        <v>33.326576906905601</v>
      </c>
      <c r="AA122" s="71">
        <f t="shared" si="3"/>
        <v>0.81481168780107527</v>
      </c>
      <c r="AB122" s="50">
        <v>32.731290000000001</v>
      </c>
      <c r="AC122" s="60">
        <v>610.26602137645295</v>
      </c>
      <c r="AD122" s="50">
        <v>15.265572189517901</v>
      </c>
      <c r="AE122" s="60">
        <v>3471.2619779834299</v>
      </c>
      <c r="AF122" s="61">
        <v>7.4271527376148399</v>
      </c>
      <c r="AG122" s="61">
        <v>9.0136188032440501</v>
      </c>
      <c r="AH122" s="61">
        <v>4.2230272058452103</v>
      </c>
      <c r="AI122" s="50">
        <v>32.420810009596103</v>
      </c>
      <c r="AJ122" s="61">
        <v>1.50191643810757</v>
      </c>
      <c r="AK122" s="50">
        <v>13.4841312354246</v>
      </c>
      <c r="AL122" s="50">
        <v>18.433112439258601</v>
      </c>
      <c r="AM122" s="61">
        <v>0.75274154739032395</v>
      </c>
      <c r="AN122" s="60">
        <v>100.325164822643</v>
      </c>
      <c r="AO122" s="50">
        <v>31.524756652397802</v>
      </c>
      <c r="AP122" s="60">
        <v>357.87698414842299</v>
      </c>
      <c r="AQ122" s="60">
        <v>127.099811144705</v>
      </c>
      <c r="AR122" s="60">
        <v>516.21502849816795</v>
      </c>
      <c r="AS122" s="50">
        <v>96.910106852047605</v>
      </c>
      <c r="AT122" s="60">
        <v>794.47765754517695</v>
      </c>
      <c r="AU122" s="60">
        <v>144.048738217872</v>
      </c>
      <c r="AV122" s="60">
        <v>8798.4326319869997</v>
      </c>
      <c r="AW122" s="61">
        <v>2.1817439510852799</v>
      </c>
      <c r="AX122" s="65">
        <v>0.68682173509619104</v>
      </c>
      <c r="AY122" s="65">
        <v>0</v>
      </c>
      <c r="AZ122" s="50">
        <v>13.8872824451617</v>
      </c>
      <c r="BA122" s="65">
        <v>0.15806518555768601</v>
      </c>
      <c r="BB122" s="60">
        <v>469.15047850121903</v>
      </c>
      <c r="BC122" s="60">
        <v>610.90873033803496</v>
      </c>
      <c r="BD122" s="60">
        <v>777.749559049455</v>
      </c>
    </row>
    <row r="123" spans="1:56" s="41" customFormat="1" ht="12" customHeight="1">
      <c r="A123" s="47" t="s">
        <v>27</v>
      </c>
      <c r="B123" s="41" t="s">
        <v>239</v>
      </c>
      <c r="C123" s="41" t="s">
        <v>135</v>
      </c>
      <c r="D123" s="50">
        <v>108.12068795101401</v>
      </c>
      <c r="E123" s="60">
        <v>115.571389521668</v>
      </c>
      <c r="F123" s="50">
        <v>95.784311807291303</v>
      </c>
      <c r="G123" s="122">
        <f t="shared" si="2"/>
        <v>1.2065795258224161</v>
      </c>
      <c r="H123" s="65">
        <v>7.2032239562835304E-2</v>
      </c>
      <c r="I123" s="62">
        <v>0.29093871321368903</v>
      </c>
      <c r="J123" s="62">
        <v>5.5020269917675597E-3</v>
      </c>
      <c r="K123" s="62">
        <v>28.501007691338899</v>
      </c>
      <c r="L123" s="62">
        <v>0.57310734082742798</v>
      </c>
      <c r="M123" s="62">
        <v>0.70888543574419105</v>
      </c>
      <c r="N123" s="62">
        <v>6.8142020513617804E-3</v>
      </c>
      <c r="O123" s="62">
        <v>0.478038854689604</v>
      </c>
      <c r="P123" s="62">
        <v>0.18679072105719499</v>
      </c>
      <c r="Q123" s="62">
        <v>4.3074412759364902E-3</v>
      </c>
      <c r="R123" s="62">
        <v>0.59035530224608601</v>
      </c>
      <c r="S123" s="60">
        <v>3433.335</v>
      </c>
      <c r="T123" s="69">
        <v>28.552499999999998</v>
      </c>
      <c r="U123" s="60">
        <v>3436.4872029149701</v>
      </c>
      <c r="V123" s="69">
        <v>19.8634802691499</v>
      </c>
      <c r="W123" s="60">
        <v>3454.25538142388</v>
      </c>
      <c r="X123" s="69">
        <v>25.772746111267001</v>
      </c>
      <c r="Y123" s="60">
        <v>3461.4005244794098</v>
      </c>
      <c r="Z123" s="69">
        <v>73.360016501834593</v>
      </c>
      <c r="AA123" s="71">
        <f t="shared" si="3"/>
        <v>0.99484288426350653</v>
      </c>
      <c r="AB123" s="50">
        <v>32.731290000000001</v>
      </c>
      <c r="AC123" s="60">
        <v>537.20855524448996</v>
      </c>
      <c r="AD123" s="61">
        <v>8.5080066810252895</v>
      </c>
      <c r="AE123" s="60">
        <v>1482.0582868277399</v>
      </c>
      <c r="AF123" s="61">
        <v>1.31680873043617</v>
      </c>
      <c r="AG123" s="61">
        <v>1.0879787431308201</v>
      </c>
      <c r="AH123" s="61">
        <v>8.3951845182417204E-2</v>
      </c>
      <c r="AI123" s="50">
        <v>18.058566953599701</v>
      </c>
      <c r="AJ123" s="61">
        <v>0.38421957252692002</v>
      </c>
      <c r="AK123" s="61">
        <v>6.0104415521210202</v>
      </c>
      <c r="AL123" s="61">
        <v>8.7251463913034293</v>
      </c>
      <c r="AM123" s="61">
        <v>1.0553452791373601</v>
      </c>
      <c r="AN123" s="50">
        <v>39.8047954895858</v>
      </c>
      <c r="AO123" s="50">
        <v>12.7794505157442</v>
      </c>
      <c r="AP123" s="60">
        <v>143.93417248344099</v>
      </c>
      <c r="AQ123" s="50">
        <v>53.034708218470698</v>
      </c>
      <c r="AR123" s="60">
        <v>221.58014936390401</v>
      </c>
      <c r="AS123" s="50">
        <v>43.004891774730098</v>
      </c>
      <c r="AT123" s="60">
        <v>364.32081817491701</v>
      </c>
      <c r="AU123" s="50">
        <v>70.604017486386695</v>
      </c>
      <c r="AV123" s="60">
        <v>9034.6930691062298</v>
      </c>
      <c r="AW123" s="61">
        <v>0.53319490516925605</v>
      </c>
      <c r="AX123" s="65">
        <v>0</v>
      </c>
      <c r="AY123" s="65">
        <v>0</v>
      </c>
      <c r="AZ123" s="65">
        <v>7.2032239562835304E-2</v>
      </c>
      <c r="BA123" s="65">
        <v>8.0479247599171602E-3</v>
      </c>
      <c r="BB123" s="50">
        <v>108.12068795101401</v>
      </c>
      <c r="BC123" s="60">
        <v>115.571389521668</v>
      </c>
      <c r="BD123" s="50">
        <v>95.784311807291303</v>
      </c>
    </row>
    <row r="124" spans="1:56" s="41" customFormat="1" ht="12" customHeight="1">
      <c r="A124" s="47" t="s">
        <v>27</v>
      </c>
      <c r="B124" s="41" t="s">
        <v>240</v>
      </c>
      <c r="C124" s="41" t="s">
        <v>126</v>
      </c>
      <c r="D124" s="50">
        <v>428.22164572833299</v>
      </c>
      <c r="E124" s="50">
        <v>72.035532993299995</v>
      </c>
      <c r="F124" s="60">
        <v>608.15324397657901</v>
      </c>
      <c r="G124" s="122">
        <f t="shared" si="2"/>
        <v>0.11844964029506057</v>
      </c>
      <c r="H124" s="50">
        <v>22.602200626630498</v>
      </c>
      <c r="I124" s="62">
        <v>0.23694759944688901</v>
      </c>
      <c r="J124" s="62">
        <v>4.6023597017289799E-3</v>
      </c>
      <c r="K124" s="62">
        <v>17.3881435369013</v>
      </c>
      <c r="L124" s="62">
        <v>0.36278822062655802</v>
      </c>
      <c r="M124" s="62">
        <v>0.53056791114227397</v>
      </c>
      <c r="N124" s="62">
        <v>4.8262385473704398E-3</v>
      </c>
      <c r="O124" s="62">
        <v>0.43598128081568099</v>
      </c>
      <c r="P124" s="62">
        <v>0.142140342692608</v>
      </c>
      <c r="Q124" s="62">
        <v>4.3093682473866598E-3</v>
      </c>
      <c r="R124" s="62">
        <v>6.0712255496213396</v>
      </c>
      <c r="S124" s="60">
        <v>3099.69</v>
      </c>
      <c r="T124" s="69">
        <v>31.639999999999901</v>
      </c>
      <c r="U124" s="60">
        <v>2956.4970136801999</v>
      </c>
      <c r="V124" s="69">
        <v>20.1335891771914</v>
      </c>
      <c r="W124" s="60">
        <v>2743.8443209400002</v>
      </c>
      <c r="X124" s="69">
        <v>20.380980900637201</v>
      </c>
      <c r="Y124" s="60">
        <v>2686.2859162862601</v>
      </c>
      <c r="Z124" s="69">
        <v>76.262024912546195</v>
      </c>
      <c r="AA124" s="71">
        <f t="shared" si="3"/>
        <v>0.92538948801234611</v>
      </c>
      <c r="AB124" s="50">
        <v>32.731290000000001</v>
      </c>
      <c r="AC124" s="60">
        <v>523.93420050722</v>
      </c>
      <c r="AD124" s="61">
        <v>6.1888010810718104</v>
      </c>
      <c r="AE124" s="60">
        <v>1896.4655808186501</v>
      </c>
      <c r="AF124" s="61">
        <v>5.7714646881157003</v>
      </c>
      <c r="AG124" s="61">
        <v>3.03345765702226</v>
      </c>
      <c r="AH124" s="61">
        <v>4.6592966666259796</v>
      </c>
      <c r="AI124" s="50">
        <v>10.321241934355299</v>
      </c>
      <c r="AJ124" s="61">
        <v>1.75878920502359</v>
      </c>
      <c r="AK124" s="61">
        <v>7.3347636515654502</v>
      </c>
      <c r="AL124" s="61">
        <v>4.6816956383953396</v>
      </c>
      <c r="AM124" s="61">
        <v>2.4180571861554299</v>
      </c>
      <c r="AN124" s="50">
        <v>26.999523637905099</v>
      </c>
      <c r="AO124" s="50">
        <v>11.0034496424572</v>
      </c>
      <c r="AP124" s="60">
        <v>151.21533987051899</v>
      </c>
      <c r="AQ124" s="50">
        <v>62.998777222236299</v>
      </c>
      <c r="AR124" s="60">
        <v>284.94621286008299</v>
      </c>
      <c r="AS124" s="50">
        <v>57.458446689039299</v>
      </c>
      <c r="AT124" s="60">
        <v>507.22978560473001</v>
      </c>
      <c r="AU124" s="50">
        <v>98.438871193514004</v>
      </c>
      <c r="AV124" s="60">
        <v>9992.1208928894393</v>
      </c>
      <c r="AW124" s="61">
        <v>0.40286306852742698</v>
      </c>
      <c r="AX124" s="65">
        <v>0.84678588849980996</v>
      </c>
      <c r="AY124" s="65">
        <v>0</v>
      </c>
      <c r="AZ124" s="50">
        <v>22.602200626630498</v>
      </c>
      <c r="BA124" s="65">
        <v>1.39819892301746E-2</v>
      </c>
      <c r="BB124" s="50">
        <v>428.22164572833299</v>
      </c>
      <c r="BC124" s="50">
        <v>72.035532993299995</v>
      </c>
      <c r="BD124" s="60">
        <v>608.15324397657901</v>
      </c>
    </row>
    <row r="125" spans="1:56" s="41" customFormat="1" ht="12" customHeight="1">
      <c r="A125" s="47" t="s">
        <v>27</v>
      </c>
      <c r="B125" s="41" t="s">
        <v>241</v>
      </c>
      <c r="C125" s="41" t="s">
        <v>126</v>
      </c>
      <c r="D125" s="60">
        <v>324.79967573531297</v>
      </c>
      <c r="E125" s="60">
        <v>539.95376495386495</v>
      </c>
      <c r="F125" s="60">
        <v>756.27136968616605</v>
      </c>
      <c r="G125" s="122">
        <f t="shared" si="2"/>
        <v>0.71396827461276557</v>
      </c>
      <c r="H125" s="50">
        <v>23.0816989134984</v>
      </c>
      <c r="I125" s="62">
        <v>0.184669254082097</v>
      </c>
      <c r="J125" s="62">
        <v>3.1671992442260499E-3</v>
      </c>
      <c r="K125" s="62">
        <v>6.7976955011031297</v>
      </c>
      <c r="L125" s="62">
        <v>0.12688261732042899</v>
      </c>
      <c r="M125" s="62">
        <v>0.26642625773055401</v>
      </c>
      <c r="N125" s="62">
        <v>3.55259597271967E-3</v>
      </c>
      <c r="O125" s="62">
        <v>0.71437849514481699</v>
      </c>
      <c r="P125" s="62">
        <v>0.12168643722842901</v>
      </c>
      <c r="Q125" s="62">
        <v>2.03878653701263E-3</v>
      </c>
      <c r="R125" s="62">
        <v>0.99911784460221398</v>
      </c>
      <c r="S125" s="60">
        <v>2695.37</v>
      </c>
      <c r="T125" s="69">
        <v>28.397499999999798</v>
      </c>
      <c r="U125" s="60">
        <v>2085.4223906843599</v>
      </c>
      <c r="V125" s="69">
        <v>16.582865092380398</v>
      </c>
      <c r="W125" s="60">
        <v>1522.6363482487</v>
      </c>
      <c r="X125" s="69">
        <v>18.102250552406101</v>
      </c>
      <c r="Y125" s="60">
        <v>2321.03689401272</v>
      </c>
      <c r="Z125" s="69">
        <v>36.737913353982798</v>
      </c>
      <c r="AA125" s="71">
        <f t="shared" si="3"/>
        <v>0.68803942332597301</v>
      </c>
      <c r="AB125" s="50">
        <v>32.731290000000001</v>
      </c>
      <c r="AC125" s="60">
        <v>612.25672644778297</v>
      </c>
      <c r="AD125" s="50">
        <v>16.042887836319199</v>
      </c>
      <c r="AE125" s="60">
        <v>2036.84201105999</v>
      </c>
      <c r="AF125" s="50">
        <v>24.4963991780429</v>
      </c>
      <c r="AG125" s="61">
        <v>18.308917897035599</v>
      </c>
      <c r="AH125" s="61">
        <v>17.872770033610799</v>
      </c>
      <c r="AI125" s="50">
        <v>94.959418143729494</v>
      </c>
      <c r="AJ125" s="61">
        <v>7.1915035944167798</v>
      </c>
      <c r="AK125" s="50">
        <v>36.134648823804802</v>
      </c>
      <c r="AL125" s="50">
        <v>21.112522762673802</v>
      </c>
      <c r="AM125" s="61">
        <v>5.09673098492107</v>
      </c>
      <c r="AN125" s="50">
        <v>57.5022777129698</v>
      </c>
      <c r="AO125" s="50">
        <v>16.294800172086401</v>
      </c>
      <c r="AP125" s="60">
        <v>176.173055635704</v>
      </c>
      <c r="AQ125" s="50">
        <v>66.105207790833902</v>
      </c>
      <c r="AR125" s="60">
        <v>313.94811264821499</v>
      </c>
      <c r="AS125" s="50">
        <v>68.755655924404095</v>
      </c>
      <c r="AT125" s="60">
        <v>602.57542423306995</v>
      </c>
      <c r="AU125" s="60">
        <v>115.012090165839</v>
      </c>
      <c r="AV125" s="60">
        <v>8443.8860511069706</v>
      </c>
      <c r="AW125" s="61">
        <v>1.82347256387138</v>
      </c>
      <c r="AX125" s="65">
        <v>3.4038324340527102</v>
      </c>
      <c r="AY125" s="65">
        <v>0</v>
      </c>
      <c r="AZ125" s="50">
        <v>23.0816989134984</v>
      </c>
      <c r="BA125" s="65">
        <v>7.8265496004166005E-2</v>
      </c>
      <c r="BB125" s="60">
        <v>324.79967573531297</v>
      </c>
      <c r="BC125" s="60">
        <v>539.95376495386495</v>
      </c>
      <c r="BD125" s="60">
        <v>756.27136968616605</v>
      </c>
    </row>
    <row r="126" spans="1:56" s="41" customFormat="1" ht="12" customHeight="1">
      <c r="A126" s="47" t="s">
        <v>27</v>
      </c>
      <c r="B126" s="41" t="s">
        <v>242</v>
      </c>
      <c r="C126" s="41" t="s">
        <v>126</v>
      </c>
      <c r="D126" s="60">
        <v>350.99300006824598</v>
      </c>
      <c r="E126" s="60">
        <v>463.406085201221</v>
      </c>
      <c r="F126" s="60">
        <v>580.85649200150704</v>
      </c>
      <c r="G126" s="122">
        <f t="shared" si="2"/>
        <v>0.79779789256451783</v>
      </c>
      <c r="H126" s="50">
        <v>33.742811523540396</v>
      </c>
      <c r="I126" s="62">
        <v>0.184586002376147</v>
      </c>
      <c r="J126" s="62">
        <v>2.8679714400183299E-3</v>
      </c>
      <c r="K126" s="62">
        <v>9.6642970403639108</v>
      </c>
      <c r="L126" s="62">
        <v>0.15578441390705</v>
      </c>
      <c r="M126" s="62">
        <v>0.37837189957518502</v>
      </c>
      <c r="N126" s="62">
        <v>3.11525074306487E-3</v>
      </c>
      <c r="O126" s="62">
        <v>0.51076413957646505</v>
      </c>
      <c r="P126" s="62">
        <v>0.12805613266591601</v>
      </c>
      <c r="Q126" s="62">
        <v>2.2395196245304401E-3</v>
      </c>
      <c r="R126" s="62">
        <v>0.90204719166578495</v>
      </c>
      <c r="S126" s="60">
        <v>2694.75</v>
      </c>
      <c r="T126" s="69">
        <v>25.6200000000001</v>
      </c>
      <c r="U126" s="60">
        <v>2403.3116078450698</v>
      </c>
      <c r="V126" s="69">
        <v>14.9225084059695</v>
      </c>
      <c r="W126" s="60">
        <v>2068.67377766869</v>
      </c>
      <c r="X126" s="69">
        <v>14.612267388962</v>
      </c>
      <c r="Y126" s="60">
        <v>2435.4909517822898</v>
      </c>
      <c r="Z126" s="69">
        <v>40.127153997418603</v>
      </c>
      <c r="AA126" s="71">
        <f t="shared" si="3"/>
        <v>0.85034037398226636</v>
      </c>
      <c r="AB126" s="50">
        <v>32.731290000000001</v>
      </c>
      <c r="AC126" s="60">
        <v>2526.9670541247401</v>
      </c>
      <c r="AD126" s="61">
        <v>8.6077719971353908</v>
      </c>
      <c r="AE126" s="60">
        <v>1329.2055234494201</v>
      </c>
      <c r="AF126" s="61">
        <v>9.7305514758406702</v>
      </c>
      <c r="AG126" s="61">
        <v>31.5486127284491</v>
      </c>
      <c r="AH126" s="61">
        <v>23.4528274623698</v>
      </c>
      <c r="AI126" s="50">
        <v>80.149518921179705</v>
      </c>
      <c r="AJ126" s="61">
        <v>7.6806360119223003</v>
      </c>
      <c r="AK126" s="50">
        <v>37.856688336199802</v>
      </c>
      <c r="AL126" s="50">
        <v>15.8179196115751</v>
      </c>
      <c r="AM126" s="61">
        <v>2.90292915676268</v>
      </c>
      <c r="AN126" s="50">
        <v>38.132582732736303</v>
      </c>
      <c r="AO126" s="50">
        <v>10.7319854291227</v>
      </c>
      <c r="AP126" s="60">
        <v>119.782077880063</v>
      </c>
      <c r="AQ126" s="50">
        <v>44.178387882120496</v>
      </c>
      <c r="AR126" s="60">
        <v>198.22533111873199</v>
      </c>
      <c r="AS126" s="50">
        <v>40.349420575285002</v>
      </c>
      <c r="AT126" s="60">
        <v>346.27002142087201</v>
      </c>
      <c r="AU126" s="50">
        <v>66.082227196458305</v>
      </c>
      <c r="AV126" s="60">
        <v>9161.6406702363893</v>
      </c>
      <c r="AW126" s="61">
        <v>1.7721292531622299</v>
      </c>
      <c r="AX126" s="65">
        <v>1.0465735004408501</v>
      </c>
      <c r="AY126" s="65">
        <v>0</v>
      </c>
      <c r="AZ126" s="50">
        <v>33.742811523540396</v>
      </c>
      <c r="BA126" s="65">
        <v>0.17891820103219599</v>
      </c>
      <c r="BB126" s="60">
        <v>350.99300006824598</v>
      </c>
      <c r="BC126" s="60">
        <v>463.406085201221</v>
      </c>
      <c r="BD126" s="60">
        <v>580.85649200150704</v>
      </c>
    </row>
    <row r="127" spans="1:56" s="41" customFormat="1" ht="12" customHeight="1">
      <c r="A127" s="47" t="s">
        <v>27</v>
      </c>
      <c r="B127" s="41" t="s">
        <v>243</v>
      </c>
      <c r="C127" s="41" t="s">
        <v>126</v>
      </c>
      <c r="D127" s="60">
        <v>593.83768636672301</v>
      </c>
      <c r="E127" s="60">
        <v>794.91415565156899</v>
      </c>
      <c r="F127" s="60">
        <v>2422.6047124332799</v>
      </c>
      <c r="G127" s="122">
        <f t="shared" si="2"/>
        <v>0.32812375521764425</v>
      </c>
      <c r="H127" s="60">
        <v>132.68270061117499</v>
      </c>
      <c r="I127" s="62">
        <v>0.13222618684019899</v>
      </c>
      <c r="J127" s="62">
        <v>2.43511564966705E-3</v>
      </c>
      <c r="K127" s="62">
        <v>2.77003940096558</v>
      </c>
      <c r="L127" s="62">
        <v>8.2445060115080807E-2</v>
      </c>
      <c r="M127" s="62">
        <v>0.15213823572389101</v>
      </c>
      <c r="N127" s="62">
        <v>4.0119947130386399E-3</v>
      </c>
      <c r="O127" s="62">
        <v>0.88601950757343895</v>
      </c>
      <c r="P127" s="62">
        <v>6.9017868153447598E-2</v>
      </c>
      <c r="Q127" s="62">
        <v>3.3722613669303499E-3</v>
      </c>
      <c r="R127" s="62">
        <v>2.4556242947832598</v>
      </c>
      <c r="S127" s="60">
        <v>2127.4699999999998</v>
      </c>
      <c r="T127" s="69">
        <v>32.870000000000097</v>
      </c>
      <c r="U127" s="60">
        <v>1347.5000787833801</v>
      </c>
      <c r="V127" s="69">
        <v>22.2237896021729</v>
      </c>
      <c r="W127" s="60">
        <v>912.93828436951105</v>
      </c>
      <c r="X127" s="69">
        <v>22.453222186280499</v>
      </c>
      <c r="Y127" s="60">
        <v>1348.9711315489301</v>
      </c>
      <c r="Z127" s="69">
        <v>63.760315891159799</v>
      </c>
      <c r="AA127" s="71">
        <f t="shared" si="3"/>
        <v>0.61550661898364156</v>
      </c>
      <c r="AB127" s="50">
        <v>32.731290000000001</v>
      </c>
      <c r="AC127" s="60">
        <v>879.411591418694</v>
      </c>
      <c r="AD127" s="50">
        <v>34.061697909604597</v>
      </c>
      <c r="AE127" s="60">
        <v>3636.4598644572702</v>
      </c>
      <c r="AF127" s="50">
        <v>36.072966218010997</v>
      </c>
      <c r="AG127" s="61">
        <v>66.895793756416097</v>
      </c>
      <c r="AH127" s="61">
        <v>111.57275529401301</v>
      </c>
      <c r="AI127" s="60">
        <v>251.30759290020501</v>
      </c>
      <c r="AJ127" s="50">
        <v>43.4000630192823</v>
      </c>
      <c r="AK127" s="60">
        <v>172.76691858518001</v>
      </c>
      <c r="AL127" s="50">
        <v>69.324660960444007</v>
      </c>
      <c r="AM127" s="50">
        <v>13.589512416485199</v>
      </c>
      <c r="AN127" s="60">
        <v>118.411804497475</v>
      </c>
      <c r="AO127" s="50">
        <v>34.264724651711902</v>
      </c>
      <c r="AP127" s="60">
        <v>343.24691514410898</v>
      </c>
      <c r="AQ127" s="60">
        <v>109.53468282271101</v>
      </c>
      <c r="AR127" s="60">
        <v>465.538213677611</v>
      </c>
      <c r="AS127" s="50">
        <v>99.555471989550796</v>
      </c>
      <c r="AT127" s="60">
        <v>955.68589938844696</v>
      </c>
      <c r="AU127" s="60">
        <v>199.48606567587001</v>
      </c>
      <c r="AV127" s="60">
        <v>16980.2418141286</v>
      </c>
      <c r="AW127" s="50">
        <v>11.561859444258999</v>
      </c>
      <c r="AX127" s="65">
        <v>18.2783414367359</v>
      </c>
      <c r="AY127" s="65">
        <v>0</v>
      </c>
      <c r="AZ127" s="60">
        <v>132.68270061117499</v>
      </c>
      <c r="BA127" s="65">
        <v>0.309660755122943</v>
      </c>
      <c r="BB127" s="60">
        <v>593.83768636672301</v>
      </c>
      <c r="BC127" s="60">
        <v>794.91415565156899</v>
      </c>
      <c r="BD127" s="60">
        <v>2422.6047124332799</v>
      </c>
    </row>
    <row r="128" spans="1:56" s="41" customFormat="1" ht="12" customHeight="1">
      <c r="A128" s="47"/>
      <c r="D128" s="60"/>
      <c r="E128" s="60"/>
      <c r="F128" s="60"/>
      <c r="G128" s="122"/>
      <c r="H128" s="61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0"/>
      <c r="T128" s="69"/>
      <c r="U128" s="60"/>
      <c r="V128" s="69"/>
      <c r="W128" s="60"/>
      <c r="X128" s="69"/>
      <c r="Y128" s="60"/>
      <c r="Z128" s="69"/>
      <c r="AA128" s="71"/>
      <c r="AB128" s="50"/>
      <c r="AC128" s="60"/>
      <c r="AD128" s="61"/>
      <c r="AE128" s="60"/>
      <c r="AF128" s="61"/>
      <c r="AG128" s="61"/>
      <c r="AH128" s="61"/>
      <c r="AI128" s="60"/>
      <c r="AJ128" s="61"/>
      <c r="AK128" s="50"/>
      <c r="AL128" s="50"/>
      <c r="AM128" s="61"/>
      <c r="AN128" s="50"/>
      <c r="AO128" s="50"/>
      <c r="AP128" s="60"/>
      <c r="AQ128" s="50"/>
      <c r="AR128" s="60"/>
      <c r="AS128" s="50"/>
      <c r="AT128" s="60"/>
      <c r="AU128" s="50"/>
      <c r="AV128" s="60"/>
      <c r="AW128" s="61"/>
      <c r="AX128" s="65"/>
      <c r="AY128" s="65"/>
      <c r="AZ128" s="61"/>
      <c r="BA128" s="65"/>
      <c r="BB128" s="60"/>
      <c r="BC128" s="60"/>
      <c r="BD128" s="60"/>
    </row>
    <row r="129" spans="1:56" s="44" customFormat="1" ht="12" customHeight="1">
      <c r="A129" s="47" t="s">
        <v>29</v>
      </c>
      <c r="B129" s="44" t="s">
        <v>244</v>
      </c>
      <c r="D129" s="79">
        <v>237.653201736304</v>
      </c>
      <c r="E129" s="83">
        <v>125.17567943323699</v>
      </c>
      <c r="F129" s="83">
        <v>251.135939045974</v>
      </c>
      <c r="G129" s="122">
        <f t="shared" si="2"/>
        <v>0.49843793727317465</v>
      </c>
      <c r="H129" s="84">
        <v>1.3798907447150101E-2</v>
      </c>
      <c r="I129" s="85">
        <v>0.278005533900758</v>
      </c>
      <c r="J129" s="85">
        <v>4.6373554025983003E-3</v>
      </c>
      <c r="K129" s="85">
        <v>25.756281602015601</v>
      </c>
      <c r="L129" s="85">
        <v>0.42823965190279001</v>
      </c>
      <c r="M129" s="85">
        <v>0.66890814572891899</v>
      </c>
      <c r="N129" s="85">
        <v>4.7256308341797702E-3</v>
      </c>
      <c r="O129" s="85">
        <v>0.42490280126816499</v>
      </c>
      <c r="P129" s="85">
        <v>0.18007054045774701</v>
      </c>
      <c r="Q129" s="85">
        <v>3.1173674491746699E-3</v>
      </c>
      <c r="R129" s="85">
        <v>1.5204815195693899</v>
      </c>
      <c r="S129" s="83">
        <v>3351.54</v>
      </c>
      <c r="T129" s="89">
        <v>25.930000000000099</v>
      </c>
      <c r="U129" s="83">
        <v>3337.32981877263</v>
      </c>
      <c r="V129" s="89">
        <v>16.409095378873499</v>
      </c>
      <c r="W129" s="83">
        <v>3301.6574224158499</v>
      </c>
      <c r="X129" s="89">
        <v>18.340340105145099</v>
      </c>
      <c r="Y129" s="83">
        <v>3346.62388559385</v>
      </c>
      <c r="Z129" s="89">
        <v>53.394217314612398</v>
      </c>
      <c r="AA129" s="71">
        <f t="shared" si="3"/>
        <v>0.9892536632287926</v>
      </c>
      <c r="AB129" s="79">
        <v>32.731290000000001</v>
      </c>
      <c r="AC129" s="83">
        <v>785.61518445294803</v>
      </c>
      <c r="AD129" s="80">
        <v>7.74164511854885</v>
      </c>
      <c r="AE129" s="83">
        <v>1821.35434925492</v>
      </c>
      <c r="AF129" s="80">
        <v>4.2924195192212702</v>
      </c>
      <c r="AG129" s="80">
        <v>0</v>
      </c>
      <c r="AH129" s="80">
        <v>1.73303279288664E-2</v>
      </c>
      <c r="AI129" s="79">
        <v>11.8050710052237</v>
      </c>
      <c r="AJ129" s="80">
        <v>0.16862452546278001</v>
      </c>
      <c r="AK129" s="80">
        <v>2.9735258834727598</v>
      </c>
      <c r="AL129" s="80">
        <v>7.3310953328655</v>
      </c>
      <c r="AM129" s="80">
        <v>0.13814252034354099</v>
      </c>
      <c r="AN129" s="79">
        <v>44.501067473756201</v>
      </c>
      <c r="AO129" s="79">
        <v>14.7840448550785</v>
      </c>
      <c r="AP129" s="83">
        <v>167.47259791968401</v>
      </c>
      <c r="AQ129" s="79">
        <v>61.0046321405733</v>
      </c>
      <c r="AR129" s="83">
        <v>248.62951045279701</v>
      </c>
      <c r="AS129" s="79">
        <v>46.478417491277298</v>
      </c>
      <c r="AT129" s="83">
        <v>378.24265570282398</v>
      </c>
      <c r="AU129" s="79">
        <v>70.514589200807904</v>
      </c>
      <c r="AV129" s="83">
        <v>10030.914947062</v>
      </c>
      <c r="AW129" s="80">
        <v>1.8669808759212201</v>
      </c>
      <c r="AX129" s="84">
        <v>4.0271323729540898E-2</v>
      </c>
      <c r="AY129" s="84">
        <v>0</v>
      </c>
      <c r="AZ129" s="84">
        <v>1.3798907447150101E-2</v>
      </c>
      <c r="BA129" s="84">
        <v>0</v>
      </c>
      <c r="BB129" s="79">
        <v>237.653201736304</v>
      </c>
      <c r="BC129" s="83">
        <v>125.17567943323699</v>
      </c>
      <c r="BD129" s="83">
        <v>251.135939045974</v>
      </c>
    </row>
    <row r="130" spans="1:56" s="44" customFormat="1" ht="12" customHeight="1">
      <c r="A130" s="47" t="s">
        <v>29</v>
      </c>
      <c r="B130" s="44" t="s">
        <v>245</v>
      </c>
      <c r="D130" s="79">
        <v>125.954519642207</v>
      </c>
      <c r="E130" s="79">
        <v>77.824555385016595</v>
      </c>
      <c r="F130" s="83">
        <v>128.36885330935399</v>
      </c>
      <c r="G130" s="122">
        <f t="shared" si="2"/>
        <v>0.60625730758432872</v>
      </c>
      <c r="H130" s="86">
        <v>0</v>
      </c>
      <c r="I130" s="85">
        <v>0.27637874888213498</v>
      </c>
      <c r="J130" s="85">
        <v>4.8773414842913599E-3</v>
      </c>
      <c r="K130" s="85">
        <v>26.1707461384784</v>
      </c>
      <c r="L130" s="85">
        <v>0.46211438802950999</v>
      </c>
      <c r="M130" s="85">
        <v>0.68346435758035096</v>
      </c>
      <c r="N130" s="85">
        <v>4.8463476233020896E-3</v>
      </c>
      <c r="O130" s="85">
        <v>0.40157373998173201</v>
      </c>
      <c r="P130" s="85">
        <v>0.182636488699529</v>
      </c>
      <c r="Q130" s="85">
        <v>3.4474713452819399E-3</v>
      </c>
      <c r="R130" s="85">
        <v>1.2474140302735199</v>
      </c>
      <c r="S130" s="83">
        <v>3342.9</v>
      </c>
      <c r="T130" s="89">
        <v>27.78</v>
      </c>
      <c r="U130" s="83">
        <v>3352.93789400589</v>
      </c>
      <c r="V130" s="89">
        <v>17.419281650552399</v>
      </c>
      <c r="W130" s="83">
        <v>3357.6392443282998</v>
      </c>
      <c r="X130" s="89">
        <v>18.646262194597899</v>
      </c>
      <c r="Y130" s="83">
        <v>3390.5256911675301</v>
      </c>
      <c r="Z130" s="89">
        <v>58.920115261830396</v>
      </c>
      <c r="AA130" s="71">
        <f t="shared" si="3"/>
        <v>0.99859882384912813</v>
      </c>
      <c r="AB130" s="79">
        <v>32.731290000000001</v>
      </c>
      <c r="AC130" s="83">
        <v>618.36271201193199</v>
      </c>
      <c r="AD130" s="80">
        <v>7.207010799711</v>
      </c>
      <c r="AE130" s="83">
        <v>1142.0347422336099</v>
      </c>
      <c r="AF130" s="80">
        <v>2.4295549431671302</v>
      </c>
      <c r="AG130" s="80">
        <v>0</v>
      </c>
      <c r="AH130" s="80">
        <v>1.0299732251940599E-2</v>
      </c>
      <c r="AI130" s="80">
        <v>9.0914362880094099</v>
      </c>
      <c r="AJ130" s="84">
        <v>8.0726742934815299E-2</v>
      </c>
      <c r="AK130" s="80">
        <v>1.7829654781194699</v>
      </c>
      <c r="AL130" s="80">
        <v>4.1551557506701604</v>
      </c>
      <c r="AM130" s="80">
        <v>0.196630247997855</v>
      </c>
      <c r="AN130" s="79">
        <v>27.366609688343701</v>
      </c>
      <c r="AO130" s="80">
        <v>9.2947525242063307</v>
      </c>
      <c r="AP130" s="83">
        <v>104.973996297418</v>
      </c>
      <c r="AQ130" s="79">
        <v>37.885666091100703</v>
      </c>
      <c r="AR130" s="83">
        <v>156.37685467925499</v>
      </c>
      <c r="AS130" s="79">
        <v>28.904643357875401</v>
      </c>
      <c r="AT130" s="83">
        <v>238.141285648532</v>
      </c>
      <c r="AU130" s="79">
        <v>43.886143104971801</v>
      </c>
      <c r="AV130" s="83">
        <v>9988.0854417103492</v>
      </c>
      <c r="AW130" s="80">
        <v>1.2905783763234799</v>
      </c>
      <c r="AX130" s="84">
        <v>1.47604869450232E-2</v>
      </c>
      <c r="AY130" s="84">
        <v>0</v>
      </c>
      <c r="AZ130" s="86">
        <v>0</v>
      </c>
      <c r="BA130" s="84">
        <v>0</v>
      </c>
      <c r="BB130" s="79">
        <v>125.954519642207</v>
      </c>
      <c r="BC130" s="79">
        <v>77.824555385016595</v>
      </c>
      <c r="BD130" s="83">
        <v>128.36885330935399</v>
      </c>
    </row>
    <row r="131" spans="1:56" s="44" customFormat="1" ht="12" customHeight="1">
      <c r="A131" s="47" t="s">
        <v>29</v>
      </c>
      <c r="B131" s="44" t="s">
        <v>246</v>
      </c>
      <c r="D131" s="79">
        <v>214.08708002615401</v>
      </c>
      <c r="E131" s="83">
        <v>163.31698373010099</v>
      </c>
      <c r="F131" s="83">
        <v>217.323163301313</v>
      </c>
      <c r="G131" s="122">
        <f t="shared" si="2"/>
        <v>0.75149367996114691</v>
      </c>
      <c r="H131" s="80">
        <v>0.11003052718543201</v>
      </c>
      <c r="I131" s="85">
        <v>0.275824326262257</v>
      </c>
      <c r="J131" s="85">
        <v>5.2689213728579296E-3</v>
      </c>
      <c r="K131" s="85">
        <v>25.502009456031701</v>
      </c>
      <c r="L131" s="85">
        <v>0.479430136393655</v>
      </c>
      <c r="M131" s="85">
        <v>0.66774366062481505</v>
      </c>
      <c r="N131" s="85">
        <v>5.2709425687032302E-3</v>
      </c>
      <c r="O131" s="85">
        <v>0.41988231526242098</v>
      </c>
      <c r="P131" s="85">
        <v>0.17693975448101401</v>
      </c>
      <c r="Q131" s="85">
        <v>3.5562845427316099E-3</v>
      </c>
      <c r="R131" s="85">
        <v>1.0079747686968199</v>
      </c>
      <c r="S131" s="83">
        <v>3339.45</v>
      </c>
      <c r="T131" s="89">
        <v>29.807499999999902</v>
      </c>
      <c r="U131" s="83">
        <v>3327.6342170349199</v>
      </c>
      <c r="V131" s="89">
        <v>18.5074654971881</v>
      </c>
      <c r="W131" s="83">
        <v>3297.1578497721398</v>
      </c>
      <c r="X131" s="89">
        <v>20.4516902095794</v>
      </c>
      <c r="Y131" s="83">
        <v>3292.9285762610798</v>
      </c>
      <c r="Z131" s="89">
        <v>61.074014326509101</v>
      </c>
      <c r="AA131" s="71">
        <f t="shared" si="3"/>
        <v>0.99079929846689707</v>
      </c>
      <c r="AB131" s="79">
        <v>32.731290000000001</v>
      </c>
      <c r="AC131" s="83">
        <v>615.94996584471005</v>
      </c>
      <c r="AD131" s="80">
        <v>5.6878850104168102</v>
      </c>
      <c r="AE131" s="83">
        <v>1883.4915781802299</v>
      </c>
      <c r="AF131" s="80">
        <v>3.6011861414939399</v>
      </c>
      <c r="AG131" s="80">
        <v>0.14410153317785601</v>
      </c>
      <c r="AH131" s="80">
        <v>0.249967290950044</v>
      </c>
      <c r="AI131" s="79">
        <v>13.512632973655201</v>
      </c>
      <c r="AJ131" s="80">
        <v>0.40707069863791301</v>
      </c>
      <c r="AK131" s="80">
        <v>6.5389646554070904</v>
      </c>
      <c r="AL131" s="79">
        <v>11.8162462912134</v>
      </c>
      <c r="AM131" s="80">
        <v>0.364985185375378</v>
      </c>
      <c r="AN131" s="79">
        <v>59.9880996173396</v>
      </c>
      <c r="AO131" s="79">
        <v>18.229107523433498</v>
      </c>
      <c r="AP131" s="83">
        <v>190.28364806523001</v>
      </c>
      <c r="AQ131" s="79">
        <v>64.266971452106304</v>
      </c>
      <c r="AR131" s="83">
        <v>251.882684219022</v>
      </c>
      <c r="AS131" s="79">
        <v>44.804220326069498</v>
      </c>
      <c r="AT131" s="83">
        <v>355.96627013160003</v>
      </c>
      <c r="AU131" s="79">
        <v>62.066976117160699</v>
      </c>
      <c r="AV131" s="83">
        <v>9927.3449007700492</v>
      </c>
      <c r="AW131" s="80">
        <v>1.2675139714888499</v>
      </c>
      <c r="AX131" s="84">
        <v>5.8123566932245997E-2</v>
      </c>
      <c r="AY131" s="84">
        <v>0</v>
      </c>
      <c r="AZ131" s="80">
        <v>0.11003052718543201</v>
      </c>
      <c r="BA131" s="84">
        <v>2.8376399428668899E-3</v>
      </c>
      <c r="BB131" s="79">
        <v>214.08708002615401</v>
      </c>
      <c r="BC131" s="83">
        <v>163.31698373010099</v>
      </c>
      <c r="BD131" s="83">
        <v>217.323163301313</v>
      </c>
    </row>
    <row r="132" spans="1:56" s="44" customFormat="1" ht="12" customHeight="1">
      <c r="A132" s="47" t="s">
        <v>29</v>
      </c>
      <c r="B132" s="44" t="s">
        <v>247</v>
      </c>
      <c r="D132" s="79">
        <v>204.56319154293701</v>
      </c>
      <c r="E132" s="83">
        <v>123.39374049964501</v>
      </c>
      <c r="F132" s="83">
        <v>208.029539344537</v>
      </c>
      <c r="G132" s="122">
        <f t="shared" ref="G132:G195" si="4">E132/F132</f>
        <v>0.59315489948416023</v>
      </c>
      <c r="H132" s="86">
        <v>0</v>
      </c>
      <c r="I132" s="85">
        <v>0.27613260680289198</v>
      </c>
      <c r="J132" s="85">
        <v>5.82602794148888E-3</v>
      </c>
      <c r="K132" s="85">
        <v>26.2251596678943</v>
      </c>
      <c r="L132" s="85">
        <v>0.54493645371340604</v>
      </c>
      <c r="M132" s="85">
        <v>0.68562625561370305</v>
      </c>
      <c r="N132" s="85">
        <v>5.5448568331818802E-3</v>
      </c>
      <c r="O132" s="85">
        <v>0.38920210174131897</v>
      </c>
      <c r="P132" s="85">
        <v>0.18351758897605999</v>
      </c>
      <c r="Q132" s="85">
        <v>4.1113304340664797E-3</v>
      </c>
      <c r="R132" s="85">
        <v>1.2779337791627901</v>
      </c>
      <c r="S132" s="83">
        <v>3342.59</v>
      </c>
      <c r="T132" s="89">
        <v>32.254999999999903</v>
      </c>
      <c r="U132" s="83">
        <v>3354.9693187334101</v>
      </c>
      <c r="V132" s="89">
        <v>20.451463116598202</v>
      </c>
      <c r="W132" s="83">
        <v>3365.9123919846602</v>
      </c>
      <c r="X132" s="89">
        <v>21.283191974697601</v>
      </c>
      <c r="Y132" s="83">
        <v>3405.5788113528301</v>
      </c>
      <c r="Z132" s="89">
        <v>70.213700690023899</v>
      </c>
      <c r="AA132" s="71">
        <f t="shared" ref="AA132:AA195" si="5">1-2*ABS(U132-W132)/(U132+W132)</f>
        <v>0.99674356022847455</v>
      </c>
      <c r="AB132" s="79">
        <v>32.731290000000001</v>
      </c>
      <c r="AC132" s="83">
        <v>705.59540937822396</v>
      </c>
      <c r="AD132" s="80">
        <v>6.02957580573407</v>
      </c>
      <c r="AE132" s="83">
        <v>1457.7243575959801</v>
      </c>
      <c r="AF132" s="80">
        <v>3.7837052284960402</v>
      </c>
      <c r="AG132" s="80">
        <v>0</v>
      </c>
      <c r="AH132" s="80">
        <v>3.5032333534151402E-3</v>
      </c>
      <c r="AI132" s="79">
        <v>11.893646836287401</v>
      </c>
      <c r="AJ132" s="80">
        <v>0.14169061579995601</v>
      </c>
      <c r="AK132" s="80">
        <v>2.6234642722111001</v>
      </c>
      <c r="AL132" s="80">
        <v>5.9646782044495801</v>
      </c>
      <c r="AM132" s="84">
        <v>9.5148685762344906E-2</v>
      </c>
      <c r="AN132" s="79">
        <v>37.5273258745558</v>
      </c>
      <c r="AO132" s="79">
        <v>12.1841657485783</v>
      </c>
      <c r="AP132" s="83">
        <v>137.63177830561801</v>
      </c>
      <c r="AQ132" s="79">
        <v>48.562652613671297</v>
      </c>
      <c r="AR132" s="83">
        <v>198.24097984720399</v>
      </c>
      <c r="AS132" s="79">
        <v>35.931562239595301</v>
      </c>
      <c r="AT132" s="83">
        <v>288.22623942187698</v>
      </c>
      <c r="AU132" s="79">
        <v>51.3171632293001</v>
      </c>
      <c r="AV132" s="83">
        <v>10571.114748545</v>
      </c>
      <c r="AW132" s="80">
        <v>2.0013717867312399</v>
      </c>
      <c r="AX132" s="84">
        <v>2.90410887756757E-2</v>
      </c>
      <c r="AY132" s="84">
        <v>0</v>
      </c>
      <c r="AZ132" s="86">
        <v>0</v>
      </c>
      <c r="BA132" s="84">
        <v>0</v>
      </c>
      <c r="BB132" s="79">
        <v>204.56319154293701</v>
      </c>
      <c r="BC132" s="83">
        <v>123.39374049964501</v>
      </c>
      <c r="BD132" s="83">
        <v>208.029539344537</v>
      </c>
    </row>
    <row r="133" spans="1:56" s="44" customFormat="1" ht="12" customHeight="1">
      <c r="A133" s="47" t="s">
        <v>29</v>
      </c>
      <c r="B133" s="44" t="s">
        <v>248</v>
      </c>
      <c r="D133" s="79">
        <v>237.95660316275399</v>
      </c>
      <c r="E133" s="83">
        <v>101.278128150765</v>
      </c>
      <c r="F133" s="83">
        <v>255.189616673892</v>
      </c>
      <c r="G133" s="122">
        <f t="shared" si="4"/>
        <v>0.3968740165482077</v>
      </c>
      <c r="H133" s="86">
        <v>0</v>
      </c>
      <c r="I133" s="85">
        <v>0.27609933210719101</v>
      </c>
      <c r="J133" s="85">
        <v>7.0643227829369302E-3</v>
      </c>
      <c r="K133" s="85">
        <v>25.905953265773501</v>
      </c>
      <c r="L133" s="85">
        <v>0.65000522578812803</v>
      </c>
      <c r="M133" s="85">
        <v>0.67747910991282301</v>
      </c>
      <c r="N133" s="85">
        <v>6.57675285912185E-3</v>
      </c>
      <c r="O133" s="85">
        <v>0.38689965593619702</v>
      </c>
      <c r="P133" s="85">
        <v>0.181142026376516</v>
      </c>
      <c r="Q133" s="85">
        <v>5.0422064476696197E-3</v>
      </c>
      <c r="R133" s="85">
        <v>1.93684302145534</v>
      </c>
      <c r="S133" s="83">
        <v>3342.59</v>
      </c>
      <c r="T133" s="89">
        <v>39.352500000000198</v>
      </c>
      <c r="U133" s="83">
        <v>3342.9939311747198</v>
      </c>
      <c r="V133" s="89">
        <v>24.635153614955598</v>
      </c>
      <c r="W133" s="83">
        <v>3334.6793661824299</v>
      </c>
      <c r="X133" s="89">
        <v>25.3379883075193</v>
      </c>
      <c r="Y133" s="83">
        <v>3364.96795161005</v>
      </c>
      <c r="Z133" s="89">
        <v>86.284482369769805</v>
      </c>
      <c r="AA133" s="71">
        <f t="shared" si="5"/>
        <v>0.99750974190498942</v>
      </c>
      <c r="AB133" s="79">
        <v>32.731290000000001</v>
      </c>
      <c r="AC133" s="83">
        <v>946.542211624473</v>
      </c>
      <c r="AD133" s="80">
        <v>5.70628035556547</v>
      </c>
      <c r="AE133" s="83">
        <v>2079.4383266776899</v>
      </c>
      <c r="AF133" s="80">
        <v>4.0566427240579399</v>
      </c>
      <c r="AG133" s="80">
        <v>0</v>
      </c>
      <c r="AH133" s="80">
        <v>9.7491386293159803E-4</v>
      </c>
      <c r="AI133" s="80">
        <v>8.0890352980323001</v>
      </c>
      <c r="AJ133" s="80">
        <v>0.12838134978909299</v>
      </c>
      <c r="AK133" s="80">
        <v>2.5278847686077999</v>
      </c>
      <c r="AL133" s="80">
        <v>6.5153210016546304</v>
      </c>
      <c r="AM133" s="84">
        <v>6.1912764159878203E-2</v>
      </c>
      <c r="AN133" s="79">
        <v>44.3699891562161</v>
      </c>
      <c r="AO133" s="79">
        <v>15.7111437865303</v>
      </c>
      <c r="AP133" s="83">
        <v>185.26908389316699</v>
      </c>
      <c r="AQ133" s="79">
        <v>68.286555524108607</v>
      </c>
      <c r="AR133" s="83">
        <v>280.63679012737799</v>
      </c>
      <c r="AS133" s="79">
        <v>53.173419561077601</v>
      </c>
      <c r="AT133" s="83">
        <v>430.74494464575798</v>
      </c>
      <c r="AU133" s="79">
        <v>78.130925842975302</v>
      </c>
      <c r="AV133" s="83">
        <v>11643.9212118823</v>
      </c>
      <c r="AW133" s="80">
        <v>1.5924219230739101</v>
      </c>
      <c r="AX133" s="84">
        <v>7.0541404403657498E-2</v>
      </c>
      <c r="AY133" s="84">
        <v>0</v>
      </c>
      <c r="AZ133" s="86">
        <v>0</v>
      </c>
      <c r="BA133" s="84">
        <v>1.3827074575565601E-3</v>
      </c>
      <c r="BB133" s="79">
        <v>237.95660316275399</v>
      </c>
      <c r="BC133" s="83">
        <v>101.278128150765</v>
      </c>
      <c r="BD133" s="83">
        <v>255.189616673892</v>
      </c>
    </row>
    <row r="134" spans="1:56" s="44" customFormat="1" ht="12" customHeight="1">
      <c r="A134" s="47" t="s">
        <v>29</v>
      </c>
      <c r="B134" s="44" t="s">
        <v>249</v>
      </c>
      <c r="D134" s="79">
        <v>155.22504152190399</v>
      </c>
      <c r="E134" s="79">
        <v>90.090777516008103</v>
      </c>
      <c r="F134" s="83">
        <v>161.019813104891</v>
      </c>
      <c r="G134" s="122">
        <f t="shared" si="4"/>
        <v>0.55950119292041078</v>
      </c>
      <c r="H134" s="86">
        <v>5.8572403268500103E-3</v>
      </c>
      <c r="I134" s="85">
        <v>0.27452441980257303</v>
      </c>
      <c r="J134" s="85">
        <v>6.9606750073591198E-3</v>
      </c>
      <c r="K134" s="85">
        <v>25.9038914718952</v>
      </c>
      <c r="L134" s="85">
        <v>0.63863918523260099</v>
      </c>
      <c r="M134" s="85">
        <v>0.68141878378058596</v>
      </c>
      <c r="N134" s="85">
        <v>6.2649108514768598E-3</v>
      </c>
      <c r="O134" s="85">
        <v>0.37291533614931699</v>
      </c>
      <c r="P134" s="85">
        <v>0.180175444854387</v>
      </c>
      <c r="Q134" s="85">
        <v>4.9323113205992902E-3</v>
      </c>
      <c r="R134" s="85">
        <v>1.3559428618896201</v>
      </c>
      <c r="S134" s="83">
        <v>3332.05</v>
      </c>
      <c r="T134" s="89">
        <v>39.817500000000102</v>
      </c>
      <c r="U134" s="83">
        <v>3342.9161197417202</v>
      </c>
      <c r="V134" s="89">
        <v>24.209915657128501</v>
      </c>
      <c r="W134" s="83">
        <v>3349.8014579780302</v>
      </c>
      <c r="X134" s="89">
        <v>24.087144330253999</v>
      </c>
      <c r="Y134" s="83">
        <v>3348.4206064775699</v>
      </c>
      <c r="Z134" s="89">
        <v>84.473036087601798</v>
      </c>
      <c r="AA134" s="71">
        <f t="shared" si="5"/>
        <v>0.99794243873094801</v>
      </c>
      <c r="AB134" s="79">
        <v>32.731290000000001</v>
      </c>
      <c r="AC134" s="83">
        <v>585.373726395836</v>
      </c>
      <c r="AD134" s="80">
        <v>4.9398117828680901</v>
      </c>
      <c r="AE134" s="83">
        <v>966.29001086708797</v>
      </c>
      <c r="AF134" s="80">
        <v>2.1385092181993102</v>
      </c>
      <c r="AG134" s="80">
        <v>0</v>
      </c>
      <c r="AH134" s="80">
        <v>9.3634659502145508E-3</v>
      </c>
      <c r="AI134" s="80">
        <v>9.1861638531168293</v>
      </c>
      <c r="AJ134" s="80">
        <v>0.101427233118451</v>
      </c>
      <c r="AK134" s="80">
        <v>1.99063989082175</v>
      </c>
      <c r="AL134" s="80">
        <v>3.8906507626161999</v>
      </c>
      <c r="AM134" s="80">
        <v>0.23884239628600401</v>
      </c>
      <c r="AN134" s="79">
        <v>21.6168271028777</v>
      </c>
      <c r="AO134" s="80">
        <v>7.3105193838374101</v>
      </c>
      <c r="AP134" s="79">
        <v>83.081369823907707</v>
      </c>
      <c r="AQ134" s="79">
        <v>31.045711194977201</v>
      </c>
      <c r="AR134" s="83">
        <v>133.05609083722501</v>
      </c>
      <c r="AS134" s="79">
        <v>26.1538296783311</v>
      </c>
      <c r="AT134" s="83">
        <v>224.010084523893</v>
      </c>
      <c r="AU134" s="79">
        <v>41.922802826398303</v>
      </c>
      <c r="AV134" s="83">
        <v>9912.6709800776698</v>
      </c>
      <c r="AW134" s="80">
        <v>1.1733215360672899</v>
      </c>
      <c r="AX134" s="84">
        <v>3.1510620435340801E-2</v>
      </c>
      <c r="AY134" s="84">
        <v>0</v>
      </c>
      <c r="AZ134" s="86">
        <v>5.8572403268500103E-3</v>
      </c>
      <c r="BA134" s="84">
        <v>0</v>
      </c>
      <c r="BB134" s="79">
        <v>155.22504152190399</v>
      </c>
      <c r="BC134" s="79">
        <v>90.090777516008103</v>
      </c>
      <c r="BD134" s="83">
        <v>161.019813104891</v>
      </c>
    </row>
    <row r="135" spans="1:56" s="44" customFormat="1" ht="12" customHeight="1">
      <c r="A135" s="47" t="s">
        <v>29</v>
      </c>
      <c r="B135" s="44" t="s">
        <v>250</v>
      </c>
      <c r="D135" s="79">
        <v>218.893100310655</v>
      </c>
      <c r="E135" s="83">
        <v>108.94568736399501</v>
      </c>
      <c r="F135" s="83">
        <v>227.70906212201101</v>
      </c>
      <c r="G135" s="122">
        <f t="shared" si="4"/>
        <v>0.47844247544974633</v>
      </c>
      <c r="H135" s="86">
        <v>0</v>
      </c>
      <c r="I135" s="85">
        <v>0.27529460911695502</v>
      </c>
      <c r="J135" s="85">
        <v>6.8209923329914397E-3</v>
      </c>
      <c r="K135" s="85">
        <v>26.175654412521201</v>
      </c>
      <c r="L135" s="85">
        <v>0.63375451162329899</v>
      </c>
      <c r="M135" s="85">
        <v>0.68628672683208003</v>
      </c>
      <c r="N135" s="85">
        <v>5.9662643004745504E-3</v>
      </c>
      <c r="O135" s="85">
        <v>0.35906524708007898</v>
      </c>
      <c r="P135" s="85">
        <v>0.18635752959410201</v>
      </c>
      <c r="Q135" s="85">
        <v>5.0105145318268098E-3</v>
      </c>
      <c r="R135" s="85">
        <v>1.5836697229419801</v>
      </c>
      <c r="S135" s="83">
        <v>3336.72</v>
      </c>
      <c r="T135" s="89">
        <v>38.712499999999601</v>
      </c>
      <c r="U135" s="83">
        <v>3353.1213018579901</v>
      </c>
      <c r="V135" s="89">
        <v>23.7889394430556</v>
      </c>
      <c r="W135" s="83">
        <v>3368.4377662191901</v>
      </c>
      <c r="X135" s="89">
        <v>22.8805249095515</v>
      </c>
      <c r="Y135" s="83">
        <v>3454.0214954726698</v>
      </c>
      <c r="Z135" s="89">
        <v>85.365213760085993</v>
      </c>
      <c r="AA135" s="71">
        <f t="shared" si="5"/>
        <v>0.99544258580306388</v>
      </c>
      <c r="AB135" s="79">
        <v>32.731290000000001</v>
      </c>
      <c r="AC135" s="83">
        <v>660.72335719219495</v>
      </c>
      <c r="AD135" s="80">
        <v>6.07943972083212</v>
      </c>
      <c r="AE135" s="83">
        <v>1583.87041626993</v>
      </c>
      <c r="AF135" s="80">
        <v>4.4055715014927701</v>
      </c>
      <c r="AG135" s="80">
        <v>6.5994407285470402E-2</v>
      </c>
      <c r="AH135" s="80">
        <v>2.6712100520722801E-2</v>
      </c>
      <c r="AI135" s="79">
        <v>11.2533593395125</v>
      </c>
      <c r="AJ135" s="80">
        <v>0.17004311350397799</v>
      </c>
      <c r="AK135" s="80">
        <v>2.8378607653086201</v>
      </c>
      <c r="AL135" s="80">
        <v>5.5623536636731803</v>
      </c>
      <c r="AM135" s="80">
        <v>0.49646236916874797</v>
      </c>
      <c r="AN135" s="79">
        <v>33.4736002205847</v>
      </c>
      <c r="AO135" s="79">
        <v>11.402278014087701</v>
      </c>
      <c r="AP135" s="83">
        <v>135.74793258483899</v>
      </c>
      <c r="AQ135" s="79">
        <v>52.1553279616355</v>
      </c>
      <c r="AR135" s="83">
        <v>233.18689966265401</v>
      </c>
      <c r="AS135" s="79">
        <v>46.302226952971203</v>
      </c>
      <c r="AT135" s="83">
        <v>405.90101216457998</v>
      </c>
      <c r="AU135" s="79">
        <v>79.052406123968396</v>
      </c>
      <c r="AV135" s="83">
        <v>9092.9385827689293</v>
      </c>
      <c r="AW135" s="80">
        <v>1.6048363739129901</v>
      </c>
      <c r="AX135" s="84">
        <v>2.36768121319735E-2</v>
      </c>
      <c r="AY135" s="84">
        <v>0</v>
      </c>
      <c r="AZ135" s="86">
        <v>0</v>
      </c>
      <c r="BA135" s="84">
        <v>4.2108286828890099E-3</v>
      </c>
      <c r="BB135" s="79">
        <v>218.893100310655</v>
      </c>
      <c r="BC135" s="83">
        <v>108.94568736399501</v>
      </c>
      <c r="BD135" s="83">
        <v>227.70906212201101</v>
      </c>
    </row>
    <row r="136" spans="1:56" s="44" customFormat="1" ht="12" customHeight="1">
      <c r="A136" s="47" t="s">
        <v>29</v>
      </c>
      <c r="B136" s="44" t="s">
        <v>251</v>
      </c>
      <c r="D136" s="79">
        <v>158.79096715606801</v>
      </c>
      <c r="E136" s="79">
        <v>91.066239249481697</v>
      </c>
      <c r="F136" s="83">
        <v>165.770463834808</v>
      </c>
      <c r="G136" s="122">
        <f t="shared" si="4"/>
        <v>0.54935141727195835</v>
      </c>
      <c r="H136" s="86">
        <v>0</v>
      </c>
      <c r="I136" s="85">
        <v>0.27429679423661602</v>
      </c>
      <c r="J136" s="85">
        <v>6.74835341170784E-3</v>
      </c>
      <c r="K136" s="85">
        <v>25.712222202623501</v>
      </c>
      <c r="L136" s="85">
        <v>0.61271425912467303</v>
      </c>
      <c r="M136" s="85">
        <v>0.67731973537645596</v>
      </c>
      <c r="N136" s="85">
        <v>6.3413715988182599E-3</v>
      </c>
      <c r="O136" s="85">
        <v>0.39289011151011799</v>
      </c>
      <c r="P136" s="85">
        <v>0.18100713552591799</v>
      </c>
      <c r="Q136" s="85">
        <v>4.7826036481791899E-3</v>
      </c>
      <c r="R136" s="85">
        <v>1.38044182284275</v>
      </c>
      <c r="S136" s="83">
        <v>3330.5549999999998</v>
      </c>
      <c r="T136" s="89">
        <v>38.579999999999899</v>
      </c>
      <c r="U136" s="83">
        <v>3335.6564157625598</v>
      </c>
      <c r="V136" s="89">
        <v>23.400641060359899</v>
      </c>
      <c r="W136" s="83">
        <v>3334.06687385746</v>
      </c>
      <c r="X136" s="89">
        <v>24.438094100435599</v>
      </c>
      <c r="Y136" s="83">
        <v>3362.65950747956</v>
      </c>
      <c r="Z136" s="89">
        <v>81.851391382088394</v>
      </c>
      <c r="AA136" s="71">
        <f t="shared" si="5"/>
        <v>0.999523355966634</v>
      </c>
      <c r="AB136" s="79">
        <v>32.731290000000001</v>
      </c>
      <c r="AC136" s="83">
        <v>724.02332368510099</v>
      </c>
      <c r="AD136" s="80">
        <v>4.6555299560741297</v>
      </c>
      <c r="AE136" s="83">
        <v>1326.75750888172</v>
      </c>
      <c r="AF136" s="80">
        <v>1.9845394308950699</v>
      </c>
      <c r="AG136" s="80">
        <v>0</v>
      </c>
      <c r="AH136" s="80">
        <v>9.3255266016063695E-3</v>
      </c>
      <c r="AI136" s="80">
        <v>8.1322946837364398</v>
      </c>
      <c r="AJ136" s="84">
        <v>9.4316853545425405E-2</v>
      </c>
      <c r="AK136" s="80">
        <v>1.91209464919575</v>
      </c>
      <c r="AL136" s="80">
        <v>4.4155204322270603</v>
      </c>
      <c r="AM136" s="80">
        <v>0.16448441220326701</v>
      </c>
      <c r="AN136" s="79">
        <v>28.7255753953301</v>
      </c>
      <c r="AO136" s="79">
        <v>10.132371496948901</v>
      </c>
      <c r="AP136" s="83">
        <v>119.460313346156</v>
      </c>
      <c r="AQ136" s="79">
        <v>44.054302813309597</v>
      </c>
      <c r="AR136" s="83">
        <v>184.51573509095999</v>
      </c>
      <c r="AS136" s="79">
        <v>35.189317459711198</v>
      </c>
      <c r="AT136" s="83">
        <v>290.217560083541</v>
      </c>
      <c r="AU136" s="79">
        <v>53.404005747387799</v>
      </c>
      <c r="AV136" s="83">
        <v>10441.4932579298</v>
      </c>
      <c r="AW136" s="80">
        <v>0.89344782441637105</v>
      </c>
      <c r="AX136" s="84">
        <v>3.10019708535938E-2</v>
      </c>
      <c r="AY136" s="84">
        <v>0</v>
      </c>
      <c r="AZ136" s="86">
        <v>0</v>
      </c>
      <c r="BA136" s="84">
        <v>0</v>
      </c>
      <c r="BB136" s="79">
        <v>158.79096715606801</v>
      </c>
      <c r="BC136" s="79">
        <v>91.066239249481697</v>
      </c>
      <c r="BD136" s="83">
        <v>165.770463834808</v>
      </c>
    </row>
    <row r="137" spans="1:56" s="44" customFormat="1" ht="12" customHeight="1">
      <c r="A137" s="47" t="s">
        <v>29</v>
      </c>
      <c r="B137" s="44" t="s">
        <v>252</v>
      </c>
      <c r="C137" s="44" t="s">
        <v>126</v>
      </c>
      <c r="D137" s="79">
        <v>116.231020205295</v>
      </c>
      <c r="E137" s="79">
        <v>74.857732367078697</v>
      </c>
      <c r="F137" s="83">
        <v>122.01215860990401</v>
      </c>
      <c r="G137" s="122">
        <f t="shared" si="4"/>
        <v>0.61352682568638961</v>
      </c>
      <c r="H137" s="80">
        <v>1.13553654471263</v>
      </c>
      <c r="I137" s="85">
        <v>0.27303261233391801</v>
      </c>
      <c r="J137" s="85">
        <v>6.6247024181298603E-3</v>
      </c>
      <c r="K137" s="85">
        <v>24.869135781494698</v>
      </c>
      <c r="L137" s="85">
        <v>0.58809145385361505</v>
      </c>
      <c r="M137" s="85">
        <v>0.65780612640991998</v>
      </c>
      <c r="N137" s="85">
        <v>5.8893682234155099E-3</v>
      </c>
      <c r="O137" s="85">
        <v>0.37860523968261101</v>
      </c>
      <c r="P137" s="85">
        <v>0.18168660379253801</v>
      </c>
      <c r="Q137" s="85">
        <v>4.9495171631574403E-3</v>
      </c>
      <c r="R137" s="85">
        <v>1.24596515395344</v>
      </c>
      <c r="S137" s="83">
        <v>3323.76</v>
      </c>
      <c r="T137" s="89">
        <v>37.965000000000103</v>
      </c>
      <c r="U137" s="83">
        <v>3303.0924399001201</v>
      </c>
      <c r="V137" s="89">
        <v>23.192053741176</v>
      </c>
      <c r="W137" s="83">
        <v>3258.6308955649001</v>
      </c>
      <c r="X137" s="89">
        <v>22.968437746956099</v>
      </c>
      <c r="Y137" s="83">
        <v>3374.2848552292799</v>
      </c>
      <c r="Z137" s="89">
        <v>84.659309026082596</v>
      </c>
      <c r="AA137" s="71">
        <f t="shared" si="5"/>
        <v>0.98644821122069781</v>
      </c>
      <c r="AB137" s="79">
        <v>32.731290000000001</v>
      </c>
      <c r="AC137" s="83">
        <v>525.86663683162601</v>
      </c>
      <c r="AD137" s="80">
        <v>2.94036593576923</v>
      </c>
      <c r="AE137" s="83">
        <v>1442.4237738643801</v>
      </c>
      <c r="AF137" s="80">
        <v>2.4931881338143098</v>
      </c>
      <c r="AG137" s="80">
        <v>0.213129070500471</v>
      </c>
      <c r="AH137" s="80">
        <v>12.6405987389271</v>
      </c>
      <c r="AI137" s="79">
        <v>83.965199586946696</v>
      </c>
      <c r="AJ137" s="79">
        <v>18.603697398236299</v>
      </c>
      <c r="AK137" s="83">
        <v>131.41565863121099</v>
      </c>
      <c r="AL137" s="79">
        <v>58.929263711184902</v>
      </c>
      <c r="AM137" s="80">
        <v>4.4745140802991203</v>
      </c>
      <c r="AN137" s="79">
        <v>89.990906013073698</v>
      </c>
      <c r="AO137" s="79">
        <v>18.823251565960799</v>
      </c>
      <c r="AP137" s="83">
        <v>156.69716536244701</v>
      </c>
      <c r="AQ137" s="79">
        <v>47.299336630577898</v>
      </c>
      <c r="AR137" s="83">
        <v>182.88026106937701</v>
      </c>
      <c r="AS137" s="79">
        <v>34.752782527535899</v>
      </c>
      <c r="AT137" s="83">
        <v>289.05400939675502</v>
      </c>
      <c r="AU137" s="79">
        <v>52.8428521321677</v>
      </c>
      <c r="AV137" s="83">
        <v>9386.0514697612907</v>
      </c>
      <c r="AW137" s="80">
        <v>1.5723960547876099</v>
      </c>
      <c r="AX137" s="84">
        <v>0.21315425065914401</v>
      </c>
      <c r="AY137" s="84">
        <v>0</v>
      </c>
      <c r="AZ137" s="80">
        <v>1.13553654471263</v>
      </c>
      <c r="BA137" s="84">
        <v>7.59578021779921E-3</v>
      </c>
      <c r="BB137" s="79">
        <v>116.231020205295</v>
      </c>
      <c r="BC137" s="79">
        <v>74.857732367078697</v>
      </c>
      <c r="BD137" s="83">
        <v>122.01215860990401</v>
      </c>
    </row>
    <row r="138" spans="1:56" s="44" customFormat="1" ht="12" customHeight="1">
      <c r="A138" s="47" t="s">
        <v>29</v>
      </c>
      <c r="B138" s="44" t="s">
        <v>253</v>
      </c>
      <c r="D138" s="79">
        <v>162.53933593338701</v>
      </c>
      <c r="E138" s="79">
        <v>83.3622909552641</v>
      </c>
      <c r="F138" s="83">
        <v>168.856198631501</v>
      </c>
      <c r="G138" s="122">
        <f t="shared" si="4"/>
        <v>0.49368807086074262</v>
      </c>
      <c r="H138" s="86">
        <v>0</v>
      </c>
      <c r="I138" s="85">
        <v>0.27325959179551701</v>
      </c>
      <c r="J138" s="85">
        <v>6.4546540939348597E-3</v>
      </c>
      <c r="K138" s="85">
        <v>26.0213592364004</v>
      </c>
      <c r="L138" s="85">
        <v>0.60046434624035805</v>
      </c>
      <c r="M138" s="85">
        <v>0.68763697559276504</v>
      </c>
      <c r="N138" s="85">
        <v>6.0732934850118003E-3</v>
      </c>
      <c r="O138" s="85">
        <v>0.382743478764899</v>
      </c>
      <c r="P138" s="85">
        <v>0.18268429258354099</v>
      </c>
      <c r="Q138" s="85">
        <v>4.6436154655024302E-3</v>
      </c>
      <c r="R138" s="85">
        <v>1.5368942465405899</v>
      </c>
      <c r="S138" s="83">
        <v>3324.9949999999999</v>
      </c>
      <c r="T138" s="89">
        <v>37.037499999999902</v>
      </c>
      <c r="U138" s="83">
        <v>3347.33983458687</v>
      </c>
      <c r="V138" s="89">
        <v>22.678199476628201</v>
      </c>
      <c r="W138" s="83">
        <v>3373.5974935827398</v>
      </c>
      <c r="X138" s="89">
        <v>23.270107754771999</v>
      </c>
      <c r="Y138" s="83">
        <v>3391.3426822748102</v>
      </c>
      <c r="Z138" s="89">
        <v>79.3599923247737</v>
      </c>
      <c r="AA138" s="71">
        <f t="shared" si="5"/>
        <v>0.99218631041660943</v>
      </c>
      <c r="AB138" s="79">
        <v>32.731290000000001</v>
      </c>
      <c r="AC138" s="83">
        <v>695.24292862588698</v>
      </c>
      <c r="AD138" s="80">
        <v>4.9950180101385904</v>
      </c>
      <c r="AE138" s="83">
        <v>1307.20156327514</v>
      </c>
      <c r="AF138" s="80">
        <v>3.2145960133557701</v>
      </c>
      <c r="AG138" s="80">
        <v>5.7893199264940597E-2</v>
      </c>
      <c r="AH138" s="80">
        <v>4.7298335162597903E-3</v>
      </c>
      <c r="AI138" s="80">
        <v>9.1100592253204091</v>
      </c>
      <c r="AJ138" s="84">
        <v>7.7241523481485205E-2</v>
      </c>
      <c r="AK138" s="80">
        <v>1.8452704856470199</v>
      </c>
      <c r="AL138" s="80">
        <v>4.3211725420247902</v>
      </c>
      <c r="AM138" s="80">
        <v>0.104230845763223</v>
      </c>
      <c r="AN138" s="79">
        <v>28.9497921333904</v>
      </c>
      <c r="AO138" s="79">
        <v>10.077193666085799</v>
      </c>
      <c r="AP138" s="83">
        <v>117.09023831226899</v>
      </c>
      <c r="AQ138" s="79">
        <v>42.494658912823603</v>
      </c>
      <c r="AR138" s="83">
        <v>176.79857369379201</v>
      </c>
      <c r="AS138" s="79">
        <v>33.587667403085703</v>
      </c>
      <c r="AT138" s="83">
        <v>273.81979583829502</v>
      </c>
      <c r="AU138" s="79">
        <v>49.856946024267998</v>
      </c>
      <c r="AV138" s="83">
        <v>11121.745071073399</v>
      </c>
      <c r="AW138" s="80">
        <v>1.5356559873792399</v>
      </c>
      <c r="AX138" s="84">
        <v>1.8874786394980199E-2</v>
      </c>
      <c r="AY138" s="84">
        <v>0</v>
      </c>
      <c r="AZ138" s="86">
        <v>0</v>
      </c>
      <c r="BA138" s="84">
        <v>0</v>
      </c>
      <c r="BB138" s="79">
        <v>162.53933593338701</v>
      </c>
      <c r="BC138" s="79">
        <v>83.3622909552641</v>
      </c>
      <c r="BD138" s="83">
        <v>168.856198631501</v>
      </c>
    </row>
    <row r="139" spans="1:56" s="44" customFormat="1" ht="12" customHeight="1">
      <c r="A139" s="47" t="s">
        <v>29</v>
      </c>
      <c r="B139" s="44" t="s">
        <v>254</v>
      </c>
      <c r="D139" s="79">
        <v>180.575909635252</v>
      </c>
      <c r="E139" s="79">
        <v>97.224973421288993</v>
      </c>
      <c r="F139" s="83">
        <v>190.954392376648</v>
      </c>
      <c r="G139" s="122">
        <f t="shared" si="4"/>
        <v>0.5091528516899344</v>
      </c>
      <c r="H139" s="86">
        <v>0</v>
      </c>
      <c r="I139" s="85">
        <v>0.27553202373359997</v>
      </c>
      <c r="J139" s="85">
        <v>6.1374516246837799E-3</v>
      </c>
      <c r="K139" s="85">
        <v>25.807889856890501</v>
      </c>
      <c r="L139" s="85">
        <v>0.56834364660283598</v>
      </c>
      <c r="M139" s="85">
        <v>0.67609172864567901</v>
      </c>
      <c r="N139" s="85">
        <v>5.7333152284998303E-3</v>
      </c>
      <c r="O139" s="85">
        <v>0.38507177341778698</v>
      </c>
      <c r="P139" s="85">
        <v>0.18042814864902701</v>
      </c>
      <c r="Q139" s="85">
        <v>4.3297531844476798E-3</v>
      </c>
      <c r="R139" s="85">
        <v>1.4745698200662001</v>
      </c>
      <c r="S139" s="83">
        <v>3337.96</v>
      </c>
      <c r="T139" s="89">
        <v>34.697500000000197</v>
      </c>
      <c r="U139" s="83">
        <v>3339.28643126922</v>
      </c>
      <c r="V139" s="89">
        <v>21.6461713109987</v>
      </c>
      <c r="W139" s="83">
        <v>3329.3455681401101</v>
      </c>
      <c r="X139" s="89">
        <v>22.124065448280898</v>
      </c>
      <c r="Y139" s="83">
        <v>3352.7480648004298</v>
      </c>
      <c r="Z139" s="89">
        <v>74.137473231187698</v>
      </c>
      <c r="AA139" s="71">
        <f t="shared" si="5"/>
        <v>0.99701861997183516</v>
      </c>
      <c r="AB139" s="79">
        <v>32.731290000000001</v>
      </c>
      <c r="AC139" s="83">
        <v>647.20639111726598</v>
      </c>
      <c r="AD139" s="80">
        <v>5.9043893944214902</v>
      </c>
      <c r="AE139" s="83">
        <v>1327.67786043708</v>
      </c>
      <c r="AF139" s="80">
        <v>3.3171863451718901</v>
      </c>
      <c r="AG139" s="80">
        <v>0</v>
      </c>
      <c r="AH139" s="80">
        <v>8.4841025662617097E-3</v>
      </c>
      <c r="AI139" s="80">
        <v>9.9863722870789093</v>
      </c>
      <c r="AJ139" s="80">
        <v>0.106895111354912</v>
      </c>
      <c r="AK139" s="80">
        <v>2.6175088768105002</v>
      </c>
      <c r="AL139" s="80">
        <v>5.5270653424923299</v>
      </c>
      <c r="AM139" s="80">
        <v>0.11630584042854</v>
      </c>
      <c r="AN139" s="79">
        <v>32.733933106548697</v>
      </c>
      <c r="AO139" s="79">
        <v>10.802283447059599</v>
      </c>
      <c r="AP139" s="83">
        <v>122.23986558934401</v>
      </c>
      <c r="AQ139" s="79">
        <v>43.819154398310701</v>
      </c>
      <c r="AR139" s="83">
        <v>181.33057380610001</v>
      </c>
      <c r="AS139" s="79">
        <v>33.578980395892401</v>
      </c>
      <c r="AT139" s="83">
        <v>278.99673553938499</v>
      </c>
      <c r="AU139" s="79">
        <v>51.966475763157902</v>
      </c>
      <c r="AV139" s="83">
        <v>10182.545527025801</v>
      </c>
      <c r="AW139" s="80">
        <v>2.0453078760585401</v>
      </c>
      <c r="AX139" s="84">
        <v>0</v>
      </c>
      <c r="AY139" s="84">
        <v>0</v>
      </c>
      <c r="AZ139" s="86">
        <v>0</v>
      </c>
      <c r="BA139" s="84">
        <v>2.3560927614976802E-3</v>
      </c>
      <c r="BB139" s="79">
        <v>180.575909635252</v>
      </c>
      <c r="BC139" s="79">
        <v>97.224973421288993</v>
      </c>
      <c r="BD139" s="83">
        <v>190.954392376648</v>
      </c>
    </row>
    <row r="140" spans="1:56" s="44" customFormat="1" ht="12" customHeight="1">
      <c r="A140" s="47" t="s">
        <v>29</v>
      </c>
      <c r="B140" s="44" t="s">
        <v>255</v>
      </c>
      <c r="D140" s="79">
        <v>229.014600310622</v>
      </c>
      <c r="E140" s="83">
        <v>134.27215526913099</v>
      </c>
      <c r="F140" s="83">
        <v>237.17010247035699</v>
      </c>
      <c r="G140" s="122">
        <f t="shared" si="4"/>
        <v>0.56614283955083744</v>
      </c>
      <c r="H140" s="86">
        <v>0</v>
      </c>
      <c r="I140" s="85">
        <v>0.27487146457106998</v>
      </c>
      <c r="J140" s="85">
        <v>5.9858843736160698E-3</v>
      </c>
      <c r="K140" s="85">
        <v>25.971530755692498</v>
      </c>
      <c r="L140" s="85">
        <v>0.55665172849136602</v>
      </c>
      <c r="M140" s="85">
        <v>0.68202281173838997</v>
      </c>
      <c r="N140" s="85">
        <v>5.5094076639146403E-3</v>
      </c>
      <c r="O140" s="85">
        <v>0.37689466815225398</v>
      </c>
      <c r="P140" s="85">
        <v>0.18261259672642</v>
      </c>
      <c r="Q140" s="85">
        <v>4.3174480174732301E-3</v>
      </c>
      <c r="R140" s="85">
        <v>1.33022052387583</v>
      </c>
      <c r="S140" s="83">
        <v>3334.2550000000001</v>
      </c>
      <c r="T140" s="89">
        <v>33.950000000000003</v>
      </c>
      <c r="U140" s="83">
        <v>3345.4656985940901</v>
      </c>
      <c r="V140" s="89">
        <v>21.079092618352998</v>
      </c>
      <c r="W140" s="83">
        <v>3352.1168330632599</v>
      </c>
      <c r="X140" s="89">
        <v>21.192454902184299</v>
      </c>
      <c r="Y140" s="83">
        <v>3390.11735360988</v>
      </c>
      <c r="Z140" s="89">
        <v>73.790221470666197</v>
      </c>
      <c r="AA140" s="71">
        <f t="shared" si="5"/>
        <v>0.99801387009783549</v>
      </c>
      <c r="AB140" s="79">
        <v>32.731290000000001</v>
      </c>
      <c r="AC140" s="83">
        <v>997.91238110831398</v>
      </c>
      <c r="AD140" s="80">
        <v>6.1583577821378697</v>
      </c>
      <c r="AE140" s="83">
        <v>2319.1112980620501</v>
      </c>
      <c r="AF140" s="80">
        <v>2.9957382878650698</v>
      </c>
      <c r="AG140" s="80">
        <v>6.8263001149416094E-2</v>
      </c>
      <c r="AH140" s="80">
        <v>0.167639806652113</v>
      </c>
      <c r="AI140" s="80">
        <v>9.4463914564830702</v>
      </c>
      <c r="AJ140" s="80">
        <v>0.19565785894624099</v>
      </c>
      <c r="AK140" s="80">
        <v>3.7609359100461899</v>
      </c>
      <c r="AL140" s="80">
        <v>8.9453290528444107</v>
      </c>
      <c r="AM140" s="80">
        <v>0.158798680556299</v>
      </c>
      <c r="AN140" s="79">
        <v>60.229436576111901</v>
      </c>
      <c r="AO140" s="79">
        <v>19.727142338217998</v>
      </c>
      <c r="AP140" s="83">
        <v>224.36023257701001</v>
      </c>
      <c r="AQ140" s="79">
        <v>77.960865041930404</v>
      </c>
      <c r="AR140" s="83">
        <v>312.80593618796598</v>
      </c>
      <c r="AS140" s="79">
        <v>55.277517382552702</v>
      </c>
      <c r="AT140" s="83">
        <v>445.172983877089</v>
      </c>
      <c r="AU140" s="79">
        <v>78.880841454161299</v>
      </c>
      <c r="AV140" s="83">
        <v>10654.819330149599</v>
      </c>
      <c r="AW140" s="80">
        <v>1.1932482318117299</v>
      </c>
      <c r="AX140" s="84">
        <v>4.6394542443863103E-2</v>
      </c>
      <c r="AY140" s="84">
        <v>0</v>
      </c>
      <c r="AZ140" s="86">
        <v>0</v>
      </c>
      <c r="BA140" s="84">
        <v>2.3574359259841901E-3</v>
      </c>
      <c r="BB140" s="79">
        <v>229.014600310622</v>
      </c>
      <c r="BC140" s="83">
        <v>134.27215526913099</v>
      </c>
      <c r="BD140" s="83">
        <v>237.17010247035699</v>
      </c>
    </row>
    <row r="141" spans="1:56" s="44" customFormat="1" ht="12" customHeight="1">
      <c r="A141" s="47" t="s">
        <v>29</v>
      </c>
      <c r="B141" s="44" t="s">
        <v>256</v>
      </c>
      <c r="D141" s="79">
        <v>204.87645102269499</v>
      </c>
      <c r="E141" s="83">
        <v>108.842105391975</v>
      </c>
      <c r="F141" s="83">
        <v>214.687657587036</v>
      </c>
      <c r="G141" s="122">
        <f t="shared" si="4"/>
        <v>0.50697886695162986</v>
      </c>
      <c r="H141" s="86">
        <v>0</v>
      </c>
      <c r="I141" s="85">
        <v>0.27529760326876201</v>
      </c>
      <c r="J141" s="85">
        <v>5.9222671752786303E-3</v>
      </c>
      <c r="K141" s="85">
        <v>25.948576575166101</v>
      </c>
      <c r="L141" s="85">
        <v>0.54001311726318302</v>
      </c>
      <c r="M141" s="85">
        <v>0.68090650616583204</v>
      </c>
      <c r="N141" s="85">
        <v>5.5514716772736396E-3</v>
      </c>
      <c r="O141" s="85">
        <v>0.39176882550729702</v>
      </c>
      <c r="P141" s="85">
        <v>0.182991197254604</v>
      </c>
      <c r="Q141" s="85">
        <v>4.2310687693609796E-3</v>
      </c>
      <c r="R141" s="85">
        <v>1.4850035401322299</v>
      </c>
      <c r="S141" s="83">
        <v>3336.72</v>
      </c>
      <c r="T141" s="89">
        <v>33.770000000000003</v>
      </c>
      <c r="U141" s="83">
        <v>3344.6011866904801</v>
      </c>
      <c r="V141" s="89">
        <v>20.473621455052498</v>
      </c>
      <c r="W141" s="83">
        <v>3347.8371306618401</v>
      </c>
      <c r="X141" s="89">
        <v>21.366965317089701</v>
      </c>
      <c r="Y141" s="83">
        <v>3396.5870426018701</v>
      </c>
      <c r="Z141" s="89">
        <v>72.290756290664802</v>
      </c>
      <c r="AA141" s="71">
        <f t="shared" si="5"/>
        <v>0.99903295515986457</v>
      </c>
      <c r="AB141" s="79">
        <v>32.731290000000001</v>
      </c>
      <c r="AC141" s="83">
        <v>670.15559081756999</v>
      </c>
      <c r="AD141" s="80">
        <v>6.4750200278036196</v>
      </c>
      <c r="AE141" s="83">
        <v>1450.4541713838901</v>
      </c>
      <c r="AF141" s="80">
        <v>4.0727473704015402</v>
      </c>
      <c r="AG141" s="80">
        <v>6.1118393787426201E-2</v>
      </c>
      <c r="AH141" s="80">
        <v>1.5867706176685599E-2</v>
      </c>
      <c r="AI141" s="79">
        <v>11.201896258548199</v>
      </c>
      <c r="AJ141" s="80">
        <v>0.14456703499764501</v>
      </c>
      <c r="AK141" s="80">
        <v>2.47958081380715</v>
      </c>
      <c r="AL141" s="80">
        <v>5.8203733795379904</v>
      </c>
      <c r="AM141" s="80">
        <v>0.12991225512465901</v>
      </c>
      <c r="AN141" s="79">
        <v>35.792312331928898</v>
      </c>
      <c r="AO141" s="79">
        <v>11.4579408708142</v>
      </c>
      <c r="AP141" s="83">
        <v>134.004648281599</v>
      </c>
      <c r="AQ141" s="79">
        <v>47.664340937215201</v>
      </c>
      <c r="AR141" s="83">
        <v>198.53052606629501</v>
      </c>
      <c r="AS141" s="79">
        <v>37.486608155567097</v>
      </c>
      <c r="AT141" s="83">
        <v>310.12396453749699</v>
      </c>
      <c r="AU141" s="79">
        <v>56.994653447655402</v>
      </c>
      <c r="AV141" s="83">
        <v>10345.0598534404</v>
      </c>
      <c r="AW141" s="80">
        <v>2.2682572980610298</v>
      </c>
      <c r="AX141" s="84">
        <v>6.0650598515060702E-2</v>
      </c>
      <c r="AY141" s="84">
        <v>0</v>
      </c>
      <c r="AZ141" s="86">
        <v>0</v>
      </c>
      <c r="BA141" s="84">
        <v>7.1909191637027099E-3</v>
      </c>
      <c r="BB141" s="79">
        <v>204.87645102269499</v>
      </c>
      <c r="BC141" s="83">
        <v>108.842105391975</v>
      </c>
      <c r="BD141" s="83">
        <v>214.687657587036</v>
      </c>
    </row>
    <row r="142" spans="1:56" s="44" customFormat="1" ht="12" customHeight="1">
      <c r="A142" s="47" t="s">
        <v>29</v>
      </c>
      <c r="B142" s="44" t="s">
        <v>257</v>
      </c>
      <c r="D142" s="79">
        <v>232.87962475393999</v>
      </c>
      <c r="E142" s="83">
        <v>135.064983550997</v>
      </c>
      <c r="F142" s="83">
        <v>241.40885875102001</v>
      </c>
      <c r="G142" s="122">
        <f t="shared" si="4"/>
        <v>0.55948644241882572</v>
      </c>
      <c r="H142" s="80">
        <v>0.33429007192971599</v>
      </c>
      <c r="I142" s="85">
        <v>0.27573808646323</v>
      </c>
      <c r="J142" s="85">
        <v>5.7532369146261197E-3</v>
      </c>
      <c r="K142" s="85">
        <v>26.104203590672501</v>
      </c>
      <c r="L142" s="85">
        <v>0.53204621932699903</v>
      </c>
      <c r="M142" s="85">
        <v>0.683958808417376</v>
      </c>
      <c r="N142" s="85">
        <v>5.9254797286851504E-3</v>
      </c>
      <c r="O142" s="85">
        <v>0.42506432433544999</v>
      </c>
      <c r="P142" s="85">
        <v>0.18165795972257701</v>
      </c>
      <c r="Q142" s="85">
        <v>4.0996257693416902E-3</v>
      </c>
      <c r="R142" s="85">
        <v>1.3447730459718601</v>
      </c>
      <c r="S142" s="83">
        <v>3339.19</v>
      </c>
      <c r="T142" s="89">
        <v>32.7175000000002</v>
      </c>
      <c r="U142" s="83">
        <v>3350.4481189050798</v>
      </c>
      <c r="V142" s="89">
        <v>20.061410463399099</v>
      </c>
      <c r="W142" s="83">
        <v>3359.5323446331499</v>
      </c>
      <c r="X142" s="89">
        <v>22.755938984751499</v>
      </c>
      <c r="Y142" s="83">
        <v>3373.7949051024402</v>
      </c>
      <c r="Z142" s="89">
        <v>70.123991223700898</v>
      </c>
      <c r="AA142" s="71">
        <f t="shared" si="5"/>
        <v>0.99729232423926317</v>
      </c>
      <c r="AB142" s="79">
        <v>32.731290000000001</v>
      </c>
      <c r="AC142" s="83">
        <v>683.51482693691298</v>
      </c>
      <c r="AD142" s="80">
        <v>8.5040333533782508</v>
      </c>
      <c r="AE142" s="83">
        <v>1422.04206261793</v>
      </c>
      <c r="AF142" s="80">
        <v>4.29898237633956</v>
      </c>
      <c r="AG142" s="80">
        <v>1.33063746292446E-2</v>
      </c>
      <c r="AH142" s="80">
        <v>1.5164079322220501E-2</v>
      </c>
      <c r="AI142" s="79">
        <v>13.717232445072201</v>
      </c>
      <c r="AJ142" s="80">
        <v>0.13450391504072401</v>
      </c>
      <c r="AK142" s="80">
        <v>2.85757788492579</v>
      </c>
      <c r="AL142" s="80">
        <v>6.0444930420761898</v>
      </c>
      <c r="AM142" s="80">
        <v>0.113484220892222</v>
      </c>
      <c r="AN142" s="79">
        <v>34.110819070684201</v>
      </c>
      <c r="AO142" s="79">
        <v>11.2210586031457</v>
      </c>
      <c r="AP142" s="83">
        <v>128.65900881064201</v>
      </c>
      <c r="AQ142" s="79">
        <v>46.136605931418302</v>
      </c>
      <c r="AR142" s="83">
        <v>191.36843531949799</v>
      </c>
      <c r="AS142" s="79">
        <v>35.8782854725413</v>
      </c>
      <c r="AT142" s="83">
        <v>290.59637038364502</v>
      </c>
      <c r="AU142" s="79">
        <v>52.883151558235902</v>
      </c>
      <c r="AV142" s="83">
        <v>10932.244363007199</v>
      </c>
      <c r="AW142" s="80">
        <v>1.91326058113178</v>
      </c>
      <c r="AX142" s="84">
        <v>5.8164014723869999E-2</v>
      </c>
      <c r="AY142" s="84">
        <v>0</v>
      </c>
      <c r="AZ142" s="80">
        <v>0.33429007192971599</v>
      </c>
      <c r="BA142" s="84">
        <v>0</v>
      </c>
      <c r="BB142" s="79">
        <v>232.87962475393999</v>
      </c>
      <c r="BC142" s="83">
        <v>135.064983550997</v>
      </c>
      <c r="BD142" s="83">
        <v>241.40885875102001</v>
      </c>
    </row>
    <row r="143" spans="1:56" s="44" customFormat="1" ht="12" customHeight="1">
      <c r="A143" s="47" t="s">
        <v>29</v>
      </c>
      <c r="B143" s="44" t="s">
        <v>258</v>
      </c>
      <c r="D143" s="79">
        <v>254.308507799403</v>
      </c>
      <c r="E143" s="83">
        <v>199.52570382947101</v>
      </c>
      <c r="F143" s="83">
        <v>253.463175180733</v>
      </c>
      <c r="G143" s="122">
        <f t="shared" si="4"/>
        <v>0.78719799705498972</v>
      </c>
      <c r="H143" s="80">
        <v>0.18414444884843301</v>
      </c>
      <c r="I143" s="85">
        <v>0.27331511685311799</v>
      </c>
      <c r="J143" s="85">
        <v>5.5986931327958898E-3</v>
      </c>
      <c r="K143" s="85">
        <v>25.824228610288699</v>
      </c>
      <c r="L143" s="85">
        <v>0.51844604942005401</v>
      </c>
      <c r="M143" s="85">
        <v>0.68214343249310805</v>
      </c>
      <c r="N143" s="85">
        <v>5.2218077244336998E-3</v>
      </c>
      <c r="O143" s="85">
        <v>0.38130189384078</v>
      </c>
      <c r="P143" s="85">
        <v>0.18049328559258501</v>
      </c>
      <c r="Q143" s="85">
        <v>3.9860979306241698E-3</v>
      </c>
      <c r="R143" s="85">
        <v>0.95048622966829999</v>
      </c>
      <c r="S143" s="83">
        <v>3324.9949999999999</v>
      </c>
      <c r="T143" s="89">
        <v>31.324999999999999</v>
      </c>
      <c r="U143" s="83">
        <v>3339.9050939027102</v>
      </c>
      <c r="V143" s="89">
        <v>19.755824539050799</v>
      </c>
      <c r="W143" s="83">
        <v>3352.5790999595802</v>
      </c>
      <c r="X143" s="89">
        <v>20.093059525464799</v>
      </c>
      <c r="Y143" s="83">
        <v>3353.86336051642</v>
      </c>
      <c r="Z143" s="89">
        <v>68.249368949903399</v>
      </c>
      <c r="AA143" s="71">
        <f t="shared" si="5"/>
        <v>0.99621246589764278</v>
      </c>
      <c r="AB143" s="79">
        <v>32.731290000000001</v>
      </c>
      <c r="AC143" s="83">
        <v>749.993178665659</v>
      </c>
      <c r="AD143" s="80">
        <v>9.1214445169925096</v>
      </c>
      <c r="AE143" s="83">
        <v>2212.4190973934701</v>
      </c>
      <c r="AF143" s="80">
        <v>5.4883262530944901</v>
      </c>
      <c r="AG143" s="80">
        <v>0.36344929677412702</v>
      </c>
      <c r="AH143" s="80">
        <v>1.62496475979624</v>
      </c>
      <c r="AI143" s="79">
        <v>20.245208412733302</v>
      </c>
      <c r="AJ143" s="80">
        <v>0.59657289835488003</v>
      </c>
      <c r="AK143" s="80">
        <v>5.58979338438475</v>
      </c>
      <c r="AL143" s="80">
        <v>9.0395718727808099</v>
      </c>
      <c r="AM143" s="80">
        <v>0.839003913527826</v>
      </c>
      <c r="AN143" s="79">
        <v>54.012252013835997</v>
      </c>
      <c r="AO143" s="79">
        <v>17.645636634124699</v>
      </c>
      <c r="AP143" s="83">
        <v>204.942631887267</v>
      </c>
      <c r="AQ143" s="79">
        <v>76.490429453440996</v>
      </c>
      <c r="AR143" s="83">
        <v>316.41801397924598</v>
      </c>
      <c r="AS143" s="79">
        <v>59.810059000819301</v>
      </c>
      <c r="AT143" s="83">
        <v>484.48990813374502</v>
      </c>
      <c r="AU143" s="79">
        <v>87.468025480462998</v>
      </c>
      <c r="AV143" s="83">
        <v>9211.2034068874309</v>
      </c>
      <c r="AW143" s="80">
        <v>1.53435563379025</v>
      </c>
      <c r="AX143" s="84">
        <v>5.4810643174948298E-2</v>
      </c>
      <c r="AY143" s="84">
        <v>0</v>
      </c>
      <c r="AZ143" s="80">
        <v>0.18414444884843301</v>
      </c>
      <c r="BA143" s="84">
        <v>3.88282115809023E-2</v>
      </c>
      <c r="BB143" s="79">
        <v>254.308507799403</v>
      </c>
      <c r="BC143" s="83">
        <v>199.52570382947101</v>
      </c>
      <c r="BD143" s="83">
        <v>253.463175180733</v>
      </c>
    </row>
    <row r="144" spans="1:56" s="44" customFormat="1" ht="12" customHeight="1">
      <c r="A144" s="47" t="s">
        <v>29</v>
      </c>
      <c r="B144" s="44" t="s">
        <v>259</v>
      </c>
      <c r="D144" s="79">
        <v>156.264088803986</v>
      </c>
      <c r="E144" s="79">
        <v>81.061986151221802</v>
      </c>
      <c r="F144" s="83">
        <v>163.217987982648</v>
      </c>
      <c r="G144" s="122">
        <f t="shared" si="4"/>
        <v>0.49664860566618213</v>
      </c>
      <c r="H144" s="86">
        <v>0</v>
      </c>
      <c r="I144" s="85">
        <v>0.274887408263988</v>
      </c>
      <c r="J144" s="85">
        <v>5.55661665864619E-3</v>
      </c>
      <c r="K144" s="85">
        <v>26.113952065787299</v>
      </c>
      <c r="L144" s="85">
        <v>0.51871915189867202</v>
      </c>
      <c r="M144" s="85">
        <v>0.68600747246502403</v>
      </c>
      <c r="N144" s="85">
        <v>5.4880221110624201E-3</v>
      </c>
      <c r="O144" s="85">
        <v>0.402742373874172</v>
      </c>
      <c r="P144" s="85">
        <v>0.184437182812659</v>
      </c>
      <c r="Q144" s="85">
        <v>4.1154360560900797E-3</v>
      </c>
      <c r="R144" s="85">
        <v>1.5083067344433001</v>
      </c>
      <c r="S144" s="83">
        <v>3334.2550000000001</v>
      </c>
      <c r="T144" s="89">
        <v>31.610000000000099</v>
      </c>
      <c r="U144" s="83">
        <v>3350.813252555</v>
      </c>
      <c r="V144" s="89">
        <v>19.558551211706401</v>
      </c>
      <c r="W144" s="83">
        <v>3367.3701314222599</v>
      </c>
      <c r="X144" s="89">
        <v>21.061978810677601</v>
      </c>
      <c r="Y144" s="83">
        <v>3421.2776260554901</v>
      </c>
      <c r="Z144" s="89">
        <v>70.229248735902203</v>
      </c>
      <c r="AA144" s="71">
        <f t="shared" si="5"/>
        <v>0.99507102503133582</v>
      </c>
      <c r="AB144" s="79">
        <v>32.731290000000001</v>
      </c>
      <c r="AC144" s="83">
        <v>611.24625829564297</v>
      </c>
      <c r="AD144" s="80">
        <v>4.8764555376221397</v>
      </c>
      <c r="AE144" s="83">
        <v>1222.5686515893101</v>
      </c>
      <c r="AF144" s="80">
        <v>2.7663427057726699</v>
      </c>
      <c r="AG144" s="80">
        <v>0.117980472660091</v>
      </c>
      <c r="AH144" s="80">
        <v>6.21713541930701E-2</v>
      </c>
      <c r="AI144" s="80">
        <v>8.9674215608800392</v>
      </c>
      <c r="AJ144" s="80">
        <v>0.109075504106682</v>
      </c>
      <c r="AK144" s="80">
        <v>2.1949256811096798</v>
      </c>
      <c r="AL144" s="80">
        <v>4.3739539192672003</v>
      </c>
      <c r="AM144" s="80">
        <v>0.27840479775782301</v>
      </c>
      <c r="AN144" s="79">
        <v>27.687288157143001</v>
      </c>
      <c r="AO144" s="80">
        <v>9.3685875273206403</v>
      </c>
      <c r="AP144" s="83">
        <v>109.812426070128</v>
      </c>
      <c r="AQ144" s="79">
        <v>40.065654444534403</v>
      </c>
      <c r="AR144" s="83">
        <v>169.55818192490099</v>
      </c>
      <c r="AS144" s="79">
        <v>32.692194804524597</v>
      </c>
      <c r="AT144" s="83">
        <v>276.09532337957103</v>
      </c>
      <c r="AU144" s="79">
        <v>51.918618501173299</v>
      </c>
      <c r="AV144" s="83">
        <v>9451.0605141320193</v>
      </c>
      <c r="AW144" s="80">
        <v>1.57805315487042</v>
      </c>
      <c r="AX144" s="84">
        <v>4.45878493446282E-2</v>
      </c>
      <c r="AY144" s="84">
        <v>0</v>
      </c>
      <c r="AZ144" s="86">
        <v>0</v>
      </c>
      <c r="BA144" s="84">
        <v>0</v>
      </c>
      <c r="BB144" s="79">
        <v>156.264088803986</v>
      </c>
      <c r="BC144" s="79">
        <v>81.061986151221802</v>
      </c>
      <c r="BD144" s="83">
        <v>163.217987982648</v>
      </c>
    </row>
    <row r="145" spans="1:56" s="44" customFormat="1" ht="12" customHeight="1">
      <c r="A145" s="47" t="s">
        <v>29</v>
      </c>
      <c r="B145" s="44" t="s">
        <v>260</v>
      </c>
      <c r="D145" s="79">
        <v>193.21526785618201</v>
      </c>
      <c r="E145" s="79">
        <v>97.3943481464201</v>
      </c>
      <c r="F145" s="83">
        <v>203.107245956063</v>
      </c>
      <c r="G145" s="122">
        <f t="shared" si="4"/>
        <v>0.47952178017070279</v>
      </c>
      <c r="H145" s="84">
        <v>8.0381500728722896E-2</v>
      </c>
      <c r="I145" s="85">
        <v>0.27282817390849001</v>
      </c>
      <c r="J145" s="85">
        <v>5.18630202275654E-3</v>
      </c>
      <c r="K145" s="85">
        <v>25.921399913840499</v>
      </c>
      <c r="L145" s="85">
        <v>0.48805140229090599</v>
      </c>
      <c r="M145" s="85">
        <v>0.68607426263909899</v>
      </c>
      <c r="N145" s="85">
        <v>5.4202969817231496E-3</v>
      </c>
      <c r="O145" s="85">
        <v>0.41960904617148898</v>
      </c>
      <c r="P145" s="85">
        <v>0.18175674296213301</v>
      </c>
      <c r="Q145" s="85">
        <v>3.8542012738200099E-3</v>
      </c>
      <c r="R145" s="85">
        <v>1.55720507691045</v>
      </c>
      <c r="S145" s="83">
        <v>3324.07</v>
      </c>
      <c r="T145" s="89">
        <v>29.760000000000201</v>
      </c>
      <c r="U145" s="83">
        <v>3343.5766930673599</v>
      </c>
      <c r="V145" s="89">
        <v>18.547511500270701</v>
      </c>
      <c r="W145" s="83">
        <v>3367.6254971928902</v>
      </c>
      <c r="X145" s="89">
        <v>20.803206310305399</v>
      </c>
      <c r="Y145" s="83">
        <v>3375.4845192008202</v>
      </c>
      <c r="Z145" s="89">
        <v>65.920500900840693</v>
      </c>
      <c r="AA145" s="71">
        <f t="shared" si="5"/>
        <v>0.99283323510639221</v>
      </c>
      <c r="AB145" s="79">
        <v>32.731290000000001</v>
      </c>
      <c r="AC145" s="83">
        <v>701.82832431491602</v>
      </c>
      <c r="AD145" s="80">
        <v>4.1884830698772202</v>
      </c>
      <c r="AE145" s="83">
        <v>1352.30399260117</v>
      </c>
      <c r="AF145" s="80">
        <v>4.83478876379327</v>
      </c>
      <c r="AG145" s="80">
        <v>2.6706044686080899E-2</v>
      </c>
      <c r="AH145" s="80">
        <v>1.6738723771795201E-2</v>
      </c>
      <c r="AI145" s="79">
        <v>10.253041511241401</v>
      </c>
      <c r="AJ145" s="80">
        <v>0.117583418939861</v>
      </c>
      <c r="AK145" s="80">
        <v>1.7993506590884201</v>
      </c>
      <c r="AL145" s="80">
        <v>4.8164669586977897</v>
      </c>
      <c r="AM145" s="84">
        <v>7.85548764682234E-2</v>
      </c>
      <c r="AN145" s="79">
        <v>30.023899380244998</v>
      </c>
      <c r="AO145" s="79">
        <v>10.433985869918899</v>
      </c>
      <c r="AP145" s="83">
        <v>117.035276757817</v>
      </c>
      <c r="AQ145" s="79">
        <v>43.690114211702998</v>
      </c>
      <c r="AR145" s="83">
        <v>181.25605663287499</v>
      </c>
      <c r="AS145" s="79">
        <v>34.0825637352062</v>
      </c>
      <c r="AT145" s="83">
        <v>281.85703321860399</v>
      </c>
      <c r="AU145" s="79">
        <v>51.368908177922002</v>
      </c>
      <c r="AV145" s="83">
        <v>11525.248498663799</v>
      </c>
      <c r="AW145" s="80">
        <v>2.2245783976004598</v>
      </c>
      <c r="AX145" s="84">
        <v>4.5449257316667498E-2</v>
      </c>
      <c r="AY145" s="84">
        <v>0</v>
      </c>
      <c r="AZ145" s="84">
        <v>8.0381500728722896E-2</v>
      </c>
      <c r="BA145" s="84">
        <v>0</v>
      </c>
      <c r="BB145" s="79">
        <v>193.21526785618201</v>
      </c>
      <c r="BC145" s="79">
        <v>97.3943481464201</v>
      </c>
      <c r="BD145" s="83">
        <v>203.107245956063</v>
      </c>
    </row>
    <row r="146" spans="1:56" s="44" customFormat="1" ht="12" customHeight="1">
      <c r="A146" s="47" t="s">
        <v>29</v>
      </c>
      <c r="B146" s="44" t="s">
        <v>261</v>
      </c>
      <c r="D146" s="79">
        <v>159.40006673334801</v>
      </c>
      <c r="E146" s="79">
        <v>97.7643808778965</v>
      </c>
      <c r="F146" s="83">
        <v>165.17478818856301</v>
      </c>
      <c r="G146" s="122">
        <f t="shared" si="4"/>
        <v>0.59188440288047472</v>
      </c>
      <c r="H146" s="86">
        <v>0</v>
      </c>
      <c r="I146" s="85">
        <v>0.27607455722401802</v>
      </c>
      <c r="J146" s="85">
        <v>5.20469709490481E-3</v>
      </c>
      <c r="K146" s="85">
        <v>25.9140384106413</v>
      </c>
      <c r="L146" s="85">
        <v>0.478373096454555</v>
      </c>
      <c r="M146" s="85">
        <v>0.67796492586693602</v>
      </c>
      <c r="N146" s="85">
        <v>5.1329271372954699E-3</v>
      </c>
      <c r="O146" s="85">
        <v>0.41013442529606198</v>
      </c>
      <c r="P146" s="85">
        <v>0.18334928954617699</v>
      </c>
      <c r="Q146" s="85">
        <v>3.7823944828258601E-3</v>
      </c>
      <c r="R146" s="85">
        <v>1.2632506432516</v>
      </c>
      <c r="S146" s="83">
        <v>3342.59</v>
      </c>
      <c r="T146" s="89">
        <v>29.6299999999999</v>
      </c>
      <c r="U146" s="83">
        <v>3343.2990043970699</v>
      </c>
      <c r="V146" s="89">
        <v>18.1901597007598</v>
      </c>
      <c r="W146" s="83">
        <v>3336.54604662471</v>
      </c>
      <c r="X146" s="89">
        <v>19.801844257804699</v>
      </c>
      <c r="Y146" s="83">
        <v>3402.7043729526899</v>
      </c>
      <c r="Z146" s="89">
        <v>64.605287597050093</v>
      </c>
      <c r="AA146" s="71">
        <f t="shared" si="5"/>
        <v>0.99797810945589915</v>
      </c>
      <c r="AB146" s="79">
        <v>32.731290000000001</v>
      </c>
      <c r="AC146" s="83">
        <v>610.84505702357103</v>
      </c>
      <c r="AD146" s="80">
        <v>4.0249893290937502</v>
      </c>
      <c r="AE146" s="83">
        <v>1151.6400663286599</v>
      </c>
      <c r="AF146" s="80">
        <v>2.4754742143984498</v>
      </c>
      <c r="AG146" s="80">
        <v>1.34503634256979E-2</v>
      </c>
      <c r="AH146" s="80">
        <v>1.6361054959889701E-3</v>
      </c>
      <c r="AI146" s="79">
        <v>10.6395242456832</v>
      </c>
      <c r="AJ146" s="80">
        <v>0.114608158703464</v>
      </c>
      <c r="AK146" s="80">
        <v>1.9548027410398101</v>
      </c>
      <c r="AL146" s="80">
        <v>4.8405893846437396</v>
      </c>
      <c r="AM146" s="80">
        <v>0.12917308589002699</v>
      </c>
      <c r="AN146" s="79">
        <v>27.264768291367901</v>
      </c>
      <c r="AO146" s="80">
        <v>9.1836281813085705</v>
      </c>
      <c r="AP146" s="83">
        <v>104.892531682103</v>
      </c>
      <c r="AQ146" s="79">
        <v>38.067911880480104</v>
      </c>
      <c r="AR146" s="83">
        <v>154.51002014707501</v>
      </c>
      <c r="AS146" s="79">
        <v>29.259904933276999</v>
      </c>
      <c r="AT146" s="83">
        <v>239.47347921060901</v>
      </c>
      <c r="AU146" s="79">
        <v>43.749705049245698</v>
      </c>
      <c r="AV146" s="83">
        <v>10278.165718066801</v>
      </c>
      <c r="AW146" s="80">
        <v>1.35345873146581</v>
      </c>
      <c r="AX146" s="84">
        <v>6.2754822284195905E-2</v>
      </c>
      <c r="AY146" s="84">
        <v>0</v>
      </c>
      <c r="AZ146" s="86">
        <v>0</v>
      </c>
      <c r="BA146" s="84">
        <v>4.6535024969511698E-3</v>
      </c>
      <c r="BB146" s="79">
        <v>159.40006673334801</v>
      </c>
      <c r="BC146" s="79">
        <v>97.7643808778965</v>
      </c>
      <c r="BD146" s="83">
        <v>165.17478818856301</v>
      </c>
    </row>
    <row r="147" spans="1:56" s="44" customFormat="1" ht="12" customHeight="1">
      <c r="A147" s="47" t="s">
        <v>29</v>
      </c>
      <c r="B147" s="44" t="s">
        <v>262</v>
      </c>
      <c r="D147" s="79">
        <v>182.30376043255299</v>
      </c>
      <c r="E147" s="83">
        <v>129.83342847303101</v>
      </c>
      <c r="F147" s="83">
        <v>187.504746301837</v>
      </c>
      <c r="G147" s="122">
        <f t="shared" si="4"/>
        <v>0.69242742401854074</v>
      </c>
      <c r="H147" s="86">
        <v>0</v>
      </c>
      <c r="I147" s="85">
        <v>0.27596703545416501</v>
      </c>
      <c r="J147" s="85">
        <v>5.0944077665427603E-3</v>
      </c>
      <c r="K147" s="85">
        <v>25.717790929005901</v>
      </c>
      <c r="L147" s="85">
        <v>0.464751894941278</v>
      </c>
      <c r="M147" s="85">
        <v>0.67303449644165203</v>
      </c>
      <c r="N147" s="85">
        <v>4.9191144101815801E-3</v>
      </c>
      <c r="O147" s="85">
        <v>0.40444744038560299</v>
      </c>
      <c r="P147" s="85">
        <v>0.17528712247662001</v>
      </c>
      <c r="Q147" s="85">
        <v>3.4588488659438002E-3</v>
      </c>
      <c r="R147" s="85">
        <v>1.0766163496404899</v>
      </c>
      <c r="S147" s="83">
        <v>3340.43</v>
      </c>
      <c r="T147" s="89">
        <v>28.882499999999698</v>
      </c>
      <c r="U147" s="83">
        <v>3335.8680717246698</v>
      </c>
      <c r="V147" s="89">
        <v>17.807502400496102</v>
      </c>
      <c r="W147" s="83">
        <v>3317.5764145234998</v>
      </c>
      <c r="X147" s="89">
        <v>19.038447755383199</v>
      </c>
      <c r="Y147" s="83">
        <v>3264.5270803387498</v>
      </c>
      <c r="Z147" s="89">
        <v>59.484224693898902</v>
      </c>
      <c r="AA147" s="71">
        <f t="shared" si="5"/>
        <v>0.99450159770958435</v>
      </c>
      <c r="AB147" s="79">
        <v>32.731290000000001</v>
      </c>
      <c r="AC147" s="83">
        <v>697.53479417614301</v>
      </c>
      <c r="AD147" s="80">
        <v>8.3276148367675695</v>
      </c>
      <c r="AE147" s="83">
        <v>1534.1921709874</v>
      </c>
      <c r="AF147" s="80">
        <v>2.5873307258864902</v>
      </c>
      <c r="AG147" s="80">
        <v>4.1541474726719402E-3</v>
      </c>
      <c r="AH147" s="80">
        <v>4.9523929716997301E-3</v>
      </c>
      <c r="AI147" s="79">
        <v>13.830317506759201</v>
      </c>
      <c r="AJ147" s="80">
        <v>0.150747297160223</v>
      </c>
      <c r="AK147" s="80">
        <v>2.69658477143189</v>
      </c>
      <c r="AL147" s="80">
        <v>5.8579982849151397</v>
      </c>
      <c r="AM147" s="80">
        <v>0.64672843294119098</v>
      </c>
      <c r="AN147" s="79">
        <v>34.635415900780302</v>
      </c>
      <c r="AO147" s="79">
        <v>12.1832257238067</v>
      </c>
      <c r="AP147" s="83">
        <v>140.28362795935101</v>
      </c>
      <c r="AQ147" s="79">
        <v>51.759228476666998</v>
      </c>
      <c r="AR147" s="83">
        <v>221.9036956699</v>
      </c>
      <c r="AS147" s="79">
        <v>42.433040895862</v>
      </c>
      <c r="AT147" s="83">
        <v>354.14592549046699</v>
      </c>
      <c r="AU147" s="79">
        <v>66.042791662108598</v>
      </c>
      <c r="AV147" s="83">
        <v>9304.0220715080595</v>
      </c>
      <c r="AW147" s="80">
        <v>1.11019333374949</v>
      </c>
      <c r="AX147" s="84">
        <v>7.2615210111237394E-2</v>
      </c>
      <c r="AY147" s="84">
        <v>0</v>
      </c>
      <c r="AZ147" s="86">
        <v>0</v>
      </c>
      <c r="BA147" s="84">
        <v>0</v>
      </c>
      <c r="BB147" s="79">
        <v>182.30376043255299</v>
      </c>
      <c r="BC147" s="83">
        <v>129.83342847303101</v>
      </c>
      <c r="BD147" s="83">
        <v>187.504746301837</v>
      </c>
    </row>
    <row r="148" spans="1:56" s="44" customFormat="1" ht="12" customHeight="1">
      <c r="A148" s="47" t="s">
        <v>29</v>
      </c>
      <c r="B148" s="44" t="s">
        <v>263</v>
      </c>
      <c r="D148" s="79">
        <v>245.300223173001</v>
      </c>
      <c r="E148" s="83">
        <v>120.911149963334</v>
      </c>
      <c r="F148" s="83">
        <v>261.64479382096198</v>
      </c>
      <c r="G148" s="122">
        <f t="shared" si="4"/>
        <v>0.4621194566786257</v>
      </c>
      <c r="H148" s="80">
        <v>0.12848123986532201</v>
      </c>
      <c r="I148" s="85">
        <v>0.27735584813222303</v>
      </c>
      <c r="J148" s="85">
        <v>4.9790394143765003E-3</v>
      </c>
      <c r="K148" s="85">
        <v>26.0115397960511</v>
      </c>
      <c r="L148" s="85">
        <v>0.47441886117087601</v>
      </c>
      <c r="M148" s="85">
        <v>0.67696314976942495</v>
      </c>
      <c r="N148" s="85">
        <v>5.4122196936009902E-3</v>
      </c>
      <c r="O148" s="85">
        <v>0.43834343201120202</v>
      </c>
      <c r="P148" s="85">
        <v>0.18173974363190801</v>
      </c>
      <c r="Q148" s="85">
        <v>3.5532705945071001E-3</v>
      </c>
      <c r="R148" s="85">
        <v>1.6093358166410301</v>
      </c>
      <c r="S148" s="83">
        <v>3348.09</v>
      </c>
      <c r="T148" s="89">
        <v>27.9100000000001</v>
      </c>
      <c r="U148" s="83">
        <v>3346.9707818944798</v>
      </c>
      <c r="V148" s="89">
        <v>17.9783845221713</v>
      </c>
      <c r="W148" s="83">
        <v>3332.6962688121098</v>
      </c>
      <c r="X148" s="89">
        <v>20.882804817197702</v>
      </c>
      <c r="Y148" s="83">
        <v>3375.1937683178899</v>
      </c>
      <c r="Z148" s="89">
        <v>60.774394026886597</v>
      </c>
      <c r="AA148" s="71">
        <f t="shared" si="5"/>
        <v>0.99572598065921258</v>
      </c>
      <c r="AB148" s="79">
        <v>32.731290000000001</v>
      </c>
      <c r="AC148" s="83">
        <v>769.65924268949402</v>
      </c>
      <c r="AD148" s="80">
        <v>6.7804128919402604</v>
      </c>
      <c r="AE148" s="83">
        <v>1708.8331287656199</v>
      </c>
      <c r="AF148" s="80">
        <v>5.2135804383745699</v>
      </c>
      <c r="AG148" s="80">
        <v>2.7343849192445799E-2</v>
      </c>
      <c r="AH148" s="80">
        <v>1.16429933276622E-2</v>
      </c>
      <c r="AI148" s="79">
        <v>10.7184021666222</v>
      </c>
      <c r="AJ148" s="80">
        <v>0.130962561695699</v>
      </c>
      <c r="AK148" s="80">
        <v>2.85374481448908</v>
      </c>
      <c r="AL148" s="80">
        <v>6.6821614985395499</v>
      </c>
      <c r="AM148" s="84">
        <v>9.6073756710537195E-2</v>
      </c>
      <c r="AN148" s="79">
        <v>42.276036299969498</v>
      </c>
      <c r="AO148" s="79">
        <v>14.2891926807931</v>
      </c>
      <c r="AP148" s="83">
        <v>161.537223867536</v>
      </c>
      <c r="AQ148" s="79">
        <v>57.155689497562797</v>
      </c>
      <c r="AR148" s="83">
        <v>229.53425550659099</v>
      </c>
      <c r="AS148" s="79">
        <v>42.254816662662897</v>
      </c>
      <c r="AT148" s="83">
        <v>343.73304027522101</v>
      </c>
      <c r="AU148" s="79">
        <v>62.801567178060303</v>
      </c>
      <c r="AV148" s="83">
        <v>11428.8574908295</v>
      </c>
      <c r="AW148" s="80">
        <v>2.74321843304832</v>
      </c>
      <c r="AX148" s="84">
        <v>5.32190805282323E-2</v>
      </c>
      <c r="AY148" s="84">
        <v>0</v>
      </c>
      <c r="AZ148" s="80">
        <v>0.12848123986532201</v>
      </c>
      <c r="BA148" s="84">
        <v>0</v>
      </c>
      <c r="BB148" s="79">
        <v>245.300223173001</v>
      </c>
      <c r="BC148" s="83">
        <v>120.911149963334</v>
      </c>
      <c r="BD148" s="83">
        <v>261.64479382096198</v>
      </c>
    </row>
    <row r="149" spans="1:56" s="41" customFormat="1" ht="12" customHeight="1">
      <c r="A149" s="47"/>
      <c r="D149" s="50"/>
      <c r="E149" s="60"/>
      <c r="F149" s="60"/>
      <c r="G149" s="122"/>
      <c r="H149" s="61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0"/>
      <c r="T149" s="69"/>
      <c r="U149" s="60"/>
      <c r="V149" s="69"/>
      <c r="W149" s="60"/>
      <c r="X149" s="69"/>
      <c r="Y149" s="60"/>
      <c r="Z149" s="69"/>
      <c r="AA149" s="71"/>
      <c r="AB149" s="50"/>
      <c r="AC149" s="60"/>
      <c r="AD149" s="61"/>
      <c r="AE149" s="60"/>
      <c r="AF149" s="61"/>
      <c r="AG149" s="61"/>
      <c r="AH149" s="61"/>
      <c r="AI149" s="50"/>
      <c r="AJ149" s="61"/>
      <c r="AK149" s="61"/>
      <c r="AL149" s="61"/>
      <c r="AM149" s="65"/>
      <c r="AN149" s="50"/>
      <c r="AO149" s="50"/>
      <c r="AP149" s="60"/>
      <c r="AQ149" s="50"/>
      <c r="AR149" s="60"/>
      <c r="AS149" s="50"/>
      <c r="AT149" s="60"/>
      <c r="AU149" s="50"/>
      <c r="AV149" s="60"/>
      <c r="AW149" s="61"/>
      <c r="AX149" s="65"/>
      <c r="AY149" s="65"/>
      <c r="AZ149" s="61"/>
      <c r="BA149" s="65"/>
      <c r="BB149" s="50"/>
      <c r="BC149" s="60"/>
      <c r="BD149" s="60"/>
    </row>
    <row r="150" spans="1:56" s="44" customFormat="1" ht="12" customHeight="1">
      <c r="A150" s="47" t="s">
        <v>32</v>
      </c>
      <c r="B150" s="44" t="s">
        <v>264</v>
      </c>
      <c r="D150" s="79">
        <v>98.007087052273803</v>
      </c>
      <c r="E150" s="79">
        <v>65.3137457539504</v>
      </c>
      <c r="F150" s="83">
        <v>100.514532602049</v>
      </c>
      <c r="G150" s="122">
        <f t="shared" si="4"/>
        <v>0.64979405527891765</v>
      </c>
      <c r="H150" s="80">
        <v>1.18332040085388</v>
      </c>
      <c r="I150" s="85">
        <v>0.27517347868540698</v>
      </c>
      <c r="J150" s="85">
        <v>5.4673121721079401E-3</v>
      </c>
      <c r="K150" s="85">
        <v>26.073789113399901</v>
      </c>
      <c r="L150" s="85">
        <v>0.54203863096092697</v>
      </c>
      <c r="M150" s="85">
        <v>0.68528803552362605</v>
      </c>
      <c r="N150" s="85">
        <v>6.0174419759557599E-3</v>
      </c>
      <c r="O150" s="85">
        <v>0.42238906903065898</v>
      </c>
      <c r="P150" s="85">
        <v>0.189592469498576</v>
      </c>
      <c r="Q150" s="85">
        <v>4.5899843084732297E-3</v>
      </c>
      <c r="R150" s="85">
        <v>1.1441572048998701</v>
      </c>
      <c r="S150" s="83">
        <v>3335.75</v>
      </c>
      <c r="T150" s="89">
        <v>31.04</v>
      </c>
      <c r="U150" s="83">
        <v>3349.30808596923</v>
      </c>
      <c r="V150" s="89">
        <v>20.455953719235598</v>
      </c>
      <c r="W150" s="83">
        <v>3364.6187923233501</v>
      </c>
      <c r="X150" s="89">
        <v>23.088982423271499</v>
      </c>
      <c r="Y150" s="83">
        <v>3509.0608562605298</v>
      </c>
      <c r="Z150" s="89">
        <v>77.987893808736203</v>
      </c>
      <c r="AA150" s="71">
        <f t="shared" si="5"/>
        <v>0.99543912031463355</v>
      </c>
      <c r="AB150" s="79">
        <v>32.731290000000001</v>
      </c>
      <c r="AC150" s="83">
        <v>3919.1413588468499</v>
      </c>
      <c r="AD150" s="80">
        <v>4.1870194005327699</v>
      </c>
      <c r="AE150" s="83">
        <v>1463.87974847839</v>
      </c>
      <c r="AF150" s="80">
        <v>1.32640407586464</v>
      </c>
      <c r="AG150" s="80">
        <v>0.42331597667464399</v>
      </c>
      <c r="AH150" s="80">
        <v>10.919848256495101</v>
      </c>
      <c r="AI150" s="79">
        <v>36.583775302981103</v>
      </c>
      <c r="AJ150" s="80">
        <v>5.6796702546361697</v>
      </c>
      <c r="AK150" s="79">
        <v>35.369795587341898</v>
      </c>
      <c r="AL150" s="79">
        <v>20.7285674616653</v>
      </c>
      <c r="AM150" s="80">
        <v>2.4143463252531299</v>
      </c>
      <c r="AN150" s="79">
        <v>56.340140600892298</v>
      </c>
      <c r="AO150" s="79">
        <v>14.917957457704199</v>
      </c>
      <c r="AP150" s="83">
        <v>153.84802352339301</v>
      </c>
      <c r="AQ150" s="79">
        <v>51.779669070904603</v>
      </c>
      <c r="AR150" s="83">
        <v>207.94638370339001</v>
      </c>
      <c r="AS150" s="79">
        <v>38.9708386207028</v>
      </c>
      <c r="AT150" s="83">
        <v>328.27045702749598</v>
      </c>
      <c r="AU150" s="79">
        <v>60.9733264753418</v>
      </c>
      <c r="AV150" s="83">
        <v>8461.3575260430898</v>
      </c>
      <c r="AW150" s="80">
        <v>0.76396841609542798</v>
      </c>
      <c r="AX150" s="84">
        <v>7.4834111714865106E-2</v>
      </c>
      <c r="AY150" s="84">
        <v>0</v>
      </c>
      <c r="AZ150" s="80">
        <v>1.18332040085388</v>
      </c>
      <c r="BA150" s="84">
        <v>4.4282203798067001E-3</v>
      </c>
      <c r="BB150" s="79">
        <v>98.007087052273803</v>
      </c>
      <c r="BC150" s="79">
        <v>65.3137457539504</v>
      </c>
      <c r="BD150" s="83">
        <v>100.514532602049</v>
      </c>
    </row>
    <row r="151" spans="1:56" s="44" customFormat="1" ht="12" customHeight="1">
      <c r="A151" s="47" t="s">
        <v>32</v>
      </c>
      <c r="B151" s="44" t="s">
        <v>265</v>
      </c>
      <c r="D151" s="79">
        <v>211.230071102202</v>
      </c>
      <c r="E151" s="83">
        <v>184.29748107790101</v>
      </c>
      <c r="F151" s="83">
        <v>216.84567624466999</v>
      </c>
      <c r="G151" s="122">
        <f t="shared" si="4"/>
        <v>0.84990157179779602</v>
      </c>
      <c r="H151" s="80">
        <v>1.3192392721596</v>
      </c>
      <c r="I151" s="85">
        <v>0.27636401587238202</v>
      </c>
      <c r="J151" s="85">
        <v>5.0898742824572697E-3</v>
      </c>
      <c r="K151" s="85">
        <v>25.072984675738201</v>
      </c>
      <c r="L151" s="85">
        <v>0.46738665478865499</v>
      </c>
      <c r="M151" s="85">
        <v>0.656421248715644</v>
      </c>
      <c r="N151" s="85">
        <v>4.6146034335884803E-3</v>
      </c>
      <c r="O151" s="85">
        <v>0.37712166383738499</v>
      </c>
      <c r="P151" s="85">
        <v>0.17793680680159099</v>
      </c>
      <c r="Q151" s="85">
        <v>3.71523460198928E-3</v>
      </c>
      <c r="R151" s="85">
        <v>0.890291190317686</v>
      </c>
      <c r="S151" s="83">
        <v>3342.28</v>
      </c>
      <c r="T151" s="89">
        <v>29.0150000000001</v>
      </c>
      <c r="U151" s="83">
        <v>3311.0623022579898</v>
      </c>
      <c r="V151" s="89">
        <v>18.340572566305699</v>
      </c>
      <c r="W151" s="83">
        <v>3253.2435188293898</v>
      </c>
      <c r="X151" s="89">
        <v>18.044703714117698</v>
      </c>
      <c r="Y151" s="83">
        <v>3310.0442508267902</v>
      </c>
      <c r="Z151" s="89">
        <v>63.749744379012903</v>
      </c>
      <c r="AA151" s="71">
        <f t="shared" si="5"/>
        <v>0.98238388490589179</v>
      </c>
      <c r="AB151" s="79">
        <v>32.731290000000001</v>
      </c>
      <c r="AC151" s="83">
        <v>1717.2528605201301</v>
      </c>
      <c r="AD151" s="80">
        <v>5.0456720142044098</v>
      </c>
      <c r="AE151" s="83">
        <v>2315.87327409821</v>
      </c>
      <c r="AF151" s="80">
        <v>2.35147179445711</v>
      </c>
      <c r="AG151" s="80">
        <v>0.28934192892021698</v>
      </c>
      <c r="AH151" s="80">
        <v>10.254267900642899</v>
      </c>
      <c r="AI151" s="79">
        <v>31.9379447123133</v>
      </c>
      <c r="AJ151" s="80">
        <v>4.6562122574110401</v>
      </c>
      <c r="AK151" s="79">
        <v>25.838179682413699</v>
      </c>
      <c r="AL151" s="79">
        <v>16.240015242105201</v>
      </c>
      <c r="AM151" s="80">
        <v>3.1589105755801499</v>
      </c>
      <c r="AN151" s="79">
        <v>65.883048640228196</v>
      </c>
      <c r="AO151" s="79">
        <v>20.871314369570499</v>
      </c>
      <c r="AP151" s="83">
        <v>229.06148817352101</v>
      </c>
      <c r="AQ151" s="79">
        <v>82.823506509974607</v>
      </c>
      <c r="AR151" s="83">
        <v>337.4873619288</v>
      </c>
      <c r="AS151" s="79">
        <v>62.742752785039698</v>
      </c>
      <c r="AT151" s="83">
        <v>527.16824018905095</v>
      </c>
      <c r="AU151" s="79">
        <v>97.615093193137</v>
      </c>
      <c r="AV151" s="83">
        <v>8390.7291761425204</v>
      </c>
      <c r="AW151" s="80">
        <v>0.80056772716259805</v>
      </c>
      <c r="AX151" s="84">
        <v>0.15898087666194899</v>
      </c>
      <c r="AY151" s="84">
        <v>0</v>
      </c>
      <c r="AZ151" s="80">
        <v>1.3192392721596</v>
      </c>
      <c r="BA151" s="84">
        <v>0</v>
      </c>
      <c r="BB151" s="79">
        <v>211.230071102202</v>
      </c>
      <c r="BC151" s="83">
        <v>184.29748107790101</v>
      </c>
      <c r="BD151" s="83">
        <v>216.84567624466999</v>
      </c>
    </row>
    <row r="152" spans="1:56" s="44" customFormat="1" ht="12" customHeight="1">
      <c r="A152" s="47" t="s">
        <v>32</v>
      </c>
      <c r="B152" s="44" t="s">
        <v>266</v>
      </c>
      <c r="D152" s="79">
        <v>88.300942509116297</v>
      </c>
      <c r="E152" s="79">
        <v>51.738556229328303</v>
      </c>
      <c r="F152" s="79">
        <v>90.583956336895397</v>
      </c>
      <c r="G152" s="122">
        <f t="shared" si="4"/>
        <v>0.57116688563375184</v>
      </c>
      <c r="H152" s="84">
        <v>7.3236700154327206E-2</v>
      </c>
      <c r="I152" s="85">
        <v>0.27377588172848399</v>
      </c>
      <c r="J152" s="85">
        <v>4.8786377686155496E-3</v>
      </c>
      <c r="K152" s="85">
        <v>26.2571168310864</v>
      </c>
      <c r="L152" s="85">
        <v>0.49138107796097402</v>
      </c>
      <c r="M152" s="85">
        <v>0.69382988290980097</v>
      </c>
      <c r="N152" s="85">
        <v>5.5500234009157297E-3</v>
      </c>
      <c r="O152" s="85">
        <v>0.427435335024758</v>
      </c>
      <c r="P152" s="85">
        <v>0.19310377649843999</v>
      </c>
      <c r="Q152" s="85">
        <v>4.0282942210491703E-3</v>
      </c>
      <c r="R152" s="85">
        <v>1.30743696241745</v>
      </c>
      <c r="S152" s="83">
        <v>3328.085</v>
      </c>
      <c r="T152" s="89">
        <v>27.774999999999899</v>
      </c>
      <c r="U152" s="83">
        <v>3356.1604864944502</v>
      </c>
      <c r="V152" s="89">
        <v>18.446663428889298</v>
      </c>
      <c r="W152" s="83">
        <v>3397.2097848528501</v>
      </c>
      <c r="X152" s="89">
        <v>21.201912139483401</v>
      </c>
      <c r="Y152" s="83">
        <v>3568.6331920569</v>
      </c>
      <c r="Z152" s="89">
        <v>68.242850667923094</v>
      </c>
      <c r="AA152" s="71">
        <f t="shared" si="5"/>
        <v>0.98784331475720766</v>
      </c>
      <c r="AB152" s="79">
        <v>32.731290000000001</v>
      </c>
      <c r="AC152" s="83">
        <v>538.50010702142401</v>
      </c>
      <c r="AD152" s="80">
        <v>8.4205600988257103</v>
      </c>
      <c r="AE152" s="83">
        <v>974.40071759262798</v>
      </c>
      <c r="AF152" s="80">
        <v>1.3345782863846101</v>
      </c>
      <c r="AG152" s="80">
        <v>0</v>
      </c>
      <c r="AH152" s="80">
        <v>6.5347023747837898E-3</v>
      </c>
      <c r="AI152" s="80">
        <v>4.4322319460173896</v>
      </c>
      <c r="AJ152" s="84">
        <v>8.0026794127961903E-2</v>
      </c>
      <c r="AK152" s="80">
        <v>1.6094899970027201</v>
      </c>
      <c r="AL152" s="80">
        <v>3.4766377172085998</v>
      </c>
      <c r="AM152" s="80">
        <v>0.44329432530961499</v>
      </c>
      <c r="AN152" s="79">
        <v>22.037486602583598</v>
      </c>
      <c r="AO152" s="80">
        <v>7.4707426345752497</v>
      </c>
      <c r="AP152" s="79">
        <v>92.308771114294501</v>
      </c>
      <c r="AQ152" s="79">
        <v>34.127457133275897</v>
      </c>
      <c r="AR152" s="83">
        <v>146.514159709078</v>
      </c>
      <c r="AS152" s="79">
        <v>28.649194410776101</v>
      </c>
      <c r="AT152" s="83">
        <v>246.63815535429899</v>
      </c>
      <c r="AU152" s="79">
        <v>47.189658095208202</v>
      </c>
      <c r="AV152" s="83">
        <v>8436.5043580816891</v>
      </c>
      <c r="AW152" s="80">
        <v>0.58601177173572805</v>
      </c>
      <c r="AX152" s="84">
        <v>4.4391855945386298E-2</v>
      </c>
      <c r="AY152" s="84">
        <v>0</v>
      </c>
      <c r="AZ152" s="84">
        <v>7.3236700154327206E-2</v>
      </c>
      <c r="BA152" s="84">
        <v>0</v>
      </c>
      <c r="BB152" s="79">
        <v>88.300942509116297</v>
      </c>
      <c r="BC152" s="79">
        <v>51.738556229328303</v>
      </c>
      <c r="BD152" s="79">
        <v>90.583956336895397</v>
      </c>
    </row>
    <row r="153" spans="1:56" s="4" customFormat="1" ht="12" customHeight="1">
      <c r="A153" s="101" t="s">
        <v>32</v>
      </c>
      <c r="B153" s="4" t="s">
        <v>267</v>
      </c>
      <c r="D153" s="128">
        <v>73.513056463766006</v>
      </c>
      <c r="E153" s="128">
        <v>29.460407258757499</v>
      </c>
      <c r="F153" s="128">
        <v>73.016379167544102</v>
      </c>
      <c r="G153" s="122">
        <f t="shared" si="4"/>
        <v>0.40347669378616213</v>
      </c>
      <c r="H153" s="129">
        <v>0</v>
      </c>
      <c r="I153" s="130">
        <v>0.27538588658289498</v>
      </c>
      <c r="J153" s="130">
        <v>4.6674724161984097E-3</v>
      </c>
      <c r="K153" s="130">
        <v>28.4187222758245</v>
      </c>
      <c r="L153" s="130">
        <v>0.50649624005155103</v>
      </c>
      <c r="M153" s="130">
        <v>0.74706484827113495</v>
      </c>
      <c r="N153" s="130">
        <v>6.2487099515955904E-3</v>
      </c>
      <c r="O153" s="130">
        <v>0.46931062490927</v>
      </c>
      <c r="P153" s="130">
        <v>0.18797649582401699</v>
      </c>
      <c r="Q153" s="130">
        <v>3.8776982022663302E-3</v>
      </c>
      <c r="R153" s="130">
        <v>1.84592183694715</v>
      </c>
      <c r="S153" s="131">
        <v>3336.72</v>
      </c>
      <c r="T153" s="110">
        <v>27.3125</v>
      </c>
      <c r="U153" s="131">
        <v>3433.6510979019399</v>
      </c>
      <c r="V153" s="110">
        <v>17.636882838449399</v>
      </c>
      <c r="W153" s="131">
        <v>3596.6939581102702</v>
      </c>
      <c r="X153" s="110">
        <v>23.1384848676229</v>
      </c>
      <c r="Y153" s="131">
        <v>3481.5853680609598</v>
      </c>
      <c r="Z153" s="110">
        <v>65.975145130340294</v>
      </c>
      <c r="AA153" s="71">
        <f t="shared" si="5"/>
        <v>0.95361739462022588</v>
      </c>
      <c r="AB153" s="128">
        <v>32.731290000000001</v>
      </c>
      <c r="AC153" s="131">
        <v>488.80552429956799</v>
      </c>
      <c r="AD153" s="122">
        <v>5.6300207639901902</v>
      </c>
      <c r="AE153" s="131">
        <v>585.29955119076806</v>
      </c>
      <c r="AF153" s="122">
        <v>1.08570054811739</v>
      </c>
      <c r="AG153" s="122">
        <v>1.22537692893964E-2</v>
      </c>
      <c r="AH153" s="122">
        <v>7.3679340284259999E-3</v>
      </c>
      <c r="AI153" s="122">
        <v>3.18350193877564</v>
      </c>
      <c r="AJ153" s="123">
        <v>2.5712623491555502E-2</v>
      </c>
      <c r="AK153" s="122">
        <v>0.73028729649905599</v>
      </c>
      <c r="AL153" s="122">
        <v>1.4996316791881801</v>
      </c>
      <c r="AM153" s="122">
        <v>0.25130450493760897</v>
      </c>
      <c r="AN153" s="128">
        <v>10.6315293820136</v>
      </c>
      <c r="AO153" s="122">
        <v>4.01707605824142</v>
      </c>
      <c r="AP153" s="128">
        <v>50.351173991173802</v>
      </c>
      <c r="AQ153" s="128">
        <v>19.783673552349399</v>
      </c>
      <c r="AR153" s="128">
        <v>89.218630233903795</v>
      </c>
      <c r="AS153" s="128">
        <v>18.2241420050239</v>
      </c>
      <c r="AT153" s="131">
        <v>164.412918701352</v>
      </c>
      <c r="AU153" s="128">
        <v>33.015409848466902</v>
      </c>
      <c r="AV153" s="131">
        <v>8872.0203388876198</v>
      </c>
      <c r="AW153" s="122">
        <v>0.457889381992304</v>
      </c>
      <c r="AX153" s="123">
        <v>0</v>
      </c>
      <c r="AY153" s="123">
        <v>0</v>
      </c>
      <c r="AZ153" s="129">
        <v>0</v>
      </c>
      <c r="BA153" s="123">
        <v>0</v>
      </c>
      <c r="BB153" s="128">
        <v>73.513056463766006</v>
      </c>
      <c r="BC153" s="128">
        <v>29.460407258757499</v>
      </c>
      <c r="BD153" s="128">
        <v>73.016379167544102</v>
      </c>
    </row>
    <row r="154" spans="1:56" s="44" customFormat="1" ht="12" customHeight="1">
      <c r="A154" s="47" t="s">
        <v>32</v>
      </c>
      <c r="B154" s="44" t="s">
        <v>268</v>
      </c>
      <c r="D154" s="79">
        <v>102.576066781289</v>
      </c>
      <c r="E154" s="79">
        <v>62.197430035313097</v>
      </c>
      <c r="F154" s="83">
        <v>109.568779832396</v>
      </c>
      <c r="G154" s="122">
        <f t="shared" si="4"/>
        <v>0.56765649969320275</v>
      </c>
      <c r="H154" s="80">
        <v>0.40553739680990097</v>
      </c>
      <c r="I154" s="85">
        <v>0.270008389347483</v>
      </c>
      <c r="J154" s="85">
        <v>4.0702851068226999E-3</v>
      </c>
      <c r="K154" s="85">
        <v>24.912422228452201</v>
      </c>
      <c r="L154" s="85">
        <v>0.40571335864338298</v>
      </c>
      <c r="M154" s="85">
        <v>0.66804738930628405</v>
      </c>
      <c r="N154" s="85">
        <v>5.4873820186333603E-3</v>
      </c>
      <c r="O154" s="85">
        <v>0.50437618562348696</v>
      </c>
      <c r="P154" s="85">
        <v>0.18822328608119299</v>
      </c>
      <c r="Q154" s="85">
        <v>3.6134656838042998E-3</v>
      </c>
      <c r="R154" s="85">
        <v>1.3457118141755999</v>
      </c>
      <c r="S154" s="83">
        <v>3305.8649999999998</v>
      </c>
      <c r="T154" s="89">
        <v>23.457500000000199</v>
      </c>
      <c r="U154" s="83">
        <v>3304.7900456348102</v>
      </c>
      <c r="V154" s="89">
        <v>16.055998017381199</v>
      </c>
      <c r="W154" s="83">
        <v>3298.3317607610702</v>
      </c>
      <c r="X154" s="89">
        <v>21.281457261268901</v>
      </c>
      <c r="Y154" s="83">
        <v>3485.7838206493402</v>
      </c>
      <c r="Z154" s="89">
        <v>61.466724786144802</v>
      </c>
      <c r="AA154" s="71">
        <f t="shared" si="5"/>
        <v>0.99804386922940469</v>
      </c>
      <c r="AB154" s="79">
        <v>32.731290000000001</v>
      </c>
      <c r="AC154" s="83">
        <v>630.93641530759305</v>
      </c>
      <c r="AD154" s="83">
        <v>149.46779440424501</v>
      </c>
      <c r="AE154" s="83">
        <v>1104.3178141805899</v>
      </c>
      <c r="AF154" s="80">
        <v>2.3243272868012599</v>
      </c>
      <c r="AG154" s="80">
        <v>138.04971466911999</v>
      </c>
      <c r="AH154" s="80">
        <v>1.3645193543509799</v>
      </c>
      <c r="AI154" s="80">
        <v>6.8056132410236696</v>
      </c>
      <c r="AJ154" s="80">
        <v>0.495546554389243</v>
      </c>
      <c r="AK154" s="80">
        <v>3.92885079999775</v>
      </c>
      <c r="AL154" s="80">
        <v>4.8140532243396397</v>
      </c>
      <c r="AM154" s="80">
        <v>0.72136865099895098</v>
      </c>
      <c r="AN154" s="79">
        <v>26.293546817996901</v>
      </c>
      <c r="AO154" s="80">
        <v>8.8056787580770699</v>
      </c>
      <c r="AP154" s="83">
        <v>101.925541210845</v>
      </c>
      <c r="AQ154" s="79">
        <v>38.882382685367098</v>
      </c>
      <c r="AR154" s="83">
        <v>162.42340431158999</v>
      </c>
      <c r="AS154" s="79">
        <v>31.443123907172499</v>
      </c>
      <c r="AT154" s="83">
        <v>268.60904322162401</v>
      </c>
      <c r="AU154" s="79">
        <v>52.362083002781603</v>
      </c>
      <c r="AV154" s="83">
        <v>7510.8653413797401</v>
      </c>
      <c r="AW154" s="80">
        <v>0.97182152151313805</v>
      </c>
      <c r="AX154" s="84">
        <v>0.46437257712990199</v>
      </c>
      <c r="AY154" s="84">
        <v>0</v>
      </c>
      <c r="AZ154" s="80">
        <v>0.40553739680990097</v>
      </c>
      <c r="BA154" s="84">
        <v>2.4534307926693599E-2</v>
      </c>
      <c r="BB154" s="79">
        <v>102.576066781289</v>
      </c>
      <c r="BC154" s="79">
        <v>62.197430035313097</v>
      </c>
      <c r="BD154" s="83">
        <v>109.568779832396</v>
      </c>
    </row>
    <row r="155" spans="1:56" s="44" customFormat="1" ht="12" customHeight="1">
      <c r="A155" s="47" t="s">
        <v>32</v>
      </c>
      <c r="B155" s="44" t="s">
        <v>269</v>
      </c>
      <c r="D155" s="79">
        <v>200.78874203714301</v>
      </c>
      <c r="E155" s="83">
        <v>163.79239018438699</v>
      </c>
      <c r="F155" s="83">
        <v>204.63727796322701</v>
      </c>
      <c r="G155" s="122">
        <f t="shared" si="4"/>
        <v>0.80040348373779791</v>
      </c>
      <c r="H155" s="80">
        <v>0.193797624466924</v>
      </c>
      <c r="I155" s="85">
        <v>0.272784818890007</v>
      </c>
      <c r="J155" s="85">
        <v>3.95120754423636E-3</v>
      </c>
      <c r="K155" s="85">
        <v>25.133744285930799</v>
      </c>
      <c r="L155" s="85">
        <v>0.38600611823937597</v>
      </c>
      <c r="M155" s="85">
        <v>0.66700019896821905</v>
      </c>
      <c r="N155" s="85">
        <v>4.6367298468976796E-3</v>
      </c>
      <c r="O155" s="85">
        <v>0.452635730265049</v>
      </c>
      <c r="P155" s="85">
        <v>0.17901970842530501</v>
      </c>
      <c r="Q155" s="85">
        <v>2.9434060517134898E-3</v>
      </c>
      <c r="R155" s="85">
        <v>0.93994664901234004</v>
      </c>
      <c r="S155" s="83">
        <v>3321.91</v>
      </c>
      <c r="T155" s="89">
        <v>23.607500000000101</v>
      </c>
      <c r="U155" s="83">
        <v>3313.4257641179402</v>
      </c>
      <c r="V155" s="89">
        <v>15.165926239393199</v>
      </c>
      <c r="W155" s="83">
        <v>3294.2834689812098</v>
      </c>
      <c r="X155" s="89">
        <v>18.018608266622401</v>
      </c>
      <c r="Y155" s="83">
        <v>3328.6172336968498</v>
      </c>
      <c r="Z155" s="89">
        <v>50.459542754615399</v>
      </c>
      <c r="AA155" s="71">
        <f t="shared" si="5"/>
        <v>0.99420607219190482</v>
      </c>
      <c r="AB155" s="79">
        <v>32.731290000000001</v>
      </c>
      <c r="AC155" s="83">
        <v>696.33990630549101</v>
      </c>
      <c r="AD155" s="80">
        <v>6.3186144490993197</v>
      </c>
      <c r="AE155" s="83">
        <v>2621.8190618468402</v>
      </c>
      <c r="AF155" s="80">
        <v>2.0208873066100099</v>
      </c>
      <c r="AG155" s="80">
        <v>0</v>
      </c>
      <c r="AH155" s="80">
        <v>0.835416379390167</v>
      </c>
      <c r="AI155" s="80">
        <v>8.1365477640610901</v>
      </c>
      <c r="AJ155" s="80">
        <v>0.62931155713460796</v>
      </c>
      <c r="AK155" s="80">
        <v>7.1566438840537199</v>
      </c>
      <c r="AL155" s="79">
        <v>11.754708162379499</v>
      </c>
      <c r="AM155" s="80">
        <v>1.4548957903833899</v>
      </c>
      <c r="AN155" s="79">
        <v>67.681435321196005</v>
      </c>
      <c r="AO155" s="79">
        <v>22.5923392960283</v>
      </c>
      <c r="AP155" s="83">
        <v>256.54356164328999</v>
      </c>
      <c r="AQ155" s="79">
        <v>94.278006799208498</v>
      </c>
      <c r="AR155" s="83">
        <v>383.86000433601498</v>
      </c>
      <c r="AS155" s="79">
        <v>72.396168182087195</v>
      </c>
      <c r="AT155" s="83">
        <v>592.85524457998304</v>
      </c>
      <c r="AU155" s="83">
        <v>111.530566910014</v>
      </c>
      <c r="AV155" s="83">
        <v>8147.98593314148</v>
      </c>
      <c r="AW155" s="80">
        <v>0.90030800463757199</v>
      </c>
      <c r="AX155" s="84">
        <v>7.0295733690091997E-2</v>
      </c>
      <c r="AY155" s="84">
        <v>0</v>
      </c>
      <c r="AZ155" s="80">
        <v>0.193797624466924</v>
      </c>
      <c r="BA155" s="84">
        <v>3.1579619079134102E-3</v>
      </c>
      <c r="BB155" s="79">
        <v>200.78874203714301</v>
      </c>
      <c r="BC155" s="83">
        <v>163.79239018438699</v>
      </c>
      <c r="BD155" s="83">
        <v>204.63727796322701</v>
      </c>
    </row>
    <row r="156" spans="1:56" s="44" customFormat="1" ht="12" customHeight="1">
      <c r="A156" s="47" t="s">
        <v>32</v>
      </c>
      <c r="B156" s="44" t="s">
        <v>270</v>
      </c>
      <c r="D156" s="79">
        <v>100.265416870165</v>
      </c>
      <c r="E156" s="79">
        <v>51.609365632490402</v>
      </c>
      <c r="F156" s="83">
        <v>101.644471853288</v>
      </c>
      <c r="G156" s="122">
        <f t="shared" si="4"/>
        <v>0.50774394998069872</v>
      </c>
      <c r="H156" s="84">
        <v>1.1141806248225399E-2</v>
      </c>
      <c r="I156" s="85">
        <v>0.27341227857117201</v>
      </c>
      <c r="J156" s="85">
        <v>4.1045307700368298E-3</v>
      </c>
      <c r="K156" s="85">
        <v>26.496506755509198</v>
      </c>
      <c r="L156" s="85">
        <v>0.41095942119815498</v>
      </c>
      <c r="M156" s="85">
        <v>0.70188252322382405</v>
      </c>
      <c r="N156" s="85">
        <v>4.7249240450627696E-3</v>
      </c>
      <c r="O156" s="85">
        <v>0.43403033392188201</v>
      </c>
      <c r="P156" s="85">
        <v>0.19125254132895</v>
      </c>
      <c r="Q156" s="85">
        <v>3.3006924602964E-3</v>
      </c>
      <c r="R156" s="85">
        <v>1.4883138442283199</v>
      </c>
      <c r="S156" s="83">
        <v>3325.61</v>
      </c>
      <c r="T156" s="89">
        <v>23.455000000000201</v>
      </c>
      <c r="U156" s="83">
        <v>3365.0393151561302</v>
      </c>
      <c r="V156" s="89">
        <v>15.347332188776001</v>
      </c>
      <c r="W156" s="83">
        <v>3427.7840772685799</v>
      </c>
      <c r="X156" s="89">
        <v>17.992597715062701</v>
      </c>
      <c r="Y156" s="83">
        <v>3537.2472827418601</v>
      </c>
      <c r="Z156" s="89">
        <v>56.003532051431002</v>
      </c>
      <c r="AA156" s="71">
        <f t="shared" si="5"/>
        <v>0.98152616121819913</v>
      </c>
      <c r="AB156" s="79">
        <v>32.731290000000001</v>
      </c>
      <c r="AC156" s="83">
        <v>514.16125846076397</v>
      </c>
      <c r="AD156" s="80">
        <v>5.7063659282723602</v>
      </c>
      <c r="AE156" s="83">
        <v>737.83578641271697</v>
      </c>
      <c r="AF156" s="80">
        <v>1.44855750088227</v>
      </c>
      <c r="AG156" s="80">
        <v>1.2017811405353501E-2</v>
      </c>
      <c r="AH156" s="80">
        <v>4.9165377774488504E-3</v>
      </c>
      <c r="AI156" s="80">
        <v>4.7968002206422398</v>
      </c>
      <c r="AJ156" s="84">
        <v>3.7811796630444601E-2</v>
      </c>
      <c r="AK156" s="80">
        <v>0.74319286904603798</v>
      </c>
      <c r="AL156" s="80">
        <v>2.10596526512531</v>
      </c>
      <c r="AM156" s="80">
        <v>0.29842723099405499</v>
      </c>
      <c r="AN156" s="79">
        <v>14.187812170710201</v>
      </c>
      <c r="AO156" s="80">
        <v>5.3557726152856198</v>
      </c>
      <c r="AP156" s="79">
        <v>64.802264186379503</v>
      </c>
      <c r="AQ156" s="79">
        <v>25.575314429479501</v>
      </c>
      <c r="AR156" s="83">
        <v>112.88775098438499</v>
      </c>
      <c r="AS156" s="79">
        <v>22.602485305705098</v>
      </c>
      <c r="AT156" s="83">
        <v>199.83555945666001</v>
      </c>
      <c r="AU156" s="79">
        <v>39.001549533923701</v>
      </c>
      <c r="AV156" s="83">
        <v>8734.4277145816905</v>
      </c>
      <c r="AW156" s="80">
        <v>0.64513449273377999</v>
      </c>
      <c r="AX156" s="84">
        <v>1.9857162854161101E-2</v>
      </c>
      <c r="AY156" s="84">
        <v>0</v>
      </c>
      <c r="AZ156" s="84">
        <v>1.1141806248225399E-2</v>
      </c>
      <c r="BA156" s="84">
        <v>0</v>
      </c>
      <c r="BB156" s="79">
        <v>100.265416870165</v>
      </c>
      <c r="BC156" s="79">
        <v>51.609365632490402</v>
      </c>
      <c r="BD156" s="83">
        <v>101.644471853288</v>
      </c>
    </row>
    <row r="157" spans="1:56" s="44" customFormat="1" ht="12" customHeight="1">
      <c r="A157" s="47" t="s">
        <v>32</v>
      </c>
      <c r="B157" s="44" t="s">
        <v>271</v>
      </c>
      <c r="D157" s="79">
        <v>130.29822358504799</v>
      </c>
      <c r="E157" s="79">
        <v>81.077729685479198</v>
      </c>
      <c r="F157" s="83">
        <v>135.88026042213801</v>
      </c>
      <c r="G157" s="122">
        <f t="shared" si="4"/>
        <v>0.59668512139729291</v>
      </c>
      <c r="H157" s="80">
        <v>0.23602115431027301</v>
      </c>
      <c r="I157" s="85">
        <v>0.272748075215409</v>
      </c>
      <c r="J157" s="85">
        <v>4.1759260493018802E-3</v>
      </c>
      <c r="K157" s="85">
        <v>25.3309290741925</v>
      </c>
      <c r="L157" s="85">
        <v>0.41137294745868103</v>
      </c>
      <c r="M157" s="85">
        <v>0.67245480981119599</v>
      </c>
      <c r="N157" s="85">
        <v>4.7937299769931097E-3</v>
      </c>
      <c r="O157" s="85">
        <v>0.438960916062688</v>
      </c>
      <c r="P157" s="85">
        <v>0.18018871945926199</v>
      </c>
      <c r="Q157" s="85">
        <v>3.0214252824622501E-3</v>
      </c>
      <c r="R157" s="85">
        <v>1.2695188944863001</v>
      </c>
      <c r="S157" s="83">
        <v>3321.91</v>
      </c>
      <c r="T157" s="89">
        <v>24.069999999999901</v>
      </c>
      <c r="U157" s="83">
        <v>3321.0582917710199</v>
      </c>
      <c r="V157" s="89">
        <v>16.023456342530299</v>
      </c>
      <c r="W157" s="83">
        <v>3315.3424213397998</v>
      </c>
      <c r="X157" s="89">
        <v>18.563780857181801</v>
      </c>
      <c r="Y157" s="83">
        <v>3348.6479521979199</v>
      </c>
      <c r="Z157" s="89">
        <v>51.7457393806867</v>
      </c>
      <c r="AA157" s="71">
        <f t="shared" si="5"/>
        <v>0.99827741853504182</v>
      </c>
      <c r="AB157" s="79">
        <v>32.731290000000001</v>
      </c>
      <c r="AC157" s="83">
        <v>553.27328648991295</v>
      </c>
      <c r="AD157" s="80">
        <v>5.1030131098632099</v>
      </c>
      <c r="AE157" s="83">
        <v>1101.28861138363</v>
      </c>
      <c r="AF157" s="80">
        <v>1.47708383900198</v>
      </c>
      <c r="AG157" s="80">
        <v>3.6276125774092102E-2</v>
      </c>
      <c r="AH157" s="80">
        <v>4.3594980267681197E-3</v>
      </c>
      <c r="AI157" s="80">
        <v>4.9776091406804603</v>
      </c>
      <c r="AJ157" s="84">
        <v>8.9299385642626294E-2</v>
      </c>
      <c r="AK157" s="80">
        <v>1.7537546932925301</v>
      </c>
      <c r="AL157" s="80">
        <v>3.9194472646438698</v>
      </c>
      <c r="AM157" s="80">
        <v>0.47630507842691799</v>
      </c>
      <c r="AN157" s="79">
        <v>24.5067426365475</v>
      </c>
      <c r="AO157" s="80">
        <v>8.2517619767849109</v>
      </c>
      <c r="AP157" s="83">
        <v>100.443630406211</v>
      </c>
      <c r="AQ157" s="79">
        <v>38.772531972433598</v>
      </c>
      <c r="AR157" s="83">
        <v>164.488886438946</v>
      </c>
      <c r="AS157" s="79">
        <v>32.091652014316402</v>
      </c>
      <c r="AT157" s="83">
        <v>278.31109837127002</v>
      </c>
      <c r="AU157" s="79">
        <v>53.560897419016399</v>
      </c>
      <c r="AV157" s="83">
        <v>8827.9190872581803</v>
      </c>
      <c r="AW157" s="80">
        <v>0.65463142156279996</v>
      </c>
      <c r="AX157" s="84">
        <v>1.7606044754215001E-2</v>
      </c>
      <c r="AY157" s="84">
        <v>0</v>
      </c>
      <c r="AZ157" s="80">
        <v>0.23602115431027301</v>
      </c>
      <c r="BA157" s="84">
        <v>9.6506672602135999E-4</v>
      </c>
      <c r="BB157" s="79">
        <v>130.29822358504799</v>
      </c>
      <c r="BC157" s="79">
        <v>81.077729685479198</v>
      </c>
      <c r="BD157" s="83">
        <v>135.88026042213801</v>
      </c>
    </row>
    <row r="158" spans="1:56" s="44" customFormat="1" ht="12" customHeight="1">
      <c r="A158" s="47" t="s">
        <v>32</v>
      </c>
      <c r="B158" s="44" t="s">
        <v>272</v>
      </c>
      <c r="D158" s="79">
        <v>152.189391811365</v>
      </c>
      <c r="E158" s="79">
        <v>97.393311048254603</v>
      </c>
      <c r="F158" s="83">
        <v>162.88458062132199</v>
      </c>
      <c r="G158" s="122">
        <f t="shared" si="4"/>
        <v>0.59792836545208006</v>
      </c>
      <c r="H158" s="86">
        <v>0</v>
      </c>
      <c r="I158" s="85">
        <v>0.272490072048857</v>
      </c>
      <c r="J158" s="85">
        <v>4.2250991664638101E-3</v>
      </c>
      <c r="K158" s="85">
        <v>24.700752184681999</v>
      </c>
      <c r="L158" s="85">
        <v>0.40874824624037898</v>
      </c>
      <c r="M158" s="85">
        <v>0.65659940753085899</v>
      </c>
      <c r="N158" s="85">
        <v>5.1457912994330099E-3</v>
      </c>
      <c r="O158" s="85">
        <v>0.47359374527444398</v>
      </c>
      <c r="P158" s="85">
        <v>0.17691247213561301</v>
      </c>
      <c r="Q158" s="85">
        <v>3.0822700312195901E-3</v>
      </c>
      <c r="R158" s="85">
        <v>1.2740134738353699</v>
      </c>
      <c r="S158" s="83">
        <v>3320.68</v>
      </c>
      <c r="T158" s="89">
        <v>25.150000000000102</v>
      </c>
      <c r="U158" s="83">
        <v>3296.4616534084798</v>
      </c>
      <c r="V158" s="89">
        <v>16.303623897977602</v>
      </c>
      <c r="W158" s="83">
        <v>3253.9368350705699</v>
      </c>
      <c r="X158" s="89">
        <v>20.101040414212399</v>
      </c>
      <c r="Y158" s="83">
        <v>3292.4600362310298</v>
      </c>
      <c r="Z158" s="89">
        <v>52.934731622675798</v>
      </c>
      <c r="AA158" s="71">
        <f t="shared" si="5"/>
        <v>0.98701611255782273</v>
      </c>
      <c r="AB158" s="79">
        <v>32.731290000000001</v>
      </c>
      <c r="AC158" s="83">
        <v>583.34161704014195</v>
      </c>
      <c r="AD158" s="80">
        <v>5.2229746109767703</v>
      </c>
      <c r="AE158" s="83">
        <v>1212.3994635721101</v>
      </c>
      <c r="AF158" s="80">
        <v>1.68881558260251</v>
      </c>
      <c r="AG158" s="80">
        <v>0.108840649543525</v>
      </c>
      <c r="AH158" s="80">
        <v>0.60236825320621101</v>
      </c>
      <c r="AI158" s="80">
        <v>7.01960955991298</v>
      </c>
      <c r="AJ158" s="80">
        <v>0.26507616947412899</v>
      </c>
      <c r="AK158" s="80">
        <v>2.4382506455495001</v>
      </c>
      <c r="AL158" s="80">
        <v>4.4524461309016399</v>
      </c>
      <c r="AM158" s="80">
        <v>0.499154003228578</v>
      </c>
      <c r="AN158" s="79">
        <v>26.479314121524599</v>
      </c>
      <c r="AO158" s="80">
        <v>9.1389649861234403</v>
      </c>
      <c r="AP158" s="83">
        <v>109.760048818317</v>
      </c>
      <c r="AQ158" s="79">
        <v>41.976594989905898</v>
      </c>
      <c r="AR158" s="83">
        <v>182.02028416694901</v>
      </c>
      <c r="AS158" s="79">
        <v>35.662171860649302</v>
      </c>
      <c r="AT158" s="83">
        <v>309.21891838212599</v>
      </c>
      <c r="AU158" s="79">
        <v>59.039750513701897</v>
      </c>
      <c r="AV158" s="83">
        <v>8677.1435424396404</v>
      </c>
      <c r="AW158" s="80">
        <v>0.76482213098157203</v>
      </c>
      <c r="AX158" s="84">
        <v>3.5209488856162298E-2</v>
      </c>
      <c r="AY158" s="84">
        <v>0</v>
      </c>
      <c r="AZ158" s="86">
        <v>0</v>
      </c>
      <c r="BA158" s="84">
        <v>9.6504248521190597E-4</v>
      </c>
      <c r="BB158" s="79">
        <v>152.189391811365</v>
      </c>
      <c r="BC158" s="79">
        <v>97.393311048254603</v>
      </c>
      <c r="BD158" s="83">
        <v>162.88458062132199</v>
      </c>
    </row>
    <row r="159" spans="1:56" s="44" customFormat="1" ht="12" customHeight="1">
      <c r="A159" s="47" t="s">
        <v>32</v>
      </c>
      <c r="B159" s="44" t="s">
        <v>273</v>
      </c>
      <c r="D159" s="79">
        <v>119.054192542455</v>
      </c>
      <c r="E159" s="79">
        <v>37.676744834088701</v>
      </c>
      <c r="F159" s="83">
        <v>133.48001854283001</v>
      </c>
      <c r="G159" s="122">
        <f t="shared" si="4"/>
        <v>0.28226505543973451</v>
      </c>
      <c r="H159" s="86">
        <v>0</v>
      </c>
      <c r="I159" s="85">
        <v>0.272969010905728</v>
      </c>
      <c r="J159" s="85">
        <v>4.5450871094921503E-3</v>
      </c>
      <c r="K159" s="85">
        <v>25.0710120979506</v>
      </c>
      <c r="L159" s="85">
        <v>0.43748797869748102</v>
      </c>
      <c r="M159" s="85">
        <v>0.665450270763153</v>
      </c>
      <c r="N159" s="85">
        <v>5.13410493159465E-3</v>
      </c>
      <c r="O159" s="85">
        <v>0.44213498104117499</v>
      </c>
      <c r="P159" s="85">
        <v>0.180259452104748</v>
      </c>
      <c r="Q159" s="85">
        <v>3.54527598220711E-3</v>
      </c>
      <c r="R159" s="85">
        <v>2.6751268879171302</v>
      </c>
      <c r="S159" s="83">
        <v>3323.145</v>
      </c>
      <c r="T159" s="89">
        <v>25.46</v>
      </c>
      <c r="U159" s="83">
        <v>3310.98547952933</v>
      </c>
      <c r="V159" s="89">
        <v>17.186874965998001</v>
      </c>
      <c r="W159" s="83">
        <v>3288.2869928303398</v>
      </c>
      <c r="X159" s="89">
        <v>19.951617539298599</v>
      </c>
      <c r="Y159" s="83">
        <v>3349.8593021470001</v>
      </c>
      <c r="Z159" s="89">
        <v>60.713708125080601</v>
      </c>
      <c r="AA159" s="71">
        <f t="shared" si="5"/>
        <v>0.99312091240540223</v>
      </c>
      <c r="AB159" s="79">
        <v>32.731290000000001</v>
      </c>
      <c r="AC159" s="83">
        <v>479.34103934714102</v>
      </c>
      <c r="AD159" s="80">
        <v>4.1591317866636199</v>
      </c>
      <c r="AE159" s="83">
        <v>520.86741852119201</v>
      </c>
      <c r="AF159" s="80">
        <v>1.07021292464951</v>
      </c>
      <c r="AG159" s="80">
        <v>0</v>
      </c>
      <c r="AH159" s="80">
        <v>2.0340079677548901E-3</v>
      </c>
      <c r="AI159" s="80">
        <v>2.9595867737873398</v>
      </c>
      <c r="AJ159" s="84">
        <v>2.18401865489499E-2</v>
      </c>
      <c r="AK159" s="80">
        <v>0.431818487750807</v>
      </c>
      <c r="AL159" s="80">
        <v>1.4365692536747601</v>
      </c>
      <c r="AM159" s="80">
        <v>0.241478223361766</v>
      </c>
      <c r="AN159" s="80">
        <v>9.4623384561544999</v>
      </c>
      <c r="AO159" s="80">
        <v>3.5360771855177902</v>
      </c>
      <c r="AP159" s="79">
        <v>43.058370734927301</v>
      </c>
      <c r="AQ159" s="79">
        <v>17.495616223721601</v>
      </c>
      <c r="AR159" s="79">
        <v>80.371199051747794</v>
      </c>
      <c r="AS159" s="79">
        <v>16.5509125983702</v>
      </c>
      <c r="AT159" s="83">
        <v>155.691752472753</v>
      </c>
      <c r="AU159" s="79">
        <v>32.441831525005298</v>
      </c>
      <c r="AV159" s="83">
        <v>8780.4809623054007</v>
      </c>
      <c r="AW159" s="80">
        <v>0.50286908231000005</v>
      </c>
      <c r="AX159" s="84">
        <v>2.3402020504960899E-2</v>
      </c>
      <c r="AY159" s="84">
        <v>0</v>
      </c>
      <c r="AZ159" s="86">
        <v>0</v>
      </c>
      <c r="BA159" s="84">
        <v>0</v>
      </c>
      <c r="BB159" s="79">
        <v>119.054192542455</v>
      </c>
      <c r="BC159" s="79">
        <v>37.676744834088701</v>
      </c>
      <c r="BD159" s="83">
        <v>133.48001854283001</v>
      </c>
    </row>
    <row r="160" spans="1:56" s="44" customFormat="1" ht="12" customHeight="1">
      <c r="A160" s="47" t="s">
        <v>32</v>
      </c>
      <c r="B160" s="44" t="s">
        <v>274</v>
      </c>
      <c r="D160" s="79">
        <v>88.056064882628306</v>
      </c>
      <c r="E160" s="79">
        <v>53.528688211392598</v>
      </c>
      <c r="F160" s="79">
        <v>90.711732337886502</v>
      </c>
      <c r="G160" s="122">
        <f t="shared" si="4"/>
        <v>0.59009663724651307</v>
      </c>
      <c r="H160" s="80">
        <v>0.25259621624273298</v>
      </c>
      <c r="I160" s="85">
        <v>0.27531256924493602</v>
      </c>
      <c r="J160" s="85">
        <v>4.3978506934857697E-3</v>
      </c>
      <c r="K160" s="85">
        <v>25.6950036389932</v>
      </c>
      <c r="L160" s="85">
        <v>0.42373999901351</v>
      </c>
      <c r="M160" s="85">
        <v>0.67608649628490902</v>
      </c>
      <c r="N160" s="85">
        <v>5.0115004459200304E-3</v>
      </c>
      <c r="O160" s="85">
        <v>0.44948451425978803</v>
      </c>
      <c r="P160" s="85">
        <v>0.181849471098359</v>
      </c>
      <c r="Q160" s="85">
        <v>3.2311971194095498E-3</v>
      </c>
      <c r="R160" s="85">
        <v>1.28516028666119</v>
      </c>
      <c r="S160" s="83">
        <v>3336.72</v>
      </c>
      <c r="T160" s="89">
        <v>19.599999999999898</v>
      </c>
      <c r="U160" s="83">
        <v>3335.0016939326301</v>
      </c>
      <c r="V160" s="89">
        <v>16.276325519764899</v>
      </c>
      <c r="W160" s="83">
        <v>3329.3254439328498</v>
      </c>
      <c r="X160" s="89">
        <v>19.358449467462702</v>
      </c>
      <c r="Y160" s="83">
        <v>3377.0704367349299</v>
      </c>
      <c r="Z160" s="89">
        <v>55.260585864927499</v>
      </c>
      <c r="AA160" s="71">
        <f t="shared" si="5"/>
        <v>0.99829652720151474</v>
      </c>
      <c r="AB160" s="79">
        <v>32.731290000000001</v>
      </c>
      <c r="AC160" s="83">
        <v>528.22809153887897</v>
      </c>
      <c r="AD160" s="80">
        <v>7.1010172773128497</v>
      </c>
      <c r="AE160" s="83">
        <v>1191.9946035929499</v>
      </c>
      <c r="AF160" s="80">
        <v>1.32736425022529</v>
      </c>
      <c r="AG160" s="80">
        <v>3.6340482488878001E-2</v>
      </c>
      <c r="AH160" s="80">
        <v>4.80127775040032E-2</v>
      </c>
      <c r="AI160" s="80">
        <v>4.5421421671275501</v>
      </c>
      <c r="AJ160" s="80">
        <v>0.115440454196356</v>
      </c>
      <c r="AK160" s="80">
        <v>2.3211797332658999</v>
      </c>
      <c r="AL160" s="80">
        <v>4.7083101753544403</v>
      </c>
      <c r="AM160" s="80">
        <v>0.60621706314602297</v>
      </c>
      <c r="AN160" s="79">
        <v>28.831058252980402</v>
      </c>
      <c r="AO160" s="80">
        <v>9.6877569157393602</v>
      </c>
      <c r="AP160" s="83">
        <v>111.954095391162</v>
      </c>
      <c r="AQ160" s="79">
        <v>42.076198518021798</v>
      </c>
      <c r="AR160" s="83">
        <v>175.82459165941299</v>
      </c>
      <c r="AS160" s="79">
        <v>33.828670539274803</v>
      </c>
      <c r="AT160" s="83">
        <v>289.58838766016902</v>
      </c>
      <c r="AU160" s="79">
        <v>55.074043129268702</v>
      </c>
      <c r="AV160" s="83">
        <v>8780.3037917254605</v>
      </c>
      <c r="AW160" s="80">
        <v>0.60879938941971401</v>
      </c>
      <c r="AX160" s="84">
        <v>2.9368008670636402E-2</v>
      </c>
      <c r="AY160" s="84">
        <v>0</v>
      </c>
      <c r="AZ160" s="80">
        <v>0.25259621624273298</v>
      </c>
      <c r="BA160" s="84">
        <v>0</v>
      </c>
      <c r="BB160" s="79">
        <v>88.056064882628306</v>
      </c>
      <c r="BC160" s="79">
        <v>53.528688211392598</v>
      </c>
      <c r="BD160" s="79">
        <v>90.711732337886502</v>
      </c>
    </row>
    <row r="161" spans="1:56" s="44" customFormat="1" ht="12" customHeight="1">
      <c r="A161" s="47" t="s">
        <v>32</v>
      </c>
      <c r="B161" s="44" t="s">
        <v>275</v>
      </c>
      <c r="D161" s="79">
        <v>63.213342186269998</v>
      </c>
      <c r="E161" s="79">
        <v>34.274137491839397</v>
      </c>
      <c r="F161" s="79">
        <v>67.242370521415197</v>
      </c>
      <c r="G161" s="122">
        <f t="shared" si="4"/>
        <v>0.50971042850019466</v>
      </c>
      <c r="H161" s="86">
        <v>0</v>
      </c>
      <c r="I161" s="85">
        <v>0.27271579080915698</v>
      </c>
      <c r="J161" s="85">
        <v>4.3883609051124E-3</v>
      </c>
      <c r="K161" s="85">
        <v>25.024652395843301</v>
      </c>
      <c r="L161" s="85">
        <v>0.406453603710417</v>
      </c>
      <c r="M161" s="85">
        <v>0.66465295750272002</v>
      </c>
      <c r="N161" s="85">
        <v>5.1133206855775203E-3</v>
      </c>
      <c r="O161" s="85">
        <v>0.47365831347152099</v>
      </c>
      <c r="P161" s="85">
        <v>0.17823644589444401</v>
      </c>
      <c r="Q161" s="85">
        <v>3.1409250176195501E-3</v>
      </c>
      <c r="R161" s="85">
        <v>1.4721538068431801</v>
      </c>
      <c r="S161" s="83">
        <v>3321.91</v>
      </c>
      <c r="T161" s="89">
        <v>25.175000000000001</v>
      </c>
      <c r="U161" s="83">
        <v>3309.1783092491501</v>
      </c>
      <c r="V161" s="89">
        <v>16.017130821400801</v>
      </c>
      <c r="W161" s="83">
        <v>3285.2001145833101</v>
      </c>
      <c r="X161" s="89">
        <v>19.880782033314201</v>
      </c>
      <c r="Y161" s="83">
        <v>3315.18510692258</v>
      </c>
      <c r="Z161" s="89">
        <v>53.881454829291698</v>
      </c>
      <c r="AA161" s="71">
        <f t="shared" si="5"/>
        <v>0.99272768618216345</v>
      </c>
      <c r="AB161" s="79">
        <v>32.731290000000001</v>
      </c>
      <c r="AC161" s="83">
        <v>492.33612341932701</v>
      </c>
      <c r="AD161" s="80">
        <v>8.2585568518197796</v>
      </c>
      <c r="AE161" s="83">
        <v>723.04735119990005</v>
      </c>
      <c r="AF161" s="80">
        <v>1.2133103562342999</v>
      </c>
      <c r="AG161" s="80">
        <v>0</v>
      </c>
      <c r="AH161" s="80">
        <v>5.8732638526421401E-3</v>
      </c>
      <c r="AI161" s="80">
        <v>3.5192187819942702</v>
      </c>
      <c r="AJ161" s="84">
        <v>4.1049955211490997E-2</v>
      </c>
      <c r="AK161" s="80">
        <v>1.12879024227031</v>
      </c>
      <c r="AL161" s="80">
        <v>2.3929090274300102</v>
      </c>
      <c r="AM161" s="80">
        <v>0.28396259303711902</v>
      </c>
      <c r="AN161" s="79">
        <v>14.6480432575447</v>
      </c>
      <c r="AO161" s="80">
        <v>5.26264592248525</v>
      </c>
      <c r="AP161" s="79">
        <v>65.907605536366503</v>
      </c>
      <c r="AQ161" s="79">
        <v>24.952365866140902</v>
      </c>
      <c r="AR161" s="83">
        <v>108.991216950724</v>
      </c>
      <c r="AS161" s="79">
        <v>21.748647025143999</v>
      </c>
      <c r="AT161" s="83">
        <v>191.48680799469901</v>
      </c>
      <c r="AU161" s="79">
        <v>36.498906995231501</v>
      </c>
      <c r="AV161" s="83">
        <v>8558.4246001439897</v>
      </c>
      <c r="AW161" s="80">
        <v>0.48890157540211399</v>
      </c>
      <c r="AX161" s="84">
        <v>0</v>
      </c>
      <c r="AY161" s="84">
        <v>0</v>
      </c>
      <c r="AZ161" s="86">
        <v>0</v>
      </c>
      <c r="BA161" s="84">
        <v>4.9288080828677899E-4</v>
      </c>
      <c r="BB161" s="79">
        <v>63.213342186269998</v>
      </c>
      <c r="BC161" s="79">
        <v>34.274137491839397</v>
      </c>
      <c r="BD161" s="79">
        <v>67.242370521415197</v>
      </c>
    </row>
    <row r="162" spans="1:56" s="44" customFormat="1" ht="12" customHeight="1">
      <c r="A162" s="47" t="s">
        <v>32</v>
      </c>
      <c r="B162" s="44" t="s">
        <v>276</v>
      </c>
      <c r="D162" s="79">
        <v>210.14778414690099</v>
      </c>
      <c r="E162" s="83">
        <v>157.88152835166699</v>
      </c>
      <c r="F162" s="83">
        <v>214.946244051467</v>
      </c>
      <c r="G162" s="122">
        <f t="shared" si="4"/>
        <v>0.73451633941490801</v>
      </c>
      <c r="H162" s="84">
        <v>2.99342758787117E-2</v>
      </c>
      <c r="I162" s="85">
        <v>0.268883491096785</v>
      </c>
      <c r="J162" s="85">
        <v>4.21205291838107E-3</v>
      </c>
      <c r="K162" s="85">
        <v>24.685091721857699</v>
      </c>
      <c r="L162" s="85">
        <v>0.38623051513443901</v>
      </c>
      <c r="M162" s="85">
        <v>0.66399434179529704</v>
      </c>
      <c r="N162" s="85">
        <v>4.2956723025455203E-3</v>
      </c>
      <c r="O162" s="85">
        <v>0.41348039923819102</v>
      </c>
      <c r="P162" s="85">
        <v>0.17687574387202901</v>
      </c>
      <c r="Q162" s="85">
        <v>2.7755102087421799E-3</v>
      </c>
      <c r="R162" s="85">
        <v>1.0157127546772899</v>
      </c>
      <c r="S162" s="83">
        <v>3299.69</v>
      </c>
      <c r="T162" s="89">
        <v>24.382500000000199</v>
      </c>
      <c r="U162" s="83">
        <v>3295.8427526435398</v>
      </c>
      <c r="V162" s="89">
        <v>15.432072935671901</v>
      </c>
      <c r="W162" s="83">
        <v>3282.6491025291398</v>
      </c>
      <c r="X162" s="89">
        <v>16.735834662940398</v>
      </c>
      <c r="Y162" s="83">
        <v>3291.8292572618302</v>
      </c>
      <c r="Z162" s="89">
        <v>47.667943325952102</v>
      </c>
      <c r="AA162" s="71">
        <f t="shared" si="5"/>
        <v>0.9959888526413464</v>
      </c>
      <c r="AB162" s="79">
        <v>32.731290000000001</v>
      </c>
      <c r="AC162" s="83">
        <v>573.06324140331105</v>
      </c>
      <c r="AD162" s="80">
        <v>5.44608674230434</v>
      </c>
      <c r="AE162" s="83">
        <v>2087.2066956939002</v>
      </c>
      <c r="AF162" s="80">
        <v>1.8926931846902699</v>
      </c>
      <c r="AG162" s="80">
        <v>3.8390587092133603E-2</v>
      </c>
      <c r="AH162" s="80">
        <v>5.6231465355765203E-2</v>
      </c>
      <c r="AI162" s="80">
        <v>6.5763035485204799</v>
      </c>
      <c r="AJ162" s="80">
        <v>0.27557138816182403</v>
      </c>
      <c r="AK162" s="80">
        <v>4.3970607102889296</v>
      </c>
      <c r="AL162" s="80">
        <v>7.9102391397231999</v>
      </c>
      <c r="AM162" s="80">
        <v>1.01862422628338</v>
      </c>
      <c r="AN162" s="79">
        <v>51.490447878826998</v>
      </c>
      <c r="AO162" s="79">
        <v>17.888596247831501</v>
      </c>
      <c r="AP162" s="83">
        <v>204.55102403366499</v>
      </c>
      <c r="AQ162" s="79">
        <v>74.926145475000297</v>
      </c>
      <c r="AR162" s="83">
        <v>314.75717940186797</v>
      </c>
      <c r="AS162" s="79">
        <v>58.899847382894102</v>
      </c>
      <c r="AT162" s="83">
        <v>496.22864211704501</v>
      </c>
      <c r="AU162" s="79">
        <v>93.455507230933506</v>
      </c>
      <c r="AV162" s="83">
        <v>8359.4665489077906</v>
      </c>
      <c r="AW162" s="80">
        <v>0.89410390024191899</v>
      </c>
      <c r="AX162" s="84">
        <v>4.3418402599903698E-2</v>
      </c>
      <c r="AY162" s="84">
        <v>0</v>
      </c>
      <c r="AZ162" s="84">
        <v>2.99342758787117E-2</v>
      </c>
      <c r="BA162" s="84">
        <v>0</v>
      </c>
      <c r="BB162" s="79">
        <v>210.14778414690099</v>
      </c>
      <c r="BC162" s="83">
        <v>157.88152835166699</v>
      </c>
      <c r="BD162" s="83">
        <v>214.946244051467</v>
      </c>
    </row>
    <row r="163" spans="1:56" s="44" customFormat="1" ht="12" customHeight="1">
      <c r="A163" s="47" t="s">
        <v>32</v>
      </c>
      <c r="B163" s="44" t="s">
        <v>277</v>
      </c>
      <c r="D163" s="80">
        <v>62.543463189295203</v>
      </c>
      <c r="E163" s="79">
        <v>28.769441210573099</v>
      </c>
      <c r="F163" s="79">
        <v>66.725929854645301</v>
      </c>
      <c r="G163" s="122">
        <f t="shared" si="4"/>
        <v>0.43115834089152433</v>
      </c>
      <c r="H163" s="80">
        <v>0.204259291116033</v>
      </c>
      <c r="I163" s="85">
        <v>0.26349515162536002</v>
      </c>
      <c r="J163" s="85">
        <v>4.9374414522509397E-3</v>
      </c>
      <c r="K163" s="85">
        <v>24.8455065334762</v>
      </c>
      <c r="L163" s="85">
        <v>0.48327515082144901</v>
      </c>
      <c r="M163" s="85">
        <v>0.68172975926157597</v>
      </c>
      <c r="N163" s="85">
        <v>6.5203917682354002E-3</v>
      </c>
      <c r="O163" s="85">
        <v>0.49171655268673298</v>
      </c>
      <c r="P163" s="85">
        <v>0.185103460252525</v>
      </c>
      <c r="Q163" s="85">
        <v>4.0439982840831997E-3</v>
      </c>
      <c r="R163" s="85">
        <v>1.72394676344927</v>
      </c>
      <c r="S163" s="83">
        <v>3267.585</v>
      </c>
      <c r="T163" s="89">
        <v>29.454999999999899</v>
      </c>
      <c r="U163" s="83">
        <v>3302.1645502891802</v>
      </c>
      <c r="V163" s="89">
        <v>19.118578742000501</v>
      </c>
      <c r="W163" s="83">
        <v>3350.9936008352402</v>
      </c>
      <c r="X163" s="89">
        <v>25.059414025449399</v>
      </c>
      <c r="Y163" s="83">
        <v>3432.644345749</v>
      </c>
      <c r="Z163" s="89">
        <v>68.971376509460399</v>
      </c>
      <c r="AA163" s="71">
        <f t="shared" si="5"/>
        <v>0.98532154220990298</v>
      </c>
      <c r="AB163" s="79">
        <v>32.731290000000001</v>
      </c>
      <c r="AC163" s="83">
        <v>474.54104159767297</v>
      </c>
      <c r="AD163" s="80">
        <v>3.8104931175146</v>
      </c>
      <c r="AE163" s="83">
        <v>629.52231258995198</v>
      </c>
      <c r="AF163" s="80">
        <v>1.0549046903432999</v>
      </c>
      <c r="AG163" s="80">
        <v>5.8719819110045904E-3</v>
      </c>
      <c r="AH163" s="80">
        <v>1.1365178777569301E-2</v>
      </c>
      <c r="AI163" s="80">
        <v>3.2189556301972599</v>
      </c>
      <c r="AJ163" s="84">
        <v>3.9229650984370597E-2</v>
      </c>
      <c r="AK163" s="80">
        <v>0.74616789936559802</v>
      </c>
      <c r="AL163" s="80">
        <v>2.0190835628989898</v>
      </c>
      <c r="AM163" s="80">
        <v>0.260992117896786</v>
      </c>
      <c r="AN163" s="79">
        <v>13.210115387168599</v>
      </c>
      <c r="AO163" s="80">
        <v>4.5612598316859696</v>
      </c>
      <c r="AP163" s="79">
        <v>55.788510481953999</v>
      </c>
      <c r="AQ163" s="79">
        <v>21.894786770602799</v>
      </c>
      <c r="AR163" s="79">
        <v>95.759085424477007</v>
      </c>
      <c r="AS163" s="79">
        <v>18.8859918413781</v>
      </c>
      <c r="AT163" s="83">
        <v>170.31584818909701</v>
      </c>
      <c r="AU163" s="79">
        <v>32.693794389281003</v>
      </c>
      <c r="AV163" s="83">
        <v>9149.5280642257003</v>
      </c>
      <c r="AW163" s="80">
        <v>0.44988588667233798</v>
      </c>
      <c r="AX163" s="84">
        <v>1.22930398150579E-2</v>
      </c>
      <c r="AY163" s="84">
        <v>0</v>
      </c>
      <c r="AZ163" s="80">
        <v>0.204259291116033</v>
      </c>
      <c r="BA163" s="84">
        <v>3.1952367048550799E-3</v>
      </c>
      <c r="BB163" s="80">
        <v>62.543463189295203</v>
      </c>
      <c r="BC163" s="79">
        <v>28.769441210573099</v>
      </c>
      <c r="BD163" s="79">
        <v>66.725929854645301</v>
      </c>
    </row>
    <row r="164" spans="1:56" s="44" customFormat="1" ht="12" customHeight="1">
      <c r="A164" s="47" t="s">
        <v>32</v>
      </c>
      <c r="B164" s="44" t="s">
        <v>278</v>
      </c>
      <c r="D164" s="79">
        <v>136.266823925246</v>
      </c>
      <c r="E164" s="83">
        <v>133.34430656502499</v>
      </c>
      <c r="F164" s="83">
        <v>128.95499029044899</v>
      </c>
      <c r="G164" s="122">
        <f t="shared" si="4"/>
        <v>1.0340375836924947</v>
      </c>
      <c r="H164" s="80">
        <v>0.142211024377181</v>
      </c>
      <c r="I164" s="85">
        <v>0.27372204023303298</v>
      </c>
      <c r="J164" s="85">
        <v>5.7356068747677399E-3</v>
      </c>
      <c r="K164" s="85">
        <v>25.434989201518899</v>
      </c>
      <c r="L164" s="85">
        <v>0.52686616894791305</v>
      </c>
      <c r="M164" s="85">
        <v>0.67161572634537303</v>
      </c>
      <c r="N164" s="85">
        <v>6.1074278812342604E-3</v>
      </c>
      <c r="O164" s="85">
        <v>0.43900426089716799</v>
      </c>
      <c r="P164" s="85">
        <v>0.181955476527867</v>
      </c>
      <c r="Q164" s="85">
        <v>3.6999924717958702E-3</v>
      </c>
      <c r="R164" s="85">
        <v>0.71901712698474296</v>
      </c>
      <c r="S164" s="83">
        <v>3327.47</v>
      </c>
      <c r="T164" s="89">
        <v>33.024999999999899</v>
      </c>
      <c r="U164" s="83">
        <v>3325.0631885013099</v>
      </c>
      <c r="V164" s="89">
        <v>20.3631487789429</v>
      </c>
      <c r="W164" s="83">
        <v>3312.1073940823999</v>
      </c>
      <c r="X164" s="89">
        <v>23.620478895880201</v>
      </c>
      <c r="Y164" s="83">
        <v>3378.8832817044399</v>
      </c>
      <c r="Z164" s="89">
        <v>63.272343499078197</v>
      </c>
      <c r="AA164" s="71">
        <f t="shared" si="5"/>
        <v>0.99609598871756988</v>
      </c>
      <c r="AB164" s="79">
        <v>32.731290000000001</v>
      </c>
      <c r="AC164" s="83">
        <v>664.16734815870996</v>
      </c>
      <c r="AD164" s="80">
        <v>7.0827224989466204</v>
      </c>
      <c r="AE164" s="83">
        <v>1632.39821377763</v>
      </c>
      <c r="AF164" s="80">
        <v>2.0455002236040198</v>
      </c>
      <c r="AG164" s="80">
        <v>5.6026672417954802E-2</v>
      </c>
      <c r="AH164" s="80">
        <v>2.99549298939451E-2</v>
      </c>
      <c r="AI164" s="79">
        <v>13.687904623691299</v>
      </c>
      <c r="AJ164" s="80">
        <v>0.134888980004464</v>
      </c>
      <c r="AK164" s="80">
        <v>2.62210926357149</v>
      </c>
      <c r="AL164" s="80">
        <v>5.3587904816339602</v>
      </c>
      <c r="AM164" s="80">
        <v>0.44503505056137199</v>
      </c>
      <c r="AN164" s="79">
        <v>33.705923461081703</v>
      </c>
      <c r="AO164" s="79">
        <v>12.3371106009782</v>
      </c>
      <c r="AP164" s="83">
        <v>145.505798189008</v>
      </c>
      <c r="AQ164" s="79">
        <v>56.941555184832502</v>
      </c>
      <c r="AR164" s="83">
        <v>252.903596778897</v>
      </c>
      <c r="AS164" s="79">
        <v>49.377957901956698</v>
      </c>
      <c r="AT164" s="83">
        <v>435.11821096860001</v>
      </c>
      <c r="AU164" s="79">
        <v>82.132475646034706</v>
      </c>
      <c r="AV164" s="83">
        <v>9025.4462159192899</v>
      </c>
      <c r="AW164" s="80">
        <v>0.75432878649921598</v>
      </c>
      <c r="AX164" s="84">
        <v>4.2312424130433797E-2</v>
      </c>
      <c r="AY164" s="84">
        <v>0</v>
      </c>
      <c r="AZ164" s="80">
        <v>0.142211024377181</v>
      </c>
      <c r="BA164" s="84">
        <v>0</v>
      </c>
      <c r="BB164" s="79">
        <v>136.266823925246</v>
      </c>
      <c r="BC164" s="83">
        <v>133.34430656502499</v>
      </c>
      <c r="BD164" s="83">
        <v>128.95499029044899</v>
      </c>
    </row>
    <row r="165" spans="1:56" s="44" customFormat="1" ht="12" customHeight="1">
      <c r="A165" s="47" t="s">
        <v>32</v>
      </c>
      <c r="B165" s="44" t="s">
        <v>279</v>
      </c>
      <c r="D165" s="79">
        <v>132.377857598812</v>
      </c>
      <c r="E165" s="83">
        <v>101.79117381016199</v>
      </c>
      <c r="F165" s="83">
        <v>133.84958237669801</v>
      </c>
      <c r="G165" s="122">
        <f t="shared" si="4"/>
        <v>0.76048928956451423</v>
      </c>
      <c r="H165" s="80">
        <v>0.64037096026337403</v>
      </c>
      <c r="I165" s="85">
        <v>0.26388919648262699</v>
      </c>
      <c r="J165" s="85">
        <v>6.4204497314493498E-3</v>
      </c>
      <c r="K165" s="85">
        <v>24.138520499709301</v>
      </c>
      <c r="L165" s="85">
        <v>0.56066251960854396</v>
      </c>
      <c r="M165" s="85">
        <v>0.66035325506662101</v>
      </c>
      <c r="N165" s="85">
        <v>4.8505678523297398E-3</v>
      </c>
      <c r="O165" s="85">
        <v>0.316246250078067</v>
      </c>
      <c r="P165" s="85">
        <v>0.18527117389401501</v>
      </c>
      <c r="Q165" s="85">
        <v>4.2927860894336704E-3</v>
      </c>
      <c r="R165" s="85">
        <v>0.97909581699086501</v>
      </c>
      <c r="S165" s="83">
        <v>3270.05</v>
      </c>
      <c r="T165" s="89">
        <v>39.045000000000101</v>
      </c>
      <c r="U165" s="83">
        <v>3274.00248868481</v>
      </c>
      <c r="V165" s="89">
        <v>22.755182686832999</v>
      </c>
      <c r="W165" s="83">
        <v>3268.5278580876002</v>
      </c>
      <c r="X165" s="89">
        <v>18.915128358534101</v>
      </c>
      <c r="Y165" s="83">
        <v>3435.5045404069301</v>
      </c>
      <c r="Z165" s="89">
        <v>73.204153458916196</v>
      </c>
      <c r="AA165" s="71">
        <f t="shared" si="5"/>
        <v>0.99832644854298291</v>
      </c>
      <c r="AB165" s="79">
        <v>32.731290000000001</v>
      </c>
      <c r="AC165" s="83">
        <v>1374.04978544649</v>
      </c>
      <c r="AD165" s="80">
        <v>5.0196356908956599</v>
      </c>
      <c r="AE165" s="83">
        <v>2170.6998301204499</v>
      </c>
      <c r="AF165" s="80">
        <v>1.7054802366656601</v>
      </c>
      <c r="AG165" s="80">
        <v>6.6119658245037502E-2</v>
      </c>
      <c r="AH165" s="80">
        <v>3.3844418645396401</v>
      </c>
      <c r="AI165" s="79">
        <v>13.3994234243891</v>
      </c>
      <c r="AJ165" s="80">
        <v>1.7086670326064599</v>
      </c>
      <c r="AK165" s="79">
        <v>12.7417187656102</v>
      </c>
      <c r="AL165" s="79">
        <v>13.181936105022</v>
      </c>
      <c r="AM165" s="80">
        <v>1.5874298555383</v>
      </c>
      <c r="AN165" s="79">
        <v>64.268164709617807</v>
      </c>
      <c r="AO165" s="79">
        <v>19.9910772255685</v>
      </c>
      <c r="AP165" s="83">
        <v>220.00491250591099</v>
      </c>
      <c r="AQ165" s="79">
        <v>78.968966805615693</v>
      </c>
      <c r="AR165" s="83">
        <v>321.43910833368898</v>
      </c>
      <c r="AS165" s="79">
        <v>58.8215462936774</v>
      </c>
      <c r="AT165" s="83">
        <v>486.60495117926399</v>
      </c>
      <c r="AU165" s="79">
        <v>89.274793373334404</v>
      </c>
      <c r="AV165" s="83">
        <v>8156.8380930051699</v>
      </c>
      <c r="AW165" s="80">
        <v>0.78141634668692905</v>
      </c>
      <c r="AX165" s="84">
        <v>0.118625767633141</v>
      </c>
      <c r="AY165" s="84">
        <v>0</v>
      </c>
      <c r="AZ165" s="80">
        <v>0.64037096026337403</v>
      </c>
      <c r="BA165" s="84">
        <v>8.1304267480976393E-5</v>
      </c>
      <c r="BB165" s="79">
        <v>132.377857598812</v>
      </c>
      <c r="BC165" s="83">
        <v>101.79117381016199</v>
      </c>
      <c r="BD165" s="83">
        <v>133.84958237669801</v>
      </c>
    </row>
    <row r="166" spans="1:56" s="44" customFormat="1" ht="12" customHeight="1">
      <c r="A166" s="47" t="s">
        <v>32</v>
      </c>
      <c r="B166" s="44" t="s">
        <v>280</v>
      </c>
      <c r="D166" s="79">
        <v>87.080125468782398</v>
      </c>
      <c r="E166" s="79">
        <v>35.659289716331102</v>
      </c>
      <c r="F166" s="79">
        <v>96.5885684356127</v>
      </c>
      <c r="G166" s="122">
        <f t="shared" si="4"/>
        <v>0.3691874752248977</v>
      </c>
      <c r="H166" s="86">
        <v>0</v>
      </c>
      <c r="I166" s="85">
        <v>0.26616960542037799</v>
      </c>
      <c r="J166" s="85">
        <v>6.7763804128751102E-3</v>
      </c>
      <c r="K166" s="85">
        <v>24.273515208795601</v>
      </c>
      <c r="L166" s="85">
        <v>0.60076461175525298</v>
      </c>
      <c r="M166" s="85">
        <v>0.65825753967543199</v>
      </c>
      <c r="N166" s="85">
        <v>6.3300053070215303E-3</v>
      </c>
      <c r="O166" s="85">
        <v>0.3885407403585</v>
      </c>
      <c r="P166" s="85">
        <v>0.178406476778353</v>
      </c>
      <c r="Q166" s="85">
        <v>4.4306211652511097E-3</v>
      </c>
      <c r="R166" s="85">
        <v>1.97574671871074</v>
      </c>
      <c r="S166" s="83">
        <v>3283.64</v>
      </c>
      <c r="T166" s="89">
        <v>40.122499999999903</v>
      </c>
      <c r="U166" s="83">
        <v>3279.44054194315</v>
      </c>
      <c r="V166" s="89">
        <v>24.238984111123699</v>
      </c>
      <c r="W166" s="83">
        <v>3260.3859866534799</v>
      </c>
      <c r="X166" s="89">
        <v>24.670561823899501</v>
      </c>
      <c r="Y166" s="83">
        <v>3318.10171599663</v>
      </c>
      <c r="Z166" s="89">
        <v>75.994768106416103</v>
      </c>
      <c r="AA166" s="71">
        <f t="shared" si="5"/>
        <v>0.99417276430610191</v>
      </c>
      <c r="AB166" s="79">
        <v>32.731290000000001</v>
      </c>
      <c r="AC166" s="83">
        <v>498.443835760448</v>
      </c>
      <c r="AD166" s="80">
        <v>5.2211194950148503</v>
      </c>
      <c r="AE166" s="83">
        <v>563.81575158276303</v>
      </c>
      <c r="AF166" s="80">
        <v>1.7796990034325799</v>
      </c>
      <c r="AG166" s="80">
        <v>0</v>
      </c>
      <c r="AH166" s="80">
        <v>3.0180308266924598E-3</v>
      </c>
      <c r="AI166" s="80">
        <v>3.79827665238941</v>
      </c>
      <c r="AJ166" s="84">
        <v>1.19765492076685E-2</v>
      </c>
      <c r="AK166" s="80">
        <v>0.31875890663214501</v>
      </c>
      <c r="AL166" s="80">
        <v>1.09960621185598</v>
      </c>
      <c r="AM166" s="80">
        <v>0.20641695423122</v>
      </c>
      <c r="AN166" s="80">
        <v>9.9841484234692608</v>
      </c>
      <c r="AO166" s="80">
        <v>3.6616211136810399</v>
      </c>
      <c r="AP166" s="79">
        <v>46.633260935580203</v>
      </c>
      <c r="AQ166" s="79">
        <v>19.230159301522399</v>
      </c>
      <c r="AR166" s="79">
        <v>86.649866629237707</v>
      </c>
      <c r="AS166" s="79">
        <v>18.081893247107399</v>
      </c>
      <c r="AT166" s="83">
        <v>164.72737612032199</v>
      </c>
      <c r="AU166" s="79">
        <v>32.864053050529499</v>
      </c>
      <c r="AV166" s="83">
        <v>9422.2001591877306</v>
      </c>
      <c r="AW166" s="80">
        <v>0.64136536293233204</v>
      </c>
      <c r="AX166" s="84">
        <v>3.0441352759049502E-2</v>
      </c>
      <c r="AY166" s="84">
        <v>0</v>
      </c>
      <c r="AZ166" s="86">
        <v>0</v>
      </c>
      <c r="BA166" s="84">
        <v>6.4917589685604803E-3</v>
      </c>
      <c r="BB166" s="79">
        <v>87.080125468782398</v>
      </c>
      <c r="BC166" s="79">
        <v>35.659289716331102</v>
      </c>
      <c r="BD166" s="79">
        <v>96.5885684356127</v>
      </c>
    </row>
    <row r="167" spans="1:56" s="44" customFormat="1" ht="12" customHeight="1">
      <c r="A167" s="47" t="s">
        <v>32</v>
      </c>
      <c r="B167" s="44" t="s">
        <v>281</v>
      </c>
      <c r="D167" s="79">
        <v>102.364457653404</v>
      </c>
      <c r="E167" s="79">
        <v>32.370808386375899</v>
      </c>
      <c r="F167" s="83">
        <v>131.01392602136099</v>
      </c>
      <c r="G167" s="122">
        <f t="shared" si="4"/>
        <v>0.24707914165626976</v>
      </c>
      <c r="H167" s="80">
        <v>0.63705295126805195</v>
      </c>
      <c r="I167" s="85">
        <v>0.25723625056419203</v>
      </c>
      <c r="J167" s="85">
        <v>6.1957858628353801E-3</v>
      </c>
      <c r="K167" s="85">
        <v>20.763843507840299</v>
      </c>
      <c r="L167" s="85">
        <v>0.48415463736657699</v>
      </c>
      <c r="M167" s="85">
        <v>0.58247397662559497</v>
      </c>
      <c r="N167" s="85">
        <v>5.06426131679055E-3</v>
      </c>
      <c r="O167" s="85">
        <v>0.372874969876273</v>
      </c>
      <c r="P167" s="85">
        <v>0.181557382631683</v>
      </c>
      <c r="Q167" s="85">
        <v>4.2393178675158997E-3</v>
      </c>
      <c r="R167" s="85">
        <v>2.9346139682536898</v>
      </c>
      <c r="S167" s="83">
        <v>3231.48</v>
      </c>
      <c r="T167" s="89">
        <v>38.267499999999899</v>
      </c>
      <c r="U167" s="83">
        <v>3127.6336885660899</v>
      </c>
      <c r="V167" s="89">
        <v>22.687936692991599</v>
      </c>
      <c r="W167" s="83">
        <v>2958.8359737668602</v>
      </c>
      <c r="X167" s="89">
        <v>20.6917096657432</v>
      </c>
      <c r="Y167" s="83">
        <v>3372.0744633825898</v>
      </c>
      <c r="Z167" s="89">
        <v>72.519593419891393</v>
      </c>
      <c r="AA167" s="71">
        <f t="shared" si="5"/>
        <v>0.9445334572703582</v>
      </c>
      <c r="AB167" s="79">
        <v>32.731290000000001</v>
      </c>
      <c r="AC167" s="83">
        <v>448.17042981124001</v>
      </c>
      <c r="AD167" s="80">
        <v>4.0494308598203501</v>
      </c>
      <c r="AE167" s="83">
        <v>501.023973512883</v>
      </c>
      <c r="AF167" s="80">
        <v>1.76167709815979</v>
      </c>
      <c r="AG167" s="80">
        <v>1.49802618696724</v>
      </c>
      <c r="AH167" s="80">
        <v>2.2962536946839398</v>
      </c>
      <c r="AI167" s="80">
        <v>6.5964774785437701</v>
      </c>
      <c r="AJ167" s="80">
        <v>0.67858835398212503</v>
      </c>
      <c r="AK167" s="80">
        <v>2.9673018531319899</v>
      </c>
      <c r="AL167" s="80">
        <v>1.5542799880312299</v>
      </c>
      <c r="AM167" s="80">
        <v>0.71267002162328796</v>
      </c>
      <c r="AN167" s="80">
        <v>8.0278745430719098</v>
      </c>
      <c r="AO167" s="80">
        <v>2.9609843403637002</v>
      </c>
      <c r="AP167" s="79">
        <v>39.952396084158899</v>
      </c>
      <c r="AQ167" s="79">
        <v>15.7847497766465</v>
      </c>
      <c r="AR167" s="79">
        <v>73.717630064989606</v>
      </c>
      <c r="AS167" s="79">
        <v>15.533131350767</v>
      </c>
      <c r="AT167" s="83">
        <v>147.52822536619499</v>
      </c>
      <c r="AU167" s="79">
        <v>29.9907195670242</v>
      </c>
      <c r="AV167" s="83">
        <v>9922.5141939937694</v>
      </c>
      <c r="AW167" s="80">
        <v>1.03991382225523</v>
      </c>
      <c r="AX167" s="84">
        <v>0.113499606265066</v>
      </c>
      <c r="AY167" s="84">
        <v>0</v>
      </c>
      <c r="AZ167" s="80">
        <v>0.63705295126805195</v>
      </c>
      <c r="BA167" s="84">
        <v>0</v>
      </c>
      <c r="BB167" s="79">
        <v>102.364457653404</v>
      </c>
      <c r="BC167" s="79">
        <v>32.370808386375899</v>
      </c>
      <c r="BD167" s="83">
        <v>131.01392602136099</v>
      </c>
    </row>
    <row r="168" spans="1:56" s="44" customFormat="1" ht="12" customHeight="1">
      <c r="A168" s="47" t="s">
        <v>32</v>
      </c>
      <c r="B168" s="44" t="s">
        <v>282</v>
      </c>
      <c r="D168" s="79">
        <v>88.109036443912998</v>
      </c>
      <c r="E168" s="79">
        <v>36.9467623832711</v>
      </c>
      <c r="F168" s="79">
        <v>96.953856175216004</v>
      </c>
      <c r="G168" s="122">
        <f t="shared" si="4"/>
        <v>0.381075738921622</v>
      </c>
      <c r="H168" s="86">
        <v>0</v>
      </c>
      <c r="I168" s="85">
        <v>0.26349160898962398</v>
      </c>
      <c r="J168" s="85">
        <v>6.0209729893495904E-3</v>
      </c>
      <c r="K168" s="85">
        <v>24.207399661358501</v>
      </c>
      <c r="L168" s="85">
        <v>0.53107921935369495</v>
      </c>
      <c r="M168" s="85">
        <v>0.66319836680073996</v>
      </c>
      <c r="N168" s="85">
        <v>5.5747628014637196E-3</v>
      </c>
      <c r="O168" s="85">
        <v>0.38315260060226503</v>
      </c>
      <c r="P168" s="85">
        <v>0.17758336653656301</v>
      </c>
      <c r="Q168" s="85">
        <v>3.9309439650483304E-3</v>
      </c>
      <c r="R168" s="85">
        <v>1.91707272476155</v>
      </c>
      <c r="S168" s="83">
        <v>3267.585</v>
      </c>
      <c r="T168" s="89">
        <v>36.1099999999999</v>
      </c>
      <c r="U168" s="83">
        <v>3276.7808181650598</v>
      </c>
      <c r="V168" s="89">
        <v>21.5082124531055</v>
      </c>
      <c r="W168" s="83">
        <v>3279.5647097446999</v>
      </c>
      <c r="X168" s="89">
        <v>21.679756262042499</v>
      </c>
      <c r="Y168" s="83">
        <v>3303.9786560623602</v>
      </c>
      <c r="Z168" s="89">
        <v>67.471348101400494</v>
      </c>
      <c r="AA168" s="71">
        <f t="shared" si="5"/>
        <v>0.99915077947988273</v>
      </c>
      <c r="AB168" s="79">
        <v>32.731290000000001</v>
      </c>
      <c r="AC168" s="83">
        <v>478.75178443128198</v>
      </c>
      <c r="AD168" s="80">
        <v>3.7673829828703802</v>
      </c>
      <c r="AE168" s="83">
        <v>571.74537473085604</v>
      </c>
      <c r="AF168" s="80">
        <v>1.8562804952158301</v>
      </c>
      <c r="AG168" s="80">
        <v>0</v>
      </c>
      <c r="AH168" s="80">
        <v>1.5488763630100301E-3</v>
      </c>
      <c r="AI168" s="80">
        <v>3.9410049840137602</v>
      </c>
      <c r="AJ168" s="84">
        <v>2.85634281750719E-2</v>
      </c>
      <c r="AK168" s="80">
        <v>0.41235703525363598</v>
      </c>
      <c r="AL168" s="80">
        <v>1.30428405789212</v>
      </c>
      <c r="AM168" s="80">
        <v>0.16559872834872399</v>
      </c>
      <c r="AN168" s="80">
        <v>9.0538225209497991</v>
      </c>
      <c r="AO168" s="80">
        <v>3.64698615372355</v>
      </c>
      <c r="AP168" s="79">
        <v>46.632148907082197</v>
      </c>
      <c r="AQ168" s="79">
        <v>19.412289481340402</v>
      </c>
      <c r="AR168" s="79">
        <v>88.422520180739198</v>
      </c>
      <c r="AS168" s="79">
        <v>18.541309473222</v>
      </c>
      <c r="AT168" s="83">
        <v>169.44431232675299</v>
      </c>
      <c r="AU168" s="79">
        <v>33.355808955074501</v>
      </c>
      <c r="AV168" s="83">
        <v>9495.52779717866</v>
      </c>
      <c r="AW168" s="80">
        <v>0.73772857161837602</v>
      </c>
      <c r="AX168" s="84">
        <v>1.24962930910065E-2</v>
      </c>
      <c r="AY168" s="84">
        <v>0</v>
      </c>
      <c r="AZ168" s="86">
        <v>0</v>
      </c>
      <c r="BA168" s="84">
        <v>6.6628876893342999E-3</v>
      </c>
      <c r="BB168" s="79">
        <v>88.109036443912998</v>
      </c>
      <c r="BC168" s="79">
        <v>36.9467623832711</v>
      </c>
      <c r="BD168" s="79">
        <v>96.953856175216004</v>
      </c>
    </row>
    <row r="169" spans="1:56" s="44" customFormat="1" ht="12" customHeight="1">
      <c r="A169" s="47" t="s">
        <v>32</v>
      </c>
      <c r="B169" s="44" t="s">
        <v>283</v>
      </c>
      <c r="D169" s="79">
        <v>93.404724636004403</v>
      </c>
      <c r="E169" s="79">
        <v>66.0231572524835</v>
      </c>
      <c r="F169" s="79">
        <v>99.074991094287995</v>
      </c>
      <c r="G169" s="122">
        <f t="shared" si="4"/>
        <v>0.66639579295697715</v>
      </c>
      <c r="H169" s="84">
        <v>6.4870675024035707E-2</v>
      </c>
      <c r="I169" s="85">
        <v>0.26372676826602898</v>
      </c>
      <c r="J169" s="85">
        <v>5.7929300291472896E-3</v>
      </c>
      <c r="K169" s="85">
        <v>23.830760968131901</v>
      </c>
      <c r="L169" s="85">
        <v>0.51130561994197499</v>
      </c>
      <c r="M169" s="85">
        <v>0.65236895569078002</v>
      </c>
      <c r="N169" s="85">
        <v>5.9871935473083801E-3</v>
      </c>
      <c r="O169" s="85">
        <v>0.42774737790152001</v>
      </c>
      <c r="P169" s="85">
        <v>0.178214444165471</v>
      </c>
      <c r="Q169" s="85">
        <v>3.94191427596805E-3</v>
      </c>
      <c r="R169" s="85">
        <v>1.1065586330463499</v>
      </c>
      <c r="S169" s="83">
        <v>3269.08</v>
      </c>
      <c r="T169" s="89">
        <v>34.567499999999903</v>
      </c>
      <c r="U169" s="83">
        <v>3261.4948938175298</v>
      </c>
      <c r="V169" s="89">
        <v>21.025679335206899</v>
      </c>
      <c r="W169" s="83">
        <v>3237.4535952184501</v>
      </c>
      <c r="X169" s="89">
        <v>23.423268236834598</v>
      </c>
      <c r="Y169" s="83">
        <v>3314.8076715403699</v>
      </c>
      <c r="Z169" s="89">
        <v>67.623404267760293</v>
      </c>
      <c r="AA169" s="71">
        <f t="shared" si="5"/>
        <v>0.99260148048883956</v>
      </c>
      <c r="AB169" s="79">
        <v>32.731290000000001</v>
      </c>
      <c r="AC169" s="83">
        <v>576.83500826796399</v>
      </c>
      <c r="AD169" s="80">
        <v>3.3034176443872201</v>
      </c>
      <c r="AE169" s="83">
        <v>1439.80287018374</v>
      </c>
      <c r="AF169" s="80">
        <v>1.2521707823600901</v>
      </c>
      <c r="AG169" s="80">
        <v>0.45726591533425298</v>
      </c>
      <c r="AH169" s="80">
        <v>0.27123412441088801</v>
      </c>
      <c r="AI169" s="80">
        <v>5.3976462355815098</v>
      </c>
      <c r="AJ169" s="80">
        <v>0.32208487485623399</v>
      </c>
      <c r="AK169" s="80">
        <v>4.2874136982913704</v>
      </c>
      <c r="AL169" s="80">
        <v>6.71007354808106</v>
      </c>
      <c r="AM169" s="80">
        <v>0.86963809879402298</v>
      </c>
      <c r="AN169" s="79">
        <v>39.213247717295999</v>
      </c>
      <c r="AO169" s="79">
        <v>12.357433322286701</v>
      </c>
      <c r="AP169" s="83">
        <v>140.49821212497699</v>
      </c>
      <c r="AQ169" s="79">
        <v>51.487046545644397</v>
      </c>
      <c r="AR169" s="83">
        <v>209.93318635713999</v>
      </c>
      <c r="AS169" s="79">
        <v>40.283686048037602</v>
      </c>
      <c r="AT169" s="83">
        <v>335.27924557422</v>
      </c>
      <c r="AU169" s="79">
        <v>63.149589044004401</v>
      </c>
      <c r="AV169" s="83">
        <v>8580.2987590477605</v>
      </c>
      <c r="AW169" s="80">
        <v>0.56114233745106201</v>
      </c>
      <c r="AX169" s="84">
        <v>7.3752703986936105E-2</v>
      </c>
      <c r="AY169" s="84">
        <v>0</v>
      </c>
      <c r="AZ169" s="84">
        <v>6.4870675024035707E-2</v>
      </c>
      <c r="BA169" s="84">
        <v>0</v>
      </c>
      <c r="BB169" s="79">
        <v>93.404724636004403</v>
      </c>
      <c r="BC169" s="79">
        <v>66.0231572524835</v>
      </c>
      <c r="BD169" s="79">
        <v>99.074991094287995</v>
      </c>
    </row>
    <row r="170" spans="1:56" s="41" customFormat="1" ht="12" customHeight="1">
      <c r="A170" s="47"/>
      <c r="D170" s="50"/>
      <c r="E170" s="50"/>
      <c r="F170" s="50"/>
      <c r="G170" s="122"/>
      <c r="H170" s="65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0"/>
      <c r="T170" s="69"/>
      <c r="U170" s="60"/>
      <c r="V170" s="69"/>
      <c r="W170" s="60"/>
      <c r="X170" s="69"/>
      <c r="Y170" s="60"/>
      <c r="Z170" s="69"/>
      <c r="AA170" s="71"/>
      <c r="AB170" s="50"/>
      <c r="AC170" s="60"/>
      <c r="AD170" s="61"/>
      <c r="AE170" s="60"/>
      <c r="AF170" s="61"/>
      <c r="AG170" s="61"/>
      <c r="AH170" s="61"/>
      <c r="AI170" s="61"/>
      <c r="AJ170" s="61"/>
      <c r="AK170" s="61"/>
      <c r="AL170" s="61"/>
      <c r="AM170" s="61"/>
      <c r="AN170" s="50"/>
      <c r="AO170" s="50"/>
      <c r="AP170" s="60"/>
      <c r="AQ170" s="50"/>
      <c r="AR170" s="60"/>
      <c r="AS170" s="50"/>
      <c r="AT170" s="60"/>
      <c r="AU170" s="50"/>
      <c r="AV170" s="60"/>
      <c r="AW170" s="61"/>
      <c r="AX170" s="65"/>
      <c r="AY170" s="65"/>
      <c r="AZ170" s="65"/>
      <c r="BA170" s="65"/>
      <c r="BB170" s="50"/>
      <c r="BC170" s="50"/>
      <c r="BD170" s="50"/>
    </row>
    <row r="171" spans="1:56" s="41" customFormat="1" ht="12" customHeight="1">
      <c r="A171" s="47" t="s">
        <v>34</v>
      </c>
      <c r="B171" s="41" t="s">
        <v>284</v>
      </c>
      <c r="C171" s="41" t="s">
        <v>135</v>
      </c>
      <c r="D171" s="61">
        <v>22.638247334007399</v>
      </c>
      <c r="E171" s="60">
        <v>141.56090958066</v>
      </c>
      <c r="F171" s="60">
        <v>283.93306304880099</v>
      </c>
      <c r="G171" s="122">
        <f t="shared" si="4"/>
        <v>0.49857141701151308</v>
      </c>
      <c r="H171" s="61">
        <v>0.11357926045526</v>
      </c>
      <c r="I171" s="62">
        <v>5.6998556992934699E-2</v>
      </c>
      <c r="J171" s="62">
        <v>1.4942979452401599E-3</v>
      </c>
      <c r="K171" s="62">
        <v>0.52378870607278705</v>
      </c>
      <c r="L171" s="62">
        <v>1.37736772549712E-2</v>
      </c>
      <c r="M171" s="62">
        <v>6.66104792235334E-2</v>
      </c>
      <c r="N171" s="62">
        <v>5.1349845676111204E-4</v>
      </c>
      <c r="O171" s="62">
        <v>0.29315871685313399</v>
      </c>
      <c r="P171" s="62">
        <v>2.0248760345760401E-2</v>
      </c>
      <c r="Q171" s="62">
        <v>4.0002045342996101E-4</v>
      </c>
      <c r="R171" s="62">
        <v>1.4976258368951001</v>
      </c>
      <c r="S171" s="60">
        <v>500.04</v>
      </c>
      <c r="T171" s="69">
        <v>59.252499999999998</v>
      </c>
      <c r="U171" s="60">
        <v>427.67914234984897</v>
      </c>
      <c r="V171" s="69">
        <v>9.1827545135244009</v>
      </c>
      <c r="W171" s="60">
        <v>415.70245945024197</v>
      </c>
      <c r="X171" s="69">
        <v>3.1116060527029199</v>
      </c>
      <c r="Y171" s="60">
        <v>405.18403746442402</v>
      </c>
      <c r="Z171" s="69">
        <v>7.9248366505538899</v>
      </c>
      <c r="AA171" s="71">
        <f t="shared" si="5"/>
        <v>0.97159842502126137</v>
      </c>
      <c r="AB171" s="50">
        <v>32.731290000000001</v>
      </c>
      <c r="AC171" s="60">
        <v>658.51333027742896</v>
      </c>
      <c r="AD171" s="61">
        <v>7.1435596375413599</v>
      </c>
      <c r="AE171" s="60">
        <v>1319.79031933038</v>
      </c>
      <c r="AF171" s="61">
        <v>1.7505892125699001</v>
      </c>
      <c r="AG171" s="61">
        <v>8.6425537533457407E-3</v>
      </c>
      <c r="AH171" s="61">
        <v>8.8313513883266203E-3</v>
      </c>
      <c r="AI171" s="50">
        <v>17.194655209125798</v>
      </c>
      <c r="AJ171" s="65">
        <v>7.2131733735578199E-2</v>
      </c>
      <c r="AK171" s="61">
        <v>1.38489915355218</v>
      </c>
      <c r="AL171" s="61">
        <v>2.8861851437397599</v>
      </c>
      <c r="AM171" s="61">
        <v>1.3270006015011899</v>
      </c>
      <c r="AN171" s="50">
        <v>20.916617616971799</v>
      </c>
      <c r="AO171" s="61">
        <v>8.1635638141597493</v>
      </c>
      <c r="AP171" s="60">
        <v>105.185267683079</v>
      </c>
      <c r="AQ171" s="50">
        <v>42.808262150486797</v>
      </c>
      <c r="AR171" s="60">
        <v>204.13788421453299</v>
      </c>
      <c r="AS171" s="50">
        <v>45.104684667102603</v>
      </c>
      <c r="AT171" s="60">
        <v>441.62224324319197</v>
      </c>
      <c r="AU171" s="50">
        <v>94.2351592853678</v>
      </c>
      <c r="AV171" s="60">
        <v>8626.2621173022799</v>
      </c>
      <c r="AW171" s="61">
        <v>0.71916489380502002</v>
      </c>
      <c r="AX171" s="65">
        <v>5.3205502196934797E-2</v>
      </c>
      <c r="AY171" s="65">
        <v>0</v>
      </c>
      <c r="AZ171" s="61">
        <v>0.11357926045526</v>
      </c>
      <c r="BA171" s="65">
        <v>0</v>
      </c>
      <c r="BB171" s="61">
        <v>22.638247334007399</v>
      </c>
      <c r="BC171" s="60">
        <v>141.56090958066</v>
      </c>
      <c r="BD171" s="60">
        <v>283.93306304880099</v>
      </c>
    </row>
    <row r="172" spans="1:56" s="41" customFormat="1" ht="12" customHeight="1">
      <c r="A172" s="47" t="s">
        <v>34</v>
      </c>
      <c r="B172" s="41" t="s">
        <v>285</v>
      </c>
      <c r="C172" s="41" t="s">
        <v>126</v>
      </c>
      <c r="D172" s="50">
        <v>79.390295645618806</v>
      </c>
      <c r="E172" s="60">
        <v>1282.3648167302299</v>
      </c>
      <c r="F172" s="60">
        <v>1738.3335148014801</v>
      </c>
      <c r="G172" s="122">
        <f t="shared" si="4"/>
        <v>0.73769780413897024</v>
      </c>
      <c r="H172" s="61">
        <v>4.2344587950171997</v>
      </c>
      <c r="I172" s="62">
        <v>5.3767876836968397E-2</v>
      </c>
      <c r="J172" s="62">
        <v>1.22471361256566E-3</v>
      </c>
      <c r="K172" s="62">
        <v>0.27790588080207401</v>
      </c>
      <c r="L172" s="62">
        <v>6.2499137316533197E-3</v>
      </c>
      <c r="M172" s="62">
        <v>3.8111679402175497E-2</v>
      </c>
      <c r="N172" s="62">
        <v>8.04340986658826E-4</v>
      </c>
      <c r="O172" s="62">
        <v>0.93843852298011798</v>
      </c>
      <c r="P172" s="62">
        <v>7.5722676225430299E-3</v>
      </c>
      <c r="Q172" s="62">
        <v>1.4834550215068101E-4</v>
      </c>
      <c r="R172" s="62">
        <v>1.08488752752085</v>
      </c>
      <c r="S172" s="60">
        <v>361.16500000000002</v>
      </c>
      <c r="T172" s="69">
        <v>51.844999999999999</v>
      </c>
      <c r="U172" s="60">
        <v>248.99498151859399</v>
      </c>
      <c r="V172" s="69">
        <v>4.9688667390386598</v>
      </c>
      <c r="W172" s="60">
        <v>241.11761419774501</v>
      </c>
      <c r="X172" s="69">
        <v>4.9964533688994104</v>
      </c>
      <c r="Y172" s="60">
        <v>152.47583459159799</v>
      </c>
      <c r="Z172" s="69">
        <v>2.97585916927564</v>
      </c>
      <c r="AA172" s="71">
        <f t="shared" si="5"/>
        <v>0.96785486686243771</v>
      </c>
      <c r="AB172" s="50">
        <v>32.731290000000001</v>
      </c>
      <c r="AC172" s="60">
        <v>1101.2381679626301</v>
      </c>
      <c r="AD172" s="50">
        <v>79.664630713900195</v>
      </c>
      <c r="AE172" s="60">
        <v>5691.8678969840703</v>
      </c>
      <c r="AF172" s="61">
        <v>4.63053632955521</v>
      </c>
      <c r="AG172" s="61">
        <v>73.240028500226103</v>
      </c>
      <c r="AH172" s="61">
        <v>55.061283914178098</v>
      </c>
      <c r="AI172" s="60">
        <v>421.47157501119898</v>
      </c>
      <c r="AJ172" s="50">
        <v>38.822360183900798</v>
      </c>
      <c r="AK172" s="60">
        <v>211.49497456581099</v>
      </c>
      <c r="AL172" s="60">
        <v>120.562301087222</v>
      </c>
      <c r="AM172" s="50">
        <v>41.7217257823281</v>
      </c>
      <c r="AN172" s="60">
        <v>235.259839342232</v>
      </c>
      <c r="AO172" s="50">
        <v>72.012797491328797</v>
      </c>
      <c r="AP172" s="60">
        <v>692.09804027616201</v>
      </c>
      <c r="AQ172" s="60">
        <v>190.85975274572399</v>
      </c>
      <c r="AR172" s="60">
        <v>708.56917974268299</v>
      </c>
      <c r="AS172" s="60">
        <v>136.01226885115199</v>
      </c>
      <c r="AT172" s="60">
        <v>1158.4280997358601</v>
      </c>
      <c r="AU172" s="60">
        <v>197.21846741796301</v>
      </c>
      <c r="AV172" s="60">
        <v>10654.704464369201</v>
      </c>
      <c r="AW172" s="61">
        <v>1.4966183856955499</v>
      </c>
      <c r="AX172" s="65">
        <v>0.691304639610958</v>
      </c>
      <c r="AY172" s="65">
        <v>0</v>
      </c>
      <c r="AZ172" s="61">
        <v>4.2344587950171997</v>
      </c>
      <c r="BA172" s="65">
        <v>5.4154187180721097E-2</v>
      </c>
      <c r="BB172" s="50">
        <v>79.390295645618806</v>
      </c>
      <c r="BC172" s="60">
        <v>1282.3648167302299</v>
      </c>
      <c r="BD172" s="60">
        <v>1738.3335148014801</v>
      </c>
    </row>
    <row r="173" spans="1:56" s="41" customFormat="1" ht="12" customHeight="1">
      <c r="A173" s="47" t="s">
        <v>34</v>
      </c>
      <c r="B173" s="41" t="s">
        <v>286</v>
      </c>
      <c r="C173" s="41" t="s">
        <v>135</v>
      </c>
      <c r="D173" s="61">
        <v>59.249513122657497</v>
      </c>
      <c r="E173" s="50">
        <v>74.288259636692104</v>
      </c>
      <c r="F173" s="60">
        <v>584.58925428444104</v>
      </c>
      <c r="G173" s="122">
        <f t="shared" si="4"/>
        <v>0.12707770300640181</v>
      </c>
      <c r="H173" s="61">
        <v>0.25894767333195601</v>
      </c>
      <c r="I173" s="62">
        <v>6.2565992786231095E-2</v>
      </c>
      <c r="J173" s="62">
        <v>1.1331912619748901E-3</v>
      </c>
      <c r="K173" s="62">
        <v>0.851618729086982</v>
      </c>
      <c r="L173" s="62">
        <v>2.5893154868538399E-2</v>
      </c>
      <c r="M173" s="62">
        <v>9.7880335572652397E-2</v>
      </c>
      <c r="N173" s="62">
        <v>2.1681868749388201E-3</v>
      </c>
      <c r="O173" s="62">
        <v>0.72855358006688797</v>
      </c>
      <c r="P173" s="62">
        <v>4.2282612942285899E-2</v>
      </c>
      <c r="Q173" s="62">
        <v>7.8530694092963699E-4</v>
      </c>
      <c r="R173" s="62">
        <v>6.1461209477642003</v>
      </c>
      <c r="S173" s="60">
        <v>694.45500000000004</v>
      </c>
      <c r="T173" s="69">
        <v>38.884999999999998</v>
      </c>
      <c r="U173" s="60">
        <v>625.53713276787596</v>
      </c>
      <c r="V173" s="69">
        <v>14.205551542758799</v>
      </c>
      <c r="W173" s="60">
        <v>601.97487930629302</v>
      </c>
      <c r="X173" s="69">
        <v>12.735072934008</v>
      </c>
      <c r="Y173" s="60">
        <v>837.05160567779205</v>
      </c>
      <c r="Z173" s="69">
        <v>15.228886153956701</v>
      </c>
      <c r="AA173" s="71">
        <f t="shared" si="5"/>
        <v>0.96160973867494948</v>
      </c>
      <c r="AB173" s="50">
        <v>32.731290000000001</v>
      </c>
      <c r="AC173" s="60">
        <v>646.52866320965904</v>
      </c>
      <c r="AD173" s="61">
        <v>2.4657398504383599</v>
      </c>
      <c r="AE173" s="60">
        <v>575.49107539145302</v>
      </c>
      <c r="AF173" s="61">
        <v>1.1419860431928699</v>
      </c>
      <c r="AG173" s="61">
        <v>0.20126074412154599</v>
      </c>
      <c r="AH173" s="61">
        <v>0.42527255958669702</v>
      </c>
      <c r="AI173" s="50">
        <v>13.328364088199301</v>
      </c>
      <c r="AJ173" s="61">
        <v>0.34238298090285602</v>
      </c>
      <c r="AK173" s="61">
        <v>1.84985684832996</v>
      </c>
      <c r="AL173" s="61">
        <v>1.4654200985630801</v>
      </c>
      <c r="AM173" s="61">
        <v>0.44053772784494699</v>
      </c>
      <c r="AN173" s="61">
        <v>6.8979400632040404</v>
      </c>
      <c r="AO173" s="61">
        <v>3.05086055981752</v>
      </c>
      <c r="AP173" s="50">
        <v>43.609432663063302</v>
      </c>
      <c r="AQ173" s="50">
        <v>18.9145028055399</v>
      </c>
      <c r="AR173" s="60">
        <v>102.659192921371</v>
      </c>
      <c r="AS173" s="50">
        <v>26.791379483816399</v>
      </c>
      <c r="AT173" s="60">
        <v>301.727450223044</v>
      </c>
      <c r="AU173" s="50">
        <v>67.501008823809798</v>
      </c>
      <c r="AV173" s="60">
        <v>11612.853216548599</v>
      </c>
      <c r="AW173" s="61">
        <v>1.09178451947308</v>
      </c>
      <c r="AX173" s="65">
        <v>2.03076362907098E-2</v>
      </c>
      <c r="AY173" s="65">
        <v>0</v>
      </c>
      <c r="AZ173" s="61">
        <v>0.25894767333195601</v>
      </c>
      <c r="BA173" s="65">
        <v>2.4078394680437701E-3</v>
      </c>
      <c r="BB173" s="61">
        <v>59.249513122657497</v>
      </c>
      <c r="BC173" s="50">
        <v>74.288259636692104</v>
      </c>
      <c r="BD173" s="60">
        <v>584.58925428444104</v>
      </c>
    </row>
    <row r="174" spans="1:56" s="41" customFormat="1" ht="12" customHeight="1">
      <c r="A174" s="47" t="s">
        <v>34</v>
      </c>
      <c r="B174" s="41" t="s">
        <v>287</v>
      </c>
      <c r="C174" s="41" t="s">
        <v>135</v>
      </c>
      <c r="D174" s="50">
        <v>63.299119885464201</v>
      </c>
      <c r="E174" s="50">
        <v>66.499980373602696</v>
      </c>
      <c r="F174" s="60">
        <v>117.32271673749401</v>
      </c>
      <c r="G174" s="122">
        <f t="shared" si="4"/>
        <v>0.56681248289190556</v>
      </c>
      <c r="H174" s="65">
        <v>9.2108143615947394E-2</v>
      </c>
      <c r="I174" s="62">
        <v>0.14696815309776001</v>
      </c>
      <c r="J174" s="62">
        <v>2.2887206341517001E-3</v>
      </c>
      <c r="K174" s="62">
        <v>8.6928021798263995</v>
      </c>
      <c r="L174" s="62">
        <v>0.15134416922318</v>
      </c>
      <c r="M174" s="62">
        <v>0.42742582594371498</v>
      </c>
      <c r="N174" s="62">
        <v>4.5110687770670002E-3</v>
      </c>
      <c r="O174" s="62">
        <v>0.60619561681808998</v>
      </c>
      <c r="P174" s="62">
        <v>0.12057643053450499</v>
      </c>
      <c r="Q174" s="62">
        <v>2.1285993648780701E-3</v>
      </c>
      <c r="R174" s="62">
        <v>1.3254705756115199</v>
      </c>
      <c r="S174" s="60">
        <v>2310.8000000000002</v>
      </c>
      <c r="T174" s="69">
        <v>27.3174999999999</v>
      </c>
      <c r="U174" s="60">
        <v>2306.32438111596</v>
      </c>
      <c r="V174" s="69">
        <v>15.9316493146134</v>
      </c>
      <c r="W174" s="60">
        <v>2294.1028228074902</v>
      </c>
      <c r="X174" s="69">
        <v>20.4101199109178</v>
      </c>
      <c r="Y174" s="60">
        <v>2301.0252254645002</v>
      </c>
      <c r="Z174" s="69">
        <v>38.394290080344099</v>
      </c>
      <c r="AA174" s="71">
        <f t="shared" si="5"/>
        <v>0.99468677243798287</v>
      </c>
      <c r="AB174" s="50">
        <v>32.731290000000001</v>
      </c>
      <c r="AC174" s="60">
        <v>559.14793104751595</v>
      </c>
      <c r="AD174" s="50">
        <v>11.3880507755233</v>
      </c>
      <c r="AE174" s="60">
        <v>593.53803890534402</v>
      </c>
      <c r="AF174" s="61">
        <v>1.41048633937833</v>
      </c>
      <c r="AG174" s="61">
        <v>0.37467957343949898</v>
      </c>
      <c r="AH174" s="61">
        <v>0.13526374850460399</v>
      </c>
      <c r="AI174" s="61">
        <v>9.31009096516817</v>
      </c>
      <c r="AJ174" s="61">
        <v>0.146337628756776</v>
      </c>
      <c r="AK174" s="61">
        <v>2.3784457224745101</v>
      </c>
      <c r="AL174" s="61">
        <v>3.9564664251075898</v>
      </c>
      <c r="AM174" s="61">
        <v>0.480448135184529</v>
      </c>
      <c r="AN174" s="50">
        <v>18.504306768089901</v>
      </c>
      <c r="AO174" s="61">
        <v>5.5109196233055497</v>
      </c>
      <c r="AP174" s="50">
        <v>58.862387957579102</v>
      </c>
      <c r="AQ174" s="50">
        <v>20.615157664689001</v>
      </c>
      <c r="AR174" s="50">
        <v>88.267200126716205</v>
      </c>
      <c r="AS174" s="50">
        <v>17.6449663926219</v>
      </c>
      <c r="AT174" s="60">
        <v>164.90045947715501</v>
      </c>
      <c r="AU174" s="50">
        <v>32.045511899205501</v>
      </c>
      <c r="AV174" s="60">
        <v>8577.0685752875506</v>
      </c>
      <c r="AW174" s="61">
        <v>0.543624609918539</v>
      </c>
      <c r="AX174" s="65">
        <v>9.8202026961152593E-3</v>
      </c>
      <c r="AY174" s="65">
        <v>0</v>
      </c>
      <c r="AZ174" s="65">
        <v>9.2108143615947394E-2</v>
      </c>
      <c r="BA174" s="65">
        <v>7.4646383832449098E-3</v>
      </c>
      <c r="BB174" s="50">
        <v>63.299119885464201</v>
      </c>
      <c r="BC174" s="50">
        <v>66.499980373602696</v>
      </c>
      <c r="BD174" s="60">
        <v>117.32271673749401</v>
      </c>
    </row>
    <row r="175" spans="1:56" s="41" customFormat="1" ht="12" customHeight="1">
      <c r="A175" s="47" t="s">
        <v>34</v>
      </c>
      <c r="B175" s="41" t="s">
        <v>288</v>
      </c>
      <c r="C175" s="41" t="s">
        <v>135</v>
      </c>
      <c r="D175" s="61">
        <v>65.657598771615895</v>
      </c>
      <c r="E175" s="50">
        <v>41.945738635991198</v>
      </c>
      <c r="F175" s="60">
        <v>142.43299466249101</v>
      </c>
      <c r="G175" s="122">
        <f t="shared" si="4"/>
        <v>0.29449453573159612</v>
      </c>
      <c r="H175" s="63">
        <v>0</v>
      </c>
      <c r="I175" s="62">
        <v>0.143221467642764</v>
      </c>
      <c r="J175" s="62">
        <v>2.2058882416239201E-3</v>
      </c>
      <c r="K175" s="62">
        <v>7.4932445773078902</v>
      </c>
      <c r="L175" s="62">
        <v>0.11420823228543001</v>
      </c>
      <c r="M175" s="62">
        <v>0.37808901038474901</v>
      </c>
      <c r="N175" s="62">
        <v>2.2971354572793199E-3</v>
      </c>
      <c r="O175" s="62">
        <v>0.398625474889784</v>
      </c>
      <c r="P175" s="62">
        <v>0.120841457528648</v>
      </c>
      <c r="Q175" s="62">
        <v>1.9630791488432901E-3</v>
      </c>
      <c r="R175" s="62">
        <v>2.5449641829606899</v>
      </c>
      <c r="S175" s="60">
        <v>2266.36</v>
      </c>
      <c r="T175" s="69">
        <v>27.315000000000101</v>
      </c>
      <c r="U175" s="60">
        <v>2172.17961303728</v>
      </c>
      <c r="V175" s="69">
        <v>13.733468506832599</v>
      </c>
      <c r="W175" s="60">
        <v>2067.3506165899298</v>
      </c>
      <c r="X175" s="69">
        <v>10.8033576304182</v>
      </c>
      <c r="Y175" s="60">
        <v>2305.80504469481</v>
      </c>
      <c r="Z175" s="69">
        <v>35.400371616886801</v>
      </c>
      <c r="AA175" s="71">
        <f t="shared" si="5"/>
        <v>0.95054688101300888</v>
      </c>
      <c r="AB175" s="50">
        <v>32.731290000000001</v>
      </c>
      <c r="AC175" s="60">
        <v>543.20783027164805</v>
      </c>
      <c r="AD175" s="61">
        <v>6.5987514973549901</v>
      </c>
      <c r="AE175" s="60">
        <v>353.78394706758598</v>
      </c>
      <c r="AF175" s="61">
        <v>1.3518718274166299</v>
      </c>
      <c r="AG175" s="61">
        <v>7.3674730810136799E-2</v>
      </c>
      <c r="AH175" s="61">
        <v>1.2758963207606401E-2</v>
      </c>
      <c r="AI175" s="61">
        <v>6.8349738715860102</v>
      </c>
      <c r="AJ175" s="65">
        <v>7.2602372474824997E-2</v>
      </c>
      <c r="AK175" s="61">
        <v>1.34720977203341</v>
      </c>
      <c r="AL175" s="61">
        <v>1.9861804008407</v>
      </c>
      <c r="AM175" s="61">
        <v>0.27283652979746698</v>
      </c>
      <c r="AN175" s="50">
        <v>10.080912705100999</v>
      </c>
      <c r="AO175" s="61">
        <v>2.9935763593249902</v>
      </c>
      <c r="AP175" s="50">
        <v>34.298126940834997</v>
      </c>
      <c r="AQ175" s="50">
        <v>12.1755590957846</v>
      </c>
      <c r="AR175" s="50">
        <v>52.804115336991998</v>
      </c>
      <c r="AS175" s="50">
        <v>11.2329749016038</v>
      </c>
      <c r="AT175" s="60">
        <v>104.542183450533</v>
      </c>
      <c r="AU175" s="50">
        <v>21.647781419727998</v>
      </c>
      <c r="AV175" s="60">
        <v>9048.1779574785996</v>
      </c>
      <c r="AW175" s="61">
        <v>0.51140423221425202</v>
      </c>
      <c r="AX175" s="65">
        <v>0</v>
      </c>
      <c r="AY175" s="65">
        <v>0</v>
      </c>
      <c r="AZ175" s="63">
        <v>0</v>
      </c>
      <c r="BA175" s="65">
        <v>1.4371766604747099E-3</v>
      </c>
      <c r="BB175" s="61">
        <v>65.657598771615895</v>
      </c>
      <c r="BC175" s="50">
        <v>41.945738635991198</v>
      </c>
      <c r="BD175" s="60">
        <v>142.43299466249101</v>
      </c>
    </row>
    <row r="176" spans="1:56" s="41" customFormat="1" ht="12" customHeight="1">
      <c r="A176" s="47" t="s">
        <v>34</v>
      </c>
      <c r="B176" s="41" t="s">
        <v>289</v>
      </c>
      <c r="C176" s="41" t="s">
        <v>135</v>
      </c>
      <c r="D176" s="61">
        <v>17.7748654482183</v>
      </c>
      <c r="E176" s="60">
        <v>260.133819131449</v>
      </c>
      <c r="F176" s="60">
        <v>197.77515557013299</v>
      </c>
      <c r="G176" s="122">
        <f t="shared" si="4"/>
        <v>1.3153007938815804</v>
      </c>
      <c r="H176" s="63">
        <v>0</v>
      </c>
      <c r="I176" s="62">
        <v>5.4244235360660503E-2</v>
      </c>
      <c r="J176" s="62">
        <v>1.6077028440165701E-3</v>
      </c>
      <c r="K176" s="62">
        <v>0.46673206030623998</v>
      </c>
      <c r="L176" s="62">
        <v>1.37237348509721E-2</v>
      </c>
      <c r="M176" s="62">
        <v>6.2308196425834399E-2</v>
      </c>
      <c r="N176" s="62">
        <v>5.2706796247433698E-4</v>
      </c>
      <c r="O176" s="62">
        <v>0.28768469229249299</v>
      </c>
      <c r="P176" s="62">
        <v>1.93934119192367E-2</v>
      </c>
      <c r="Q176" s="62">
        <v>3.1131702839277899E-4</v>
      </c>
      <c r="R176" s="62">
        <v>0.57649522911536899</v>
      </c>
      <c r="S176" s="60">
        <v>388.94</v>
      </c>
      <c r="T176" s="69">
        <v>66.66</v>
      </c>
      <c r="U176" s="60">
        <v>388.92911391033198</v>
      </c>
      <c r="V176" s="69">
        <v>9.5042893723373307</v>
      </c>
      <c r="W176" s="60">
        <v>389.64760360726302</v>
      </c>
      <c r="X176" s="69">
        <v>3.2053246596597602</v>
      </c>
      <c r="Y176" s="60">
        <v>388.23155530310402</v>
      </c>
      <c r="Z176" s="69">
        <v>6.1727011461364496</v>
      </c>
      <c r="AA176" s="71">
        <f t="shared" si="5"/>
        <v>0.99815435093096061</v>
      </c>
      <c r="AB176" s="50">
        <v>32.731290000000001</v>
      </c>
      <c r="AC176" s="60">
        <v>626.88308780326895</v>
      </c>
      <c r="AD176" s="50">
        <v>12.814478131829601</v>
      </c>
      <c r="AE176" s="60">
        <v>1108.7608267133901</v>
      </c>
      <c r="AF176" s="61">
        <v>4.1911156065466697</v>
      </c>
      <c r="AG176" s="61">
        <v>0</v>
      </c>
      <c r="AH176" s="61">
        <v>2.5398364365320201E-2</v>
      </c>
      <c r="AI176" s="50">
        <v>75.639606100895406</v>
      </c>
      <c r="AJ176" s="61">
        <v>0.256787184417271</v>
      </c>
      <c r="AK176" s="61">
        <v>4.5991972609078404</v>
      </c>
      <c r="AL176" s="61">
        <v>8.6785310004250107</v>
      </c>
      <c r="AM176" s="61">
        <v>0.86216579619554901</v>
      </c>
      <c r="AN176" s="50">
        <v>38.035774436660198</v>
      </c>
      <c r="AO176" s="50">
        <v>11.3731632409248</v>
      </c>
      <c r="AP176" s="60">
        <v>117.548430964909</v>
      </c>
      <c r="AQ176" s="50">
        <v>40.304422285650098</v>
      </c>
      <c r="AR176" s="60">
        <v>163.95431466361001</v>
      </c>
      <c r="AS176" s="50">
        <v>31.4782973956064</v>
      </c>
      <c r="AT176" s="60">
        <v>279.09816951500699</v>
      </c>
      <c r="AU176" s="50">
        <v>55.118279197097898</v>
      </c>
      <c r="AV176" s="60">
        <v>8524.7578738387092</v>
      </c>
      <c r="AW176" s="61">
        <v>1.40047820520306</v>
      </c>
      <c r="AX176" s="65">
        <v>2.1064803264606899E-2</v>
      </c>
      <c r="AY176" s="65">
        <v>0</v>
      </c>
      <c r="AZ176" s="63">
        <v>0</v>
      </c>
      <c r="BA176" s="65">
        <v>0</v>
      </c>
      <c r="BB176" s="61">
        <v>17.7748654482183</v>
      </c>
      <c r="BC176" s="60">
        <v>260.133819131449</v>
      </c>
      <c r="BD176" s="60">
        <v>197.77515557013299</v>
      </c>
    </row>
    <row r="177" spans="1:56" s="41" customFormat="1" ht="12" customHeight="1">
      <c r="A177" s="47" t="s">
        <v>34</v>
      </c>
      <c r="B177" s="41" t="s">
        <v>290</v>
      </c>
      <c r="C177" s="41" t="s">
        <v>135</v>
      </c>
      <c r="D177" s="61">
        <v>7.2965654611645299</v>
      </c>
      <c r="E177" s="50">
        <v>93.439464189097293</v>
      </c>
      <c r="F177" s="60">
        <v>114.811643354094</v>
      </c>
      <c r="G177" s="122">
        <f t="shared" si="4"/>
        <v>0.81385007181647828</v>
      </c>
      <c r="H177" s="61">
        <v>0.112607070167238</v>
      </c>
      <c r="I177" s="62">
        <v>5.8194732909335002E-2</v>
      </c>
      <c r="J177" s="62">
        <v>2.6849976084420699E-3</v>
      </c>
      <c r="K177" s="62">
        <v>0.39360414067027699</v>
      </c>
      <c r="L177" s="62">
        <v>1.7465989179489001E-2</v>
      </c>
      <c r="M177" s="62">
        <v>4.9142649657388397E-2</v>
      </c>
      <c r="N177" s="62">
        <v>5.0013387790989597E-4</v>
      </c>
      <c r="O177" s="62">
        <v>0.22934758765963001</v>
      </c>
      <c r="P177" s="62">
        <v>1.5032863298978599E-2</v>
      </c>
      <c r="Q177" s="62">
        <v>3.6044866108995798E-4</v>
      </c>
      <c r="R177" s="62">
        <v>1.0778209855720999</v>
      </c>
      <c r="S177" s="60">
        <v>600.02499999999998</v>
      </c>
      <c r="T177" s="69">
        <v>101.83499999999999</v>
      </c>
      <c r="U177" s="60">
        <v>336.99883059954499</v>
      </c>
      <c r="V177" s="69">
        <v>12.7278213980881</v>
      </c>
      <c r="W177" s="60">
        <v>309.25580335990901</v>
      </c>
      <c r="X177" s="69">
        <v>3.0775864202752099</v>
      </c>
      <c r="Y177" s="60">
        <v>301.58644980430802</v>
      </c>
      <c r="Z177" s="69">
        <v>7.1775712168471797</v>
      </c>
      <c r="AA177" s="71">
        <f t="shared" si="5"/>
        <v>0.91414211741999951</v>
      </c>
      <c r="AB177" s="50">
        <v>32.731290000000001</v>
      </c>
      <c r="AC177" s="60">
        <v>621.59119141194697</v>
      </c>
      <c r="AD177" s="50">
        <v>17.121552200077101</v>
      </c>
      <c r="AE177" s="60">
        <v>1707.2831014527401</v>
      </c>
      <c r="AF177" s="61">
        <v>1.2410462838165599</v>
      </c>
      <c r="AG177" s="61">
        <v>4.0339566244806804</v>
      </c>
      <c r="AH177" s="61">
        <v>9.4726227273054006E-2</v>
      </c>
      <c r="AI177" s="50">
        <v>11.624045666760001</v>
      </c>
      <c r="AJ177" s="61">
        <v>0.143064530060803</v>
      </c>
      <c r="AK177" s="61">
        <v>2.1655825141261902</v>
      </c>
      <c r="AL177" s="61">
        <v>5.89831220896221</v>
      </c>
      <c r="AM177" s="61">
        <v>1.1957135035709101</v>
      </c>
      <c r="AN177" s="50">
        <v>34.412400229969101</v>
      </c>
      <c r="AO177" s="50">
        <v>12.2822498416402</v>
      </c>
      <c r="AP177" s="60">
        <v>149.98652664511701</v>
      </c>
      <c r="AQ177" s="50">
        <v>59.776837270044602</v>
      </c>
      <c r="AR177" s="60">
        <v>271.69566346063698</v>
      </c>
      <c r="AS177" s="50">
        <v>56.533947678941999</v>
      </c>
      <c r="AT177" s="60">
        <v>514.84970702160501</v>
      </c>
      <c r="AU177" s="60">
        <v>104.68115522061299</v>
      </c>
      <c r="AV177" s="60">
        <v>9650.0062313297694</v>
      </c>
      <c r="AW177" s="61">
        <v>0.38384742581508802</v>
      </c>
      <c r="AX177" s="65">
        <v>6.9712136250968296E-2</v>
      </c>
      <c r="AY177" s="65">
        <v>0</v>
      </c>
      <c r="AZ177" s="61">
        <v>0.112607070167238</v>
      </c>
      <c r="BA177" s="65">
        <v>0</v>
      </c>
      <c r="BB177" s="61">
        <v>7.2965654611645299</v>
      </c>
      <c r="BC177" s="50">
        <v>93.439464189097293</v>
      </c>
      <c r="BD177" s="60">
        <v>114.811643354094</v>
      </c>
    </row>
    <row r="178" spans="1:56" s="41" customFormat="1" ht="12" customHeight="1">
      <c r="A178" s="47" t="s">
        <v>34</v>
      </c>
      <c r="B178" s="41" t="s">
        <v>291</v>
      </c>
      <c r="C178" s="41" t="s">
        <v>135</v>
      </c>
      <c r="D178" s="61">
        <v>43.892018784910498</v>
      </c>
      <c r="E178" s="50">
        <v>57.233204709671</v>
      </c>
      <c r="F178" s="60">
        <v>519.09035134461703</v>
      </c>
      <c r="G178" s="122">
        <f t="shared" si="4"/>
        <v>0.11025672999202918</v>
      </c>
      <c r="H178" s="65">
        <v>9.7254747560511404E-2</v>
      </c>
      <c r="I178" s="62">
        <v>5.9099912435959599E-2</v>
      </c>
      <c r="J178" s="62">
        <v>1.2014144267512899E-3</v>
      </c>
      <c r="K178" s="62">
        <v>0.64723775432676001</v>
      </c>
      <c r="L178" s="62">
        <v>1.35354427343208E-2</v>
      </c>
      <c r="M178" s="62">
        <v>7.9198402984472893E-2</v>
      </c>
      <c r="N178" s="62">
        <v>7.5519231579493904E-4</v>
      </c>
      <c r="O178" s="62">
        <v>0.45596605752411201</v>
      </c>
      <c r="P178" s="62">
        <v>2.7340942650438599E-2</v>
      </c>
      <c r="Q178" s="62">
        <v>7.1253645890883796E-4</v>
      </c>
      <c r="R178" s="62">
        <v>8.1006510861204095</v>
      </c>
      <c r="S178" s="60">
        <v>572.255</v>
      </c>
      <c r="T178" s="69">
        <v>44.435000000000002</v>
      </c>
      <c r="U178" s="60">
        <v>506.77747552825099</v>
      </c>
      <c r="V178" s="69">
        <v>8.3505717215294908</v>
      </c>
      <c r="W178" s="60">
        <v>491.33631649363201</v>
      </c>
      <c r="X178" s="69">
        <v>4.5188129931167396</v>
      </c>
      <c r="Y178" s="60">
        <v>545.20171935800897</v>
      </c>
      <c r="Z178" s="69">
        <v>14.018666103524399</v>
      </c>
      <c r="AA178" s="71">
        <f t="shared" si="5"/>
        <v>0.9690593213758929</v>
      </c>
      <c r="AB178" s="50">
        <v>32.731290000000001</v>
      </c>
      <c r="AC178" s="60">
        <v>560.784534777251</v>
      </c>
      <c r="AD178" s="50">
        <v>39.105065130776197</v>
      </c>
      <c r="AE178" s="60">
        <v>595.528883062614</v>
      </c>
      <c r="AF178" s="61">
        <v>7.6859876325930898</v>
      </c>
      <c r="AG178" s="61">
        <v>1.7560337875665499</v>
      </c>
      <c r="AH178" s="61">
        <v>4.8900097407993399E-2</v>
      </c>
      <c r="AI178" s="50">
        <v>13.622782149969099</v>
      </c>
      <c r="AJ178" s="65">
        <v>7.0975251928008798E-2</v>
      </c>
      <c r="AK178" s="61">
        <v>0.96118302096132302</v>
      </c>
      <c r="AL178" s="61">
        <v>1.99012824788189</v>
      </c>
      <c r="AM178" s="61">
        <v>0.39236471191074401</v>
      </c>
      <c r="AN178" s="50">
        <v>11.2203654601265</v>
      </c>
      <c r="AO178" s="61">
        <v>3.8259502227239</v>
      </c>
      <c r="AP178" s="50">
        <v>47.982191917350903</v>
      </c>
      <c r="AQ178" s="50">
        <v>19.519782427990599</v>
      </c>
      <c r="AR178" s="50">
        <v>96.516049626787705</v>
      </c>
      <c r="AS178" s="50">
        <v>21.9042107065967</v>
      </c>
      <c r="AT178" s="60">
        <v>231.74963079298399</v>
      </c>
      <c r="AU178" s="50">
        <v>54.293188207281801</v>
      </c>
      <c r="AV178" s="60">
        <v>10528.4320938329</v>
      </c>
      <c r="AW178" s="61">
        <v>4.07325378914115</v>
      </c>
      <c r="AX178" s="65">
        <v>6.8080236115826698E-2</v>
      </c>
      <c r="AY178" s="65">
        <v>0</v>
      </c>
      <c r="AZ178" s="65">
        <v>9.7254747560511404E-2</v>
      </c>
      <c r="BA178" s="65">
        <v>1.48146082521853E-2</v>
      </c>
      <c r="BB178" s="61">
        <v>43.892018784910498</v>
      </c>
      <c r="BC178" s="50">
        <v>57.233204709671</v>
      </c>
      <c r="BD178" s="60">
        <v>519.09035134461703</v>
      </c>
    </row>
    <row r="179" spans="1:56" s="41" customFormat="1" ht="12" customHeight="1">
      <c r="A179" s="47" t="s">
        <v>34</v>
      </c>
      <c r="B179" s="41" t="s">
        <v>292</v>
      </c>
      <c r="C179" s="41" t="s">
        <v>135</v>
      </c>
      <c r="D179" s="50">
        <v>188.553557991742</v>
      </c>
      <c r="E179" s="60">
        <v>134.46498156022099</v>
      </c>
      <c r="F179" s="60">
        <v>318.34336139218499</v>
      </c>
      <c r="G179" s="122">
        <f t="shared" si="4"/>
        <v>0.42238977741573214</v>
      </c>
      <c r="H179" s="63">
        <v>0</v>
      </c>
      <c r="I179" s="62">
        <v>0.16376608604430501</v>
      </c>
      <c r="J179" s="62">
        <v>2.5095850898614902E-3</v>
      </c>
      <c r="K179" s="62">
        <v>10.8189293289524</v>
      </c>
      <c r="L179" s="62">
        <v>0.176868506430193</v>
      </c>
      <c r="M179" s="62">
        <v>0.47702649570621303</v>
      </c>
      <c r="N179" s="62">
        <v>3.87015392389528E-3</v>
      </c>
      <c r="O179" s="62">
        <v>0.49627170174964602</v>
      </c>
      <c r="P179" s="62">
        <v>0.13002265746448399</v>
      </c>
      <c r="Q179" s="62">
        <v>2.1225099873592198E-3</v>
      </c>
      <c r="R179" s="62">
        <v>1.7249154044003601</v>
      </c>
      <c r="S179" s="60">
        <v>2494.7550000000001</v>
      </c>
      <c r="T179" s="69">
        <v>25.929999999999801</v>
      </c>
      <c r="U179" s="60">
        <v>2507.69399052476</v>
      </c>
      <c r="V179" s="69">
        <v>15.290438834102501</v>
      </c>
      <c r="W179" s="60">
        <v>2514.3009976155299</v>
      </c>
      <c r="X179" s="69">
        <v>16.945588352507901</v>
      </c>
      <c r="Y179" s="60">
        <v>2470.6959752755702</v>
      </c>
      <c r="Z179" s="69">
        <v>37.964421649902199</v>
      </c>
      <c r="AA179" s="71">
        <f t="shared" si="5"/>
        <v>0.99736877192973206</v>
      </c>
      <c r="AB179" s="50">
        <v>32.731290000000001</v>
      </c>
      <c r="AC179" s="60">
        <v>528.70601325074495</v>
      </c>
      <c r="AD179" s="60">
        <v>122.92402158826</v>
      </c>
      <c r="AE179" s="60">
        <v>381.70230126748402</v>
      </c>
      <c r="AF179" s="61">
        <v>2.1059950358388102</v>
      </c>
      <c r="AG179" s="61">
        <v>0.76223094479682396</v>
      </c>
      <c r="AH179" s="61">
        <v>1.3772870049072099</v>
      </c>
      <c r="AI179" s="50">
        <v>26.293964951406299</v>
      </c>
      <c r="AJ179" s="61">
        <v>0.30455447367183802</v>
      </c>
      <c r="AK179" s="61">
        <v>1.71803869633093</v>
      </c>
      <c r="AL179" s="61">
        <v>1.72213712533936</v>
      </c>
      <c r="AM179" s="61">
        <v>0.38306348301368398</v>
      </c>
      <c r="AN179" s="61">
        <v>7.5974979124413498</v>
      </c>
      <c r="AO179" s="61">
        <v>2.5789363009492399</v>
      </c>
      <c r="AP179" s="50">
        <v>30.781732651466399</v>
      </c>
      <c r="AQ179" s="50">
        <v>12.151359195980501</v>
      </c>
      <c r="AR179" s="50">
        <v>58.983708344956199</v>
      </c>
      <c r="AS179" s="50">
        <v>13.3024031788706</v>
      </c>
      <c r="AT179" s="60">
        <v>133.529968937706</v>
      </c>
      <c r="AU179" s="50">
        <v>28.581430913744999</v>
      </c>
      <c r="AV179" s="60">
        <v>10293.314207444901</v>
      </c>
      <c r="AW179" s="61">
        <v>1.1510292022236499</v>
      </c>
      <c r="AX179" s="65">
        <v>1.0889422589986E-2</v>
      </c>
      <c r="AY179" s="65">
        <v>0</v>
      </c>
      <c r="AZ179" s="63">
        <v>0</v>
      </c>
      <c r="BA179" s="65">
        <v>3.8733624697986501E-3</v>
      </c>
      <c r="BB179" s="50">
        <v>188.553557991742</v>
      </c>
      <c r="BC179" s="60">
        <v>134.46498156022099</v>
      </c>
      <c r="BD179" s="60">
        <v>318.34336139218499</v>
      </c>
    </row>
    <row r="180" spans="1:56" s="41" customFormat="1" ht="12" customHeight="1">
      <c r="A180" s="47" t="s">
        <v>34</v>
      </c>
      <c r="B180" s="41" t="s">
        <v>293</v>
      </c>
      <c r="C180" s="41" t="s">
        <v>135</v>
      </c>
      <c r="D180" s="50">
        <v>42.5536429990659</v>
      </c>
      <c r="E180" s="60">
        <v>362.93808932425401</v>
      </c>
      <c r="F180" s="60">
        <v>498.46412221556199</v>
      </c>
      <c r="G180" s="122">
        <f t="shared" si="4"/>
        <v>0.72811276308327877</v>
      </c>
      <c r="H180" s="63">
        <v>0</v>
      </c>
      <c r="I180" s="62">
        <v>5.7133409719497201E-2</v>
      </c>
      <c r="J180" s="62">
        <v>1.25100623695898E-3</v>
      </c>
      <c r="K180" s="62">
        <v>0.53096319894200605</v>
      </c>
      <c r="L180" s="62">
        <v>1.17247291369176E-2</v>
      </c>
      <c r="M180" s="62">
        <v>6.7133356013029805E-2</v>
      </c>
      <c r="N180" s="62">
        <v>4.4883715745877898E-4</v>
      </c>
      <c r="O180" s="62">
        <v>0.302769447081355</v>
      </c>
      <c r="P180" s="62">
        <v>2.0705987803807599E-2</v>
      </c>
      <c r="Q180" s="62">
        <v>3.2117296870040802E-4</v>
      </c>
      <c r="R180" s="62">
        <v>1.01529367040991</v>
      </c>
      <c r="S180" s="60">
        <v>498.19</v>
      </c>
      <c r="T180" s="69">
        <v>43.515000000000001</v>
      </c>
      <c r="U180" s="60">
        <v>432.44867656820702</v>
      </c>
      <c r="V180" s="69">
        <v>7.7817681512539298</v>
      </c>
      <c r="W180" s="60">
        <v>418.86186440140199</v>
      </c>
      <c r="X180" s="69">
        <v>2.7207850159799798</v>
      </c>
      <c r="Y180" s="60">
        <v>414.240177464542</v>
      </c>
      <c r="Z180" s="69">
        <v>6.3599327095769098</v>
      </c>
      <c r="AA180" s="71">
        <f t="shared" si="5"/>
        <v>0.96808024448674113</v>
      </c>
      <c r="AB180" s="50">
        <v>32.731290000000001</v>
      </c>
      <c r="AC180" s="60">
        <v>951.69970191261996</v>
      </c>
      <c r="AD180" s="61">
        <v>3.7229639993399899</v>
      </c>
      <c r="AE180" s="60">
        <v>1898.3618096671601</v>
      </c>
      <c r="AF180" s="61">
        <v>3.97710024124734</v>
      </c>
      <c r="AG180" s="61">
        <v>6.2800301535557906E-2</v>
      </c>
      <c r="AH180" s="61">
        <v>54.688461949328001</v>
      </c>
      <c r="AI180" s="60">
        <v>155.58498163648599</v>
      </c>
      <c r="AJ180" s="50">
        <v>18.450537227051299</v>
      </c>
      <c r="AK180" s="50">
        <v>94.278422044892395</v>
      </c>
      <c r="AL180" s="50">
        <v>28.428750688313301</v>
      </c>
      <c r="AM180" s="61">
        <v>1.3177781231419501</v>
      </c>
      <c r="AN180" s="50">
        <v>66.042631578826601</v>
      </c>
      <c r="AO180" s="50">
        <v>17.819718950154499</v>
      </c>
      <c r="AP180" s="60">
        <v>191.63482730951199</v>
      </c>
      <c r="AQ180" s="50">
        <v>69.060253402250893</v>
      </c>
      <c r="AR180" s="60">
        <v>287.62906007029102</v>
      </c>
      <c r="AS180" s="50">
        <v>54.878619855189697</v>
      </c>
      <c r="AT180" s="60">
        <v>474.89288542431899</v>
      </c>
      <c r="AU180" s="50">
        <v>89.507647237332506</v>
      </c>
      <c r="AV180" s="60">
        <v>9220.93677937334</v>
      </c>
      <c r="AW180" s="61">
        <v>1.44713537840984</v>
      </c>
      <c r="AX180" s="65">
        <v>9.6368921239866095E-2</v>
      </c>
      <c r="AY180" s="65">
        <v>0</v>
      </c>
      <c r="AZ180" s="63">
        <v>0</v>
      </c>
      <c r="BA180" s="65">
        <v>0</v>
      </c>
      <c r="BB180" s="50">
        <v>42.5536429990659</v>
      </c>
      <c r="BC180" s="60">
        <v>362.93808932425401</v>
      </c>
      <c r="BD180" s="60">
        <v>498.46412221556199</v>
      </c>
    </row>
    <row r="181" spans="1:56" s="41" customFormat="1" ht="12" customHeight="1">
      <c r="A181" s="47" t="s">
        <v>34</v>
      </c>
      <c r="B181" s="41" t="s">
        <v>294</v>
      </c>
      <c r="C181" s="41" t="s">
        <v>135</v>
      </c>
      <c r="D181" s="50">
        <v>132.38546505524201</v>
      </c>
      <c r="E181" s="50">
        <v>66.811390204491303</v>
      </c>
      <c r="F181" s="60">
        <v>245.19812444479999</v>
      </c>
      <c r="G181" s="122">
        <f t="shared" si="4"/>
        <v>0.27247920576787349</v>
      </c>
      <c r="H181" s="63">
        <v>0</v>
      </c>
      <c r="I181" s="62">
        <v>0.170971081401115</v>
      </c>
      <c r="J181" s="62">
        <v>2.4631105170144999E-3</v>
      </c>
      <c r="K181" s="62">
        <v>10.3898087371535</v>
      </c>
      <c r="L181" s="62">
        <v>0.17822783910356299</v>
      </c>
      <c r="M181" s="62">
        <v>0.43829821243962702</v>
      </c>
      <c r="N181" s="62">
        <v>4.1487950128875602E-3</v>
      </c>
      <c r="O181" s="62">
        <v>0.55180329465406996</v>
      </c>
      <c r="P181" s="62">
        <v>0.13593276167930901</v>
      </c>
      <c r="Q181" s="62">
        <v>2.2164931829550499E-3</v>
      </c>
      <c r="R181" s="62">
        <v>2.8698464357823701</v>
      </c>
      <c r="S181" s="60">
        <v>2568.5149999999999</v>
      </c>
      <c r="T181" s="69">
        <v>24.074999999999999</v>
      </c>
      <c r="U181" s="60">
        <v>2470.1416308528701</v>
      </c>
      <c r="V181" s="69">
        <v>15.9772629081486</v>
      </c>
      <c r="W181" s="60">
        <v>2343.0176812140899</v>
      </c>
      <c r="X181" s="69">
        <v>18.637783230280299</v>
      </c>
      <c r="Y181" s="60">
        <v>2576.1319835201898</v>
      </c>
      <c r="Z181" s="69">
        <v>39.439188628266898</v>
      </c>
      <c r="AA181" s="71">
        <f t="shared" si="5"/>
        <v>0.94717650449671564</v>
      </c>
      <c r="AB181" s="50">
        <v>32.731290000000001</v>
      </c>
      <c r="AC181" s="60">
        <v>554.42005252633203</v>
      </c>
      <c r="AD181" s="50">
        <v>13.9247537826457</v>
      </c>
      <c r="AE181" s="60">
        <v>341.71100444686698</v>
      </c>
      <c r="AF181" s="61">
        <v>1.6550759404606501</v>
      </c>
      <c r="AG181" s="61">
        <v>2.9329975334598299</v>
      </c>
      <c r="AH181" s="61">
        <v>5.1618683878157497E-2</v>
      </c>
      <c r="AI181" s="50">
        <v>20.258895753241401</v>
      </c>
      <c r="AJ181" s="61">
        <v>0.20040695031519501</v>
      </c>
      <c r="AK181" s="61">
        <v>2.7028051735902698</v>
      </c>
      <c r="AL181" s="61">
        <v>3.25809698074722</v>
      </c>
      <c r="AM181" s="61">
        <v>0.97172701970968001</v>
      </c>
      <c r="AN181" s="50">
        <v>12.7575184562386</v>
      </c>
      <c r="AO181" s="61">
        <v>3.3191213301407099</v>
      </c>
      <c r="AP181" s="50">
        <v>33.133790178340199</v>
      </c>
      <c r="AQ181" s="50">
        <v>11.3070292319349</v>
      </c>
      <c r="AR181" s="50">
        <v>46.3288797194596</v>
      </c>
      <c r="AS181" s="61">
        <v>9.4766636069161798</v>
      </c>
      <c r="AT181" s="50">
        <v>88.764506879437803</v>
      </c>
      <c r="AU181" s="50">
        <v>18.471141281435798</v>
      </c>
      <c r="AV181" s="60">
        <v>9679.2559363152595</v>
      </c>
      <c r="AW181" s="61">
        <v>0.57554049805555396</v>
      </c>
      <c r="AX181" s="65">
        <v>4.9562767611868203E-2</v>
      </c>
      <c r="AY181" s="65">
        <v>0</v>
      </c>
      <c r="AZ181" s="63">
        <v>0</v>
      </c>
      <c r="BA181" s="65">
        <v>2.5184878281366602E-3</v>
      </c>
      <c r="BB181" s="50">
        <v>132.38546505524201</v>
      </c>
      <c r="BC181" s="50">
        <v>66.811390204491303</v>
      </c>
      <c r="BD181" s="60">
        <v>245.19812444479999</v>
      </c>
    </row>
    <row r="182" spans="1:56" s="41" customFormat="1" ht="12" customHeight="1">
      <c r="A182" s="47" t="s">
        <v>34</v>
      </c>
      <c r="B182" s="41" t="s">
        <v>295</v>
      </c>
      <c r="C182" s="41" t="s">
        <v>126</v>
      </c>
      <c r="D182" s="50">
        <v>124.55592767628799</v>
      </c>
      <c r="E182" s="50">
        <v>55.143833623343902</v>
      </c>
      <c r="F182" s="60">
        <v>185.213061877613</v>
      </c>
      <c r="G182" s="122">
        <f t="shared" si="4"/>
        <v>0.29773188275340112</v>
      </c>
      <c r="H182" s="61">
        <v>2.9908933881969699</v>
      </c>
      <c r="I182" s="62">
        <v>0.26175375130573197</v>
      </c>
      <c r="J182" s="62">
        <v>4.0989047481072198E-3</v>
      </c>
      <c r="K182" s="62">
        <v>20.1836639360879</v>
      </c>
      <c r="L182" s="62">
        <v>0.60125339292174296</v>
      </c>
      <c r="M182" s="62">
        <v>0.55206147965760199</v>
      </c>
      <c r="N182" s="62">
        <v>1.30985408365283E-2</v>
      </c>
      <c r="O182" s="62">
        <v>0.79648562051210503</v>
      </c>
      <c r="P182" s="62">
        <v>0.16816057738748799</v>
      </c>
      <c r="Q182" s="62">
        <v>2.6393271538569002E-3</v>
      </c>
      <c r="R182" s="62">
        <v>2.3653489350699801</v>
      </c>
      <c r="S182" s="60">
        <v>3257.09</v>
      </c>
      <c r="T182" s="69">
        <v>25.462500000000102</v>
      </c>
      <c r="U182" s="60">
        <v>3100.1983201346102</v>
      </c>
      <c r="V182" s="69">
        <v>28.896497176684299</v>
      </c>
      <c r="W182" s="60">
        <v>2833.7407520250799</v>
      </c>
      <c r="X182" s="69">
        <v>54.425687725926302</v>
      </c>
      <c r="Y182" s="60">
        <v>3141.5938473251299</v>
      </c>
      <c r="Z182" s="69">
        <v>45.667251817881599</v>
      </c>
      <c r="AA182" s="71">
        <f t="shared" si="5"/>
        <v>0.9101920107809427</v>
      </c>
      <c r="AB182" s="50">
        <v>32.731290000000001</v>
      </c>
      <c r="AC182" s="60">
        <v>718.50047826725802</v>
      </c>
      <c r="AD182" s="61">
        <v>5.9592363508948996</v>
      </c>
      <c r="AE182" s="60">
        <v>777.645474855011</v>
      </c>
      <c r="AF182" s="61">
        <v>1.74671891488325</v>
      </c>
      <c r="AG182" s="61">
        <v>2.5998263261885</v>
      </c>
      <c r="AH182" s="61">
        <v>3.2741226536190302</v>
      </c>
      <c r="AI182" s="50">
        <v>19.7154482675362</v>
      </c>
      <c r="AJ182" s="61">
        <v>2.08817968070966</v>
      </c>
      <c r="AK182" s="50">
        <v>10.504634957987699</v>
      </c>
      <c r="AL182" s="61">
        <v>7.3753938848344802</v>
      </c>
      <c r="AM182" s="50">
        <v>18.3601090086133</v>
      </c>
      <c r="AN182" s="50">
        <v>19.576739193609001</v>
      </c>
      <c r="AO182" s="61">
        <v>6.3632398406710404</v>
      </c>
      <c r="AP182" s="50">
        <v>66.660213526838305</v>
      </c>
      <c r="AQ182" s="50">
        <v>24.719417702975498</v>
      </c>
      <c r="AR182" s="60">
        <v>109.146334782604</v>
      </c>
      <c r="AS182" s="50">
        <v>22.404341599505901</v>
      </c>
      <c r="AT182" s="60">
        <v>203.55050965465799</v>
      </c>
      <c r="AU182" s="50">
        <v>40.1272449572756</v>
      </c>
      <c r="AV182" s="60">
        <v>9214.1674078171509</v>
      </c>
      <c r="AW182" s="61">
        <v>0.97104738080016295</v>
      </c>
      <c r="AX182" s="65">
        <v>0.45939680468011501</v>
      </c>
      <c r="AY182" s="65">
        <v>0</v>
      </c>
      <c r="AZ182" s="61">
        <v>2.9908933881969699</v>
      </c>
      <c r="BA182" s="65">
        <v>1.9175613904235798E-2</v>
      </c>
      <c r="BB182" s="50">
        <v>124.55592767628799</v>
      </c>
      <c r="BC182" s="50">
        <v>55.143833623343902</v>
      </c>
      <c r="BD182" s="60">
        <v>185.213061877613</v>
      </c>
    </row>
    <row r="183" spans="1:56" s="41" customFormat="1" ht="12" customHeight="1">
      <c r="A183" s="47" t="s">
        <v>34</v>
      </c>
      <c r="B183" s="41" t="s">
        <v>296</v>
      </c>
      <c r="C183" s="41" t="s">
        <v>135</v>
      </c>
      <c r="D183" s="61">
        <v>16.980583469292998</v>
      </c>
      <c r="E183" s="60">
        <v>483.86528902306998</v>
      </c>
      <c r="F183" s="60">
        <v>496.94056059020198</v>
      </c>
      <c r="G183" s="122">
        <f t="shared" si="4"/>
        <v>0.97368845973932394</v>
      </c>
      <c r="H183" s="61">
        <v>0.16645691505107499</v>
      </c>
      <c r="I183" s="62">
        <v>4.9912742308987103E-2</v>
      </c>
      <c r="J183" s="62">
        <v>1.53252725414408E-3</v>
      </c>
      <c r="K183" s="62">
        <v>0.173164041121664</v>
      </c>
      <c r="L183" s="62">
        <v>5.2670887786005196E-3</v>
      </c>
      <c r="M183" s="62">
        <v>2.50980958990643E-2</v>
      </c>
      <c r="N183" s="62">
        <v>2.12265295950321E-4</v>
      </c>
      <c r="O183" s="62">
        <v>0.27805153368236302</v>
      </c>
      <c r="P183" s="62">
        <v>7.9391898773157402E-3</v>
      </c>
      <c r="Q183" s="62">
        <v>1.36530059788576E-4</v>
      </c>
      <c r="R183" s="62">
        <v>0.77457284451419095</v>
      </c>
      <c r="S183" s="60">
        <v>190.82</v>
      </c>
      <c r="T183" s="69">
        <v>72.209999999999994</v>
      </c>
      <c r="U183" s="60">
        <v>162.16114880148001</v>
      </c>
      <c r="V183" s="69">
        <v>4.5600417773572701</v>
      </c>
      <c r="W183" s="60">
        <v>159.79572169064701</v>
      </c>
      <c r="X183" s="69">
        <v>1.3376340147065899</v>
      </c>
      <c r="Y183" s="60">
        <v>159.83507482035299</v>
      </c>
      <c r="Z183" s="69">
        <v>2.7378405159540198</v>
      </c>
      <c r="AA183" s="71">
        <f t="shared" si="5"/>
        <v>0.98530593798344901</v>
      </c>
      <c r="AB183" s="50">
        <v>32.731290000000001</v>
      </c>
      <c r="AC183" s="60">
        <v>507.24023448128298</v>
      </c>
      <c r="AD183" s="61">
        <v>3.8532967113857599</v>
      </c>
      <c r="AE183" s="60">
        <v>788.26066941485897</v>
      </c>
      <c r="AF183" s="61">
        <v>2.2987565824065102</v>
      </c>
      <c r="AG183" s="61">
        <v>2.9371935193703898E-2</v>
      </c>
      <c r="AH183" s="61">
        <v>5.3482552505666704E-3</v>
      </c>
      <c r="AI183" s="50">
        <v>26.971322869520598</v>
      </c>
      <c r="AJ183" s="65">
        <v>2.82295109942996E-2</v>
      </c>
      <c r="AK183" s="61">
        <v>0.60652289209279897</v>
      </c>
      <c r="AL183" s="61">
        <v>1.2981365629402</v>
      </c>
      <c r="AM183" s="61">
        <v>0.84638873566375805</v>
      </c>
      <c r="AN183" s="61">
        <v>9.0851374477914799</v>
      </c>
      <c r="AO183" s="61">
        <v>3.48657603788069</v>
      </c>
      <c r="AP183" s="50">
        <v>48.185549729044801</v>
      </c>
      <c r="AQ183" s="50">
        <v>22.407922499603</v>
      </c>
      <c r="AR183" s="60">
        <v>125.91052003371399</v>
      </c>
      <c r="AS183" s="50">
        <v>33.536729290687397</v>
      </c>
      <c r="AT183" s="60">
        <v>393.367366438994</v>
      </c>
      <c r="AU183" s="60">
        <v>105.056551537771</v>
      </c>
      <c r="AV183" s="60">
        <v>9185.4531548204304</v>
      </c>
      <c r="AW183" s="61">
        <v>0.41791228992871698</v>
      </c>
      <c r="AX183" s="65">
        <v>7.0937841211274697E-3</v>
      </c>
      <c r="AY183" s="65">
        <v>0</v>
      </c>
      <c r="AZ183" s="61">
        <v>0.16645691505107499</v>
      </c>
      <c r="BA183" s="65">
        <v>0</v>
      </c>
      <c r="BB183" s="61">
        <v>16.980583469292998</v>
      </c>
      <c r="BC183" s="60">
        <v>483.86528902306998</v>
      </c>
      <c r="BD183" s="60">
        <v>496.94056059020198</v>
      </c>
    </row>
    <row r="184" spans="1:56" s="41" customFormat="1" ht="12" customHeight="1">
      <c r="A184" s="47" t="s">
        <v>34</v>
      </c>
      <c r="B184" s="41" t="s">
        <v>297</v>
      </c>
      <c r="C184" s="41" t="s">
        <v>135</v>
      </c>
      <c r="D184" s="50">
        <v>319.16153585469601</v>
      </c>
      <c r="E184" s="60">
        <v>251.02087802197599</v>
      </c>
      <c r="F184" s="60">
        <v>756.43743573669201</v>
      </c>
      <c r="G184" s="122">
        <f t="shared" si="4"/>
        <v>0.33184618603322769</v>
      </c>
      <c r="H184" s="63">
        <v>0</v>
      </c>
      <c r="I184" s="62">
        <v>0.12213334518878501</v>
      </c>
      <c r="J184" s="62">
        <v>2.2576091893037799E-3</v>
      </c>
      <c r="K184" s="62">
        <v>5.8892408426249299</v>
      </c>
      <c r="L184" s="62">
        <v>0.110199408633444</v>
      </c>
      <c r="M184" s="62">
        <v>0.34821929542944202</v>
      </c>
      <c r="N184" s="62">
        <v>2.8375116823243E-3</v>
      </c>
      <c r="O184" s="62">
        <v>0.43547665380133699</v>
      </c>
      <c r="P184" s="62">
        <v>0.105887348525427</v>
      </c>
      <c r="Q184" s="62">
        <v>2.0003097798999901E-3</v>
      </c>
      <c r="R184" s="62">
        <v>2.50685359410015</v>
      </c>
      <c r="S184" s="60">
        <v>1987.35</v>
      </c>
      <c r="T184" s="69">
        <v>32.712499999999999</v>
      </c>
      <c r="U184" s="60">
        <v>1959.6495877161799</v>
      </c>
      <c r="V184" s="69">
        <v>16.2965094608535</v>
      </c>
      <c r="W184" s="60">
        <v>1926.0898071113099</v>
      </c>
      <c r="X184" s="69">
        <v>13.6071680174853</v>
      </c>
      <c r="Y184" s="60">
        <v>2034.32123401951</v>
      </c>
      <c r="Z184" s="69">
        <v>36.559526783956102</v>
      </c>
      <c r="AA184" s="71">
        <f t="shared" si="5"/>
        <v>0.98272669513063937</v>
      </c>
      <c r="AB184" s="50">
        <v>32.731290000000001</v>
      </c>
      <c r="AC184" s="60">
        <v>592.80516628295095</v>
      </c>
      <c r="AD184" s="50">
        <v>12.958997879304601</v>
      </c>
      <c r="AE184" s="60">
        <v>469.08442896616299</v>
      </c>
      <c r="AF184" s="61">
        <v>3.8645624376267098</v>
      </c>
      <c r="AG184" s="61">
        <v>2.9159836168266202</v>
      </c>
      <c r="AH184" s="61">
        <v>6.9019193749396104</v>
      </c>
      <c r="AI184" s="50">
        <v>37.473173509605097</v>
      </c>
      <c r="AJ184" s="61">
        <v>1.50741495963276</v>
      </c>
      <c r="AK184" s="61">
        <v>5.9095705880553604</v>
      </c>
      <c r="AL184" s="61">
        <v>2.7576195483844499</v>
      </c>
      <c r="AM184" s="61">
        <v>0.86912379930962003</v>
      </c>
      <c r="AN184" s="61">
        <v>7.0323125152348798</v>
      </c>
      <c r="AO184" s="61">
        <v>2.3161698684713401</v>
      </c>
      <c r="AP184" s="50">
        <v>29.1826636233729</v>
      </c>
      <c r="AQ184" s="50">
        <v>12.8002879631978</v>
      </c>
      <c r="AR184" s="50">
        <v>74.009853857311199</v>
      </c>
      <c r="AS184" s="50">
        <v>20.413947819177501</v>
      </c>
      <c r="AT184" s="60">
        <v>253.25450189775901</v>
      </c>
      <c r="AU184" s="50">
        <v>69.8062483378515</v>
      </c>
      <c r="AV184" s="60">
        <v>13537.6137602976</v>
      </c>
      <c r="AW184" s="61">
        <v>1.9480992375386199</v>
      </c>
      <c r="AX184" s="65">
        <v>3.0866453741125701E-2</v>
      </c>
      <c r="AY184" s="65">
        <v>0</v>
      </c>
      <c r="AZ184" s="63">
        <v>0</v>
      </c>
      <c r="BA184" s="65">
        <v>3.7396141166332497E-2</v>
      </c>
      <c r="BB184" s="50">
        <v>319.16153585469601</v>
      </c>
      <c r="BC184" s="60">
        <v>251.02087802197599</v>
      </c>
      <c r="BD184" s="60">
        <v>756.43743573669201</v>
      </c>
    </row>
    <row r="185" spans="1:56" s="41" customFormat="1" ht="12" customHeight="1">
      <c r="A185" s="47" t="s">
        <v>34</v>
      </c>
      <c r="B185" s="41" t="s">
        <v>298</v>
      </c>
      <c r="C185" s="41" t="s">
        <v>135</v>
      </c>
      <c r="D185" s="61">
        <v>10.5179598903191</v>
      </c>
      <c r="E185" s="60">
        <v>234.493134926203</v>
      </c>
      <c r="F185" s="60">
        <v>309.75647866441699</v>
      </c>
      <c r="G185" s="122">
        <f t="shared" si="4"/>
        <v>0.75702414986531219</v>
      </c>
      <c r="H185" s="63">
        <v>0</v>
      </c>
      <c r="I185" s="62">
        <v>5.2975869934545401E-2</v>
      </c>
      <c r="J185" s="62">
        <v>2.1475013529754501E-3</v>
      </c>
      <c r="K185" s="62">
        <v>0.19038697983632599</v>
      </c>
      <c r="L185" s="62">
        <v>7.4838455246677401E-3</v>
      </c>
      <c r="M185" s="62">
        <v>2.6098681742435199E-2</v>
      </c>
      <c r="N185" s="62">
        <v>2.35921454985065E-4</v>
      </c>
      <c r="O185" s="62">
        <v>0.229964763731969</v>
      </c>
      <c r="P185" s="62">
        <v>8.5554341489195596E-3</v>
      </c>
      <c r="Q185" s="62">
        <v>1.8985951274915001E-4</v>
      </c>
      <c r="R185" s="62">
        <v>1.0048408767257899</v>
      </c>
      <c r="S185" s="60">
        <v>327.83499999999998</v>
      </c>
      <c r="T185" s="69">
        <v>92.582499999999996</v>
      </c>
      <c r="U185" s="60">
        <v>176.95938203724299</v>
      </c>
      <c r="V185" s="69">
        <v>6.3847471442615502</v>
      </c>
      <c r="W185" s="60">
        <v>166.084919638939</v>
      </c>
      <c r="X185" s="69">
        <v>1.4848758321554201</v>
      </c>
      <c r="Y185" s="60">
        <v>172.18885965674599</v>
      </c>
      <c r="Z185" s="69">
        <v>3.8049309986529898</v>
      </c>
      <c r="AA185" s="71">
        <f t="shared" si="5"/>
        <v>0.93660024466129166</v>
      </c>
      <c r="AB185" s="50">
        <v>32.731290000000001</v>
      </c>
      <c r="AC185" s="60">
        <v>655.43966077021605</v>
      </c>
      <c r="AD185" s="61">
        <v>2.5353932240848498</v>
      </c>
      <c r="AE185" s="60">
        <v>878.37256927456099</v>
      </c>
      <c r="AF185" s="61">
        <v>1.1777307536497901</v>
      </c>
      <c r="AG185" s="61">
        <v>0.18139178777806</v>
      </c>
      <c r="AH185" s="61">
        <v>3.7953847249764401</v>
      </c>
      <c r="AI185" s="50">
        <v>23.0636040449216</v>
      </c>
      <c r="AJ185" s="61">
        <v>0.568165056068481</v>
      </c>
      <c r="AK185" s="61">
        <v>2.5616244764493099</v>
      </c>
      <c r="AL185" s="61">
        <v>2.4702773138477698</v>
      </c>
      <c r="AM185" s="61">
        <v>1.30778642405405</v>
      </c>
      <c r="AN185" s="50">
        <v>13.5602183124389</v>
      </c>
      <c r="AO185" s="61">
        <v>4.4008640333299001</v>
      </c>
      <c r="AP185" s="50">
        <v>55.6810105071633</v>
      </c>
      <c r="AQ185" s="50">
        <v>25.2594543700774</v>
      </c>
      <c r="AR185" s="60">
        <v>137.270986734324</v>
      </c>
      <c r="AS185" s="50">
        <v>35.730867843692998</v>
      </c>
      <c r="AT185" s="60">
        <v>420.45869224056702</v>
      </c>
      <c r="AU185" s="60">
        <v>108.34801456720101</v>
      </c>
      <c r="AV185" s="60">
        <v>8953.4443931330497</v>
      </c>
      <c r="AW185" s="61">
        <v>0.26196017188744802</v>
      </c>
      <c r="AX185" s="65">
        <v>9.7309582656806299E-3</v>
      </c>
      <c r="AY185" s="65">
        <v>0</v>
      </c>
      <c r="AZ185" s="63">
        <v>0</v>
      </c>
      <c r="BA185" s="65">
        <v>2.5217776797498001E-3</v>
      </c>
      <c r="BB185" s="61">
        <v>10.5179598903191</v>
      </c>
      <c r="BC185" s="60">
        <v>234.493134926203</v>
      </c>
      <c r="BD185" s="60">
        <v>309.75647866441699</v>
      </c>
    </row>
    <row r="186" spans="1:56" s="41" customFormat="1" ht="12" customHeight="1">
      <c r="A186" s="47" t="s">
        <v>34</v>
      </c>
      <c r="B186" s="41" t="s">
        <v>299</v>
      </c>
      <c r="C186" s="41" t="s">
        <v>135</v>
      </c>
      <c r="D186" s="61">
        <v>8.4085581003686407</v>
      </c>
      <c r="E186" s="60">
        <v>149.44153286156899</v>
      </c>
      <c r="F186" s="60">
        <v>260.23237576052401</v>
      </c>
      <c r="G186" s="122">
        <f t="shared" si="4"/>
        <v>0.57426187815727792</v>
      </c>
      <c r="H186" s="63">
        <v>0</v>
      </c>
      <c r="I186" s="62">
        <v>5.1419088814771002E-2</v>
      </c>
      <c r="J186" s="62">
        <v>2.0102192174021498E-3</v>
      </c>
      <c r="K186" s="62">
        <v>0.18575092591832501</v>
      </c>
      <c r="L186" s="62">
        <v>7.1114371901616E-3</v>
      </c>
      <c r="M186" s="62">
        <v>2.6242532445651001E-2</v>
      </c>
      <c r="N186" s="62">
        <v>2.7628644888292198E-4</v>
      </c>
      <c r="O186" s="62">
        <v>0.27499667975712599</v>
      </c>
      <c r="P186" s="62">
        <v>8.5808950258587403E-3</v>
      </c>
      <c r="Q186" s="62">
        <v>2.2968878312818901E-4</v>
      </c>
      <c r="R186" s="62">
        <v>1.32142609986897</v>
      </c>
      <c r="S186" s="60">
        <v>261.17500000000001</v>
      </c>
      <c r="T186" s="69">
        <v>88.875</v>
      </c>
      <c r="U186" s="60">
        <v>172.99717383023</v>
      </c>
      <c r="V186" s="69">
        <v>6.0908069539266299</v>
      </c>
      <c r="W186" s="60">
        <v>166.98859121988801</v>
      </c>
      <c r="X186" s="69">
        <v>1.7378536847232899</v>
      </c>
      <c r="Y186" s="60">
        <v>172.699108817894</v>
      </c>
      <c r="Z186" s="69">
        <v>4.6030240786666603</v>
      </c>
      <c r="AA186" s="71">
        <f t="shared" si="5"/>
        <v>0.96465391655761679</v>
      </c>
      <c r="AB186" s="50">
        <v>32.731290000000001</v>
      </c>
      <c r="AC186" s="60">
        <v>491.51716402780801</v>
      </c>
      <c r="AD186" s="61">
        <v>3.6068670542653298</v>
      </c>
      <c r="AE186" s="60">
        <v>599.89976150364896</v>
      </c>
      <c r="AF186" s="61">
        <v>1.7924356851627099</v>
      </c>
      <c r="AG186" s="61">
        <v>2.9652959237081999E-2</v>
      </c>
      <c r="AH186" s="61">
        <v>3.6010838793671201E-3</v>
      </c>
      <c r="AI186" s="50">
        <v>17.436034108554502</v>
      </c>
      <c r="AJ186" s="65">
        <v>1.89919522259888E-2</v>
      </c>
      <c r="AK186" s="61">
        <v>0.38866968885987502</v>
      </c>
      <c r="AL186" s="61">
        <v>0.90678236469024998</v>
      </c>
      <c r="AM186" s="61">
        <v>0.53978360575710305</v>
      </c>
      <c r="AN186" s="61">
        <v>5.9143536959693099</v>
      </c>
      <c r="AO186" s="61">
        <v>2.32976202574309</v>
      </c>
      <c r="AP186" s="50">
        <v>34.246227890958103</v>
      </c>
      <c r="AQ186" s="50">
        <v>16.943008317166701</v>
      </c>
      <c r="AR186" s="50">
        <v>98.443342028887798</v>
      </c>
      <c r="AS186" s="50">
        <v>26.448840252397599</v>
      </c>
      <c r="AT186" s="60">
        <v>324.45013493359602</v>
      </c>
      <c r="AU186" s="50">
        <v>86.598466718232999</v>
      </c>
      <c r="AV186" s="60">
        <v>8831.0926255963495</v>
      </c>
      <c r="AW186" s="61">
        <v>0.33398479130980102</v>
      </c>
      <c r="AX186" s="65">
        <v>1.4342874819940701E-2</v>
      </c>
      <c r="AY186" s="65">
        <v>0</v>
      </c>
      <c r="AZ186" s="63">
        <v>0</v>
      </c>
      <c r="BA186" s="65">
        <v>1.18094872252644E-3</v>
      </c>
      <c r="BB186" s="61">
        <v>8.4085581003686407</v>
      </c>
      <c r="BC186" s="60">
        <v>149.44153286156899</v>
      </c>
      <c r="BD186" s="60">
        <v>260.23237576052401</v>
      </c>
    </row>
    <row r="187" spans="1:56" s="45" customFormat="1" ht="12" customHeight="1">
      <c r="A187" s="47" t="s">
        <v>34</v>
      </c>
      <c r="B187" s="45" t="s">
        <v>300</v>
      </c>
      <c r="C187" s="45" t="s">
        <v>126</v>
      </c>
      <c r="D187" s="81">
        <v>406.37321172816399</v>
      </c>
      <c r="E187" s="81">
        <v>3025.7111412893601</v>
      </c>
      <c r="F187" s="81">
        <v>2156.4040264165601</v>
      </c>
      <c r="G187" s="122">
        <f t="shared" si="4"/>
        <v>1.4031281263731386</v>
      </c>
      <c r="H187" s="82">
        <v>62.229692812029</v>
      </c>
      <c r="I187" s="87">
        <v>0.133944136464135</v>
      </c>
      <c r="J187" s="87">
        <v>2.1144348747585101E-3</v>
      </c>
      <c r="K187" s="87">
        <v>2.3999240931782002</v>
      </c>
      <c r="L187" s="87">
        <v>4.23654404625676E-2</v>
      </c>
      <c r="M187" s="87">
        <v>0.13039893784506701</v>
      </c>
      <c r="N187" s="87">
        <v>2.08702804451862E-3</v>
      </c>
      <c r="O187" s="87">
        <v>0.90665071992810298</v>
      </c>
      <c r="P187" s="87">
        <v>1.3963195591440899E-2</v>
      </c>
      <c r="Q187" s="87">
        <v>3.6233058507970301E-4</v>
      </c>
      <c r="R187" s="87">
        <v>0.53032502725642505</v>
      </c>
      <c r="S187" s="81">
        <v>2150.3049999999998</v>
      </c>
      <c r="T187" s="90">
        <v>26.700000000000301</v>
      </c>
      <c r="U187" s="81">
        <v>1242.5781650373899</v>
      </c>
      <c r="V187" s="90">
        <v>12.6805679921564</v>
      </c>
      <c r="W187" s="81">
        <v>790.14093640762599</v>
      </c>
      <c r="X187" s="90">
        <v>11.9095032102591</v>
      </c>
      <c r="Y187" s="81">
        <v>280.27505304416098</v>
      </c>
      <c r="Z187" s="90">
        <v>7.2226571665707198</v>
      </c>
      <c r="AA187" s="71">
        <f t="shared" si="5"/>
        <v>0.55484530222780304</v>
      </c>
      <c r="AB187" s="82">
        <v>32.731290000000001</v>
      </c>
      <c r="AC187" s="81">
        <v>1461.5204381742999</v>
      </c>
      <c r="AD187" s="81">
        <v>380.79104784711501</v>
      </c>
      <c r="AE187" s="81">
        <v>10003.567396759699</v>
      </c>
      <c r="AF187" s="81">
        <v>1015.92296359259</v>
      </c>
      <c r="AG187" s="88">
        <v>78.958500442532696</v>
      </c>
      <c r="AH187" s="88">
        <v>134.16758964940701</v>
      </c>
      <c r="AI187" s="81">
        <v>781.59145074736398</v>
      </c>
      <c r="AJ187" s="82">
        <v>78.1731954296379</v>
      </c>
      <c r="AK187" s="81">
        <v>373.17867258571101</v>
      </c>
      <c r="AL187" s="81">
        <v>194.518060096537</v>
      </c>
      <c r="AM187" s="82">
        <v>89.620317689742294</v>
      </c>
      <c r="AN187" s="81">
        <v>411.92299604861</v>
      </c>
      <c r="AO187" s="81">
        <v>121.542884751259</v>
      </c>
      <c r="AP187" s="81">
        <v>1181.4782957474699</v>
      </c>
      <c r="AQ187" s="81">
        <v>340.38999339923402</v>
      </c>
      <c r="AR187" s="81">
        <v>1372.8702916367899</v>
      </c>
      <c r="AS187" s="81">
        <v>306.83467233661099</v>
      </c>
      <c r="AT187" s="81">
        <v>3029.4639044769101</v>
      </c>
      <c r="AU187" s="81">
        <v>574.87721457759403</v>
      </c>
      <c r="AV187" s="81">
        <v>18572.0560398056</v>
      </c>
      <c r="AW187" s="81">
        <v>200.65530238413399</v>
      </c>
      <c r="AX187" s="91">
        <v>12.229126299976</v>
      </c>
      <c r="AY187" s="91">
        <v>0</v>
      </c>
      <c r="AZ187" s="82">
        <v>62.229692812029</v>
      </c>
      <c r="BA187" s="91">
        <v>0.57474814063297897</v>
      </c>
      <c r="BB187" s="81">
        <v>406.37321172816399</v>
      </c>
      <c r="BC187" s="81">
        <v>3025.7111412893601</v>
      </c>
      <c r="BD187" s="81">
        <v>2156.4040264165601</v>
      </c>
    </row>
    <row r="188" spans="1:56" s="45" customFormat="1" ht="12" customHeight="1">
      <c r="A188" s="47" t="s">
        <v>34</v>
      </c>
      <c r="B188" s="45" t="s">
        <v>301</v>
      </c>
      <c r="D188" s="82">
        <v>45.714110230532199</v>
      </c>
      <c r="E188" s="82">
        <v>84.604606455051794</v>
      </c>
      <c r="F188" s="81">
        <v>206.24871859798901</v>
      </c>
      <c r="G188" s="122">
        <f t="shared" si="4"/>
        <v>0.41020670106542284</v>
      </c>
      <c r="H188" s="88">
        <v>0.266916465235287</v>
      </c>
      <c r="I188" s="87">
        <v>9.2788984883293998E-2</v>
      </c>
      <c r="J188" s="87">
        <v>1.92678856978724E-3</v>
      </c>
      <c r="K188" s="87">
        <v>2.2788505694916701</v>
      </c>
      <c r="L188" s="87">
        <v>4.7523082556174802E-2</v>
      </c>
      <c r="M188" s="87">
        <v>0.17774198067876501</v>
      </c>
      <c r="N188" s="87">
        <v>1.6892308571218801E-3</v>
      </c>
      <c r="O188" s="87">
        <v>0.45573274644440198</v>
      </c>
      <c r="P188" s="87">
        <v>7.1893571963108999E-2</v>
      </c>
      <c r="Q188" s="87">
        <v>1.2461687886847199E-3</v>
      </c>
      <c r="R188" s="87">
        <v>1.8458957594774199</v>
      </c>
      <c r="S188" s="81">
        <v>1483.645</v>
      </c>
      <c r="T188" s="90">
        <v>40.277500000000003</v>
      </c>
      <c r="U188" s="81">
        <v>1205.76019175344</v>
      </c>
      <c r="V188" s="90">
        <v>14.739605447144699</v>
      </c>
      <c r="W188" s="81">
        <v>1054.6271043132299</v>
      </c>
      <c r="X188" s="90">
        <v>9.2635895508939203</v>
      </c>
      <c r="Y188" s="81">
        <v>1403.26989054829</v>
      </c>
      <c r="Z188" s="90">
        <v>23.4984599575962</v>
      </c>
      <c r="AA188" s="71">
        <f t="shared" si="5"/>
        <v>0.86627682105345505</v>
      </c>
      <c r="AB188" s="82">
        <v>32.731290000000001</v>
      </c>
      <c r="AC188" s="81">
        <v>421.43236383961801</v>
      </c>
      <c r="AD188" s="82">
        <v>13.2976798613055</v>
      </c>
      <c r="AE188" s="81">
        <v>615.54667758597895</v>
      </c>
      <c r="AF188" s="88">
        <v>1.7505326713441201</v>
      </c>
      <c r="AG188" s="88">
        <v>1.21191060734709</v>
      </c>
      <c r="AH188" s="88">
        <v>0.19204917420666601</v>
      </c>
      <c r="AI188" s="82">
        <v>10.778003874945499</v>
      </c>
      <c r="AJ188" s="91">
        <v>9.6252405628987903E-2</v>
      </c>
      <c r="AK188" s="88">
        <v>1.0396803856165799</v>
      </c>
      <c r="AL188" s="88">
        <v>1.8973250661282299</v>
      </c>
      <c r="AM188" s="88">
        <v>0.365714021497828</v>
      </c>
      <c r="AN188" s="82">
        <v>11.362760492699501</v>
      </c>
      <c r="AO188" s="88">
        <v>4.1583988402585703</v>
      </c>
      <c r="AP188" s="82">
        <v>48.968208405112698</v>
      </c>
      <c r="AQ188" s="82">
        <v>19.755459712327902</v>
      </c>
      <c r="AR188" s="82">
        <v>95.794776760625098</v>
      </c>
      <c r="AS188" s="82">
        <v>21.059932419964898</v>
      </c>
      <c r="AT188" s="81">
        <v>205.691716073892</v>
      </c>
      <c r="AU188" s="82">
        <v>43.171792718860097</v>
      </c>
      <c r="AV188" s="81">
        <v>10321.7098887309</v>
      </c>
      <c r="AW188" s="88">
        <v>0.73020809835424605</v>
      </c>
      <c r="AX188" s="91">
        <v>8.9754138571490394E-2</v>
      </c>
      <c r="AY188" s="91">
        <v>0</v>
      </c>
      <c r="AZ188" s="88">
        <v>0.266916465235287</v>
      </c>
      <c r="BA188" s="91">
        <v>1.3302452205849699E-2</v>
      </c>
      <c r="BB188" s="82">
        <v>45.714110230532199</v>
      </c>
      <c r="BC188" s="82">
        <v>84.604606455051794</v>
      </c>
      <c r="BD188" s="81">
        <v>206.24871859798901</v>
      </c>
    </row>
    <row r="189" spans="1:56" s="45" customFormat="1" ht="12" customHeight="1">
      <c r="A189" s="47" t="s">
        <v>34</v>
      </c>
      <c r="B189" s="45" t="s">
        <v>302</v>
      </c>
      <c r="C189" s="45" t="s">
        <v>126</v>
      </c>
      <c r="D189" s="81">
        <v>1017.3489283392501</v>
      </c>
      <c r="E189" s="81">
        <v>6872.0460170416</v>
      </c>
      <c r="F189" s="81">
        <v>5262.6145088063104</v>
      </c>
      <c r="G189" s="122">
        <f t="shared" si="4"/>
        <v>1.3058235608065367</v>
      </c>
      <c r="H189" s="81">
        <v>581.55313936501602</v>
      </c>
      <c r="I189" s="87">
        <v>7.5262408359930102E-2</v>
      </c>
      <c r="J189" s="87">
        <v>1.5519553339251599E-2</v>
      </c>
      <c r="K189" s="87">
        <v>0.80278317638491803</v>
      </c>
      <c r="L189" s="87">
        <v>0.13201668125194299</v>
      </c>
      <c r="M189" s="87">
        <v>6.4785449743600801E-2</v>
      </c>
      <c r="N189" s="87">
        <v>8.6048832850213496E-4</v>
      </c>
      <c r="O189" s="87">
        <v>8.0767559017123E-2</v>
      </c>
      <c r="P189" s="87">
        <v>1.443339945172E-3</v>
      </c>
      <c r="Q189" s="87">
        <v>1.62879411922514E-3</v>
      </c>
      <c r="R189" s="87">
        <v>0.57333843773063997</v>
      </c>
      <c r="S189" s="81">
        <v>1075.93</v>
      </c>
      <c r="T189" s="90">
        <v>424.0625</v>
      </c>
      <c r="U189" s="81">
        <v>598.39740047147905</v>
      </c>
      <c r="V189" s="90">
        <v>74.356977507749406</v>
      </c>
      <c r="W189" s="81">
        <v>404.66284110661701</v>
      </c>
      <c r="X189" s="90">
        <v>5.2141413620409001</v>
      </c>
      <c r="Y189" s="82">
        <v>29.1520835019607</v>
      </c>
      <c r="Z189" s="90">
        <v>32.874110234928303</v>
      </c>
      <c r="AA189" s="71">
        <f t="shared" si="5"/>
        <v>0.61371301276967571</v>
      </c>
      <c r="AB189" s="82">
        <v>32.731290000000001</v>
      </c>
      <c r="AC189" s="81">
        <v>6760.8892186232097</v>
      </c>
      <c r="AD189" s="81">
        <v>1147.9109785330299</v>
      </c>
      <c r="AE189" s="81">
        <v>43253.265702513403</v>
      </c>
      <c r="AF189" s="81">
        <v>3914.1429631034698</v>
      </c>
      <c r="AG189" s="88">
        <v>225.75695912935799</v>
      </c>
      <c r="AH189" s="88">
        <v>289.78014724119402</v>
      </c>
      <c r="AI189" s="81">
        <v>1344.74014603671</v>
      </c>
      <c r="AJ189" s="81">
        <v>155.268063508648</v>
      </c>
      <c r="AK189" s="81">
        <v>810.16248774189103</v>
      </c>
      <c r="AL189" s="81">
        <v>751.51602884533997</v>
      </c>
      <c r="AM189" s="81">
        <v>256.44897848897301</v>
      </c>
      <c r="AN189" s="81">
        <v>2208.3920440545498</v>
      </c>
      <c r="AO189" s="81">
        <v>580.03861292009901</v>
      </c>
      <c r="AP189" s="81">
        <v>4888.7938891532103</v>
      </c>
      <c r="AQ189" s="81">
        <v>1304.01658035582</v>
      </c>
      <c r="AR189" s="81">
        <v>4629.7049555023996</v>
      </c>
      <c r="AS189" s="81">
        <v>927.57384560213404</v>
      </c>
      <c r="AT189" s="81">
        <v>8298.7895479549006</v>
      </c>
      <c r="AU189" s="81">
        <v>1557.84462924025</v>
      </c>
      <c r="AV189" s="81">
        <v>30826.1309972446</v>
      </c>
      <c r="AW189" s="81">
        <v>710.06056594986796</v>
      </c>
      <c r="AX189" s="91">
        <v>39.658594594723603</v>
      </c>
      <c r="AY189" s="91">
        <v>0</v>
      </c>
      <c r="AZ189" s="81">
        <v>581.55313936501602</v>
      </c>
      <c r="BA189" s="91">
        <v>1.20589612533532</v>
      </c>
      <c r="BB189" s="81">
        <v>1017.3489283392501</v>
      </c>
      <c r="BC189" s="81">
        <v>6872.0460170416</v>
      </c>
      <c r="BD189" s="81">
        <v>5262.6145088063104</v>
      </c>
    </row>
    <row r="190" spans="1:56" s="41" customFormat="1" ht="12" customHeight="1">
      <c r="A190" s="47"/>
      <c r="D190" s="61"/>
      <c r="E190" s="60"/>
      <c r="F190" s="60"/>
      <c r="G190" s="122"/>
      <c r="H190" s="63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0"/>
      <c r="T190" s="69"/>
      <c r="U190" s="60"/>
      <c r="V190" s="69"/>
      <c r="W190" s="60"/>
      <c r="X190" s="69"/>
      <c r="Y190" s="60"/>
      <c r="Z190" s="69"/>
      <c r="AA190" s="71"/>
      <c r="AB190" s="50"/>
      <c r="AC190" s="60"/>
      <c r="AD190" s="61"/>
      <c r="AE190" s="60"/>
      <c r="AF190" s="61"/>
      <c r="AG190" s="61"/>
      <c r="AH190" s="61"/>
      <c r="AI190" s="50"/>
      <c r="AJ190" s="65"/>
      <c r="AK190" s="61"/>
      <c r="AL190" s="61"/>
      <c r="AM190" s="61"/>
      <c r="AN190" s="61"/>
      <c r="AO190" s="61"/>
      <c r="AP190" s="50"/>
      <c r="AQ190" s="50"/>
      <c r="AR190" s="50"/>
      <c r="AS190" s="50"/>
      <c r="AT190" s="60"/>
      <c r="AU190" s="50"/>
      <c r="AV190" s="60"/>
      <c r="AW190" s="61"/>
      <c r="AX190" s="65"/>
      <c r="AY190" s="65"/>
      <c r="AZ190" s="63"/>
      <c r="BA190" s="65"/>
      <c r="BB190" s="61"/>
      <c r="BC190" s="60"/>
      <c r="BD190" s="60"/>
    </row>
    <row r="191" spans="1:56" s="40" customFormat="1" ht="12" customHeight="1">
      <c r="A191" s="47" t="s">
        <v>36</v>
      </c>
      <c r="B191" s="40" t="s">
        <v>303</v>
      </c>
      <c r="D191" s="49">
        <v>236.428759904749</v>
      </c>
      <c r="E191" s="49">
        <v>85.691857411245195</v>
      </c>
      <c r="F191" s="56">
        <v>246.42068319093099</v>
      </c>
      <c r="G191" s="122">
        <f t="shared" si="4"/>
        <v>0.34774620499225573</v>
      </c>
      <c r="H191" s="59">
        <v>0.77572448463837096</v>
      </c>
      <c r="I191" s="58">
        <v>0.36379240950837899</v>
      </c>
      <c r="J191" s="58">
        <v>6.0746926581975898E-3</v>
      </c>
      <c r="K191" s="58">
        <v>37.761912291543403</v>
      </c>
      <c r="L191" s="58">
        <v>1.12928752536842</v>
      </c>
      <c r="M191" s="58">
        <v>0.741245497023304</v>
      </c>
      <c r="N191" s="58">
        <v>1.6506045951170702E-2</v>
      </c>
      <c r="O191" s="58">
        <v>0.74461268446461404</v>
      </c>
      <c r="P191" s="58">
        <v>0.201048824065927</v>
      </c>
      <c r="Q191" s="58">
        <v>4.0335981433733204E-3</v>
      </c>
      <c r="R191" s="58">
        <v>1.9981588006822</v>
      </c>
      <c r="S191" s="56">
        <v>3765.7350000000001</v>
      </c>
      <c r="T191" s="68">
        <v>25.310000000000201</v>
      </c>
      <c r="U191" s="56">
        <v>3713.7006879552</v>
      </c>
      <c r="V191" s="68">
        <v>29.6897095913511</v>
      </c>
      <c r="W191" s="56">
        <v>3575.1855603461399</v>
      </c>
      <c r="X191" s="68">
        <v>61.138936444818903</v>
      </c>
      <c r="Y191" s="56">
        <v>3702.7831251294201</v>
      </c>
      <c r="Z191" s="68">
        <v>67.880676710828496</v>
      </c>
      <c r="AA191" s="71">
        <f t="shared" si="5"/>
        <v>0.96199278658208154</v>
      </c>
      <c r="AB191" s="49">
        <v>32.731290000000001</v>
      </c>
      <c r="AC191" s="56">
        <v>505.98358155755801</v>
      </c>
      <c r="AD191" s="59">
        <v>4.2159002693678902</v>
      </c>
      <c r="AE191" s="56">
        <v>1021.39636318803</v>
      </c>
      <c r="AF191" s="59">
        <v>1.5927032601787301</v>
      </c>
      <c r="AG191" s="59">
        <v>1.35742196378339</v>
      </c>
      <c r="AH191" s="59">
        <v>0.134557511640921</v>
      </c>
      <c r="AI191" s="59">
        <v>5.6037262753290698</v>
      </c>
      <c r="AJ191" s="72">
        <v>7.4749860593057105E-2</v>
      </c>
      <c r="AK191" s="59">
        <v>0.78314131254887098</v>
      </c>
      <c r="AL191" s="59">
        <v>2.06209493909516</v>
      </c>
      <c r="AM191" s="59">
        <v>0.85280203472113503</v>
      </c>
      <c r="AN191" s="49">
        <v>14.087788710845301</v>
      </c>
      <c r="AO191" s="59">
        <v>5.6630109195718399</v>
      </c>
      <c r="AP191" s="49">
        <v>77.437571966319595</v>
      </c>
      <c r="AQ191" s="49">
        <v>32.945612635753903</v>
      </c>
      <c r="AR191" s="56">
        <v>159.54135511205001</v>
      </c>
      <c r="AS191" s="49">
        <v>34.6877673198304</v>
      </c>
      <c r="AT191" s="56">
        <v>332.15059565690802</v>
      </c>
      <c r="AU191" s="49">
        <v>71.166269349429498</v>
      </c>
      <c r="AV191" s="56">
        <v>7491.9035477382804</v>
      </c>
      <c r="AW191" s="59">
        <v>0.92770585486066703</v>
      </c>
      <c r="AX191" s="72">
        <v>7.8609879114080794E-2</v>
      </c>
      <c r="AY191" s="72">
        <v>0</v>
      </c>
      <c r="AZ191" s="59">
        <v>0.77572448463837096</v>
      </c>
      <c r="BA191" s="72">
        <v>2.9690922889872699E-3</v>
      </c>
      <c r="BB191" s="49">
        <v>236.428759904749</v>
      </c>
      <c r="BC191" s="49">
        <v>85.691857411245195</v>
      </c>
      <c r="BD191" s="56">
        <v>246.42068319093099</v>
      </c>
    </row>
    <row r="192" spans="1:56" s="40" customFormat="1" ht="12" customHeight="1">
      <c r="A192" s="47" t="s">
        <v>36</v>
      </c>
      <c r="B192" s="40" t="s">
        <v>304</v>
      </c>
      <c r="D192" s="49">
        <v>233.92780955454501</v>
      </c>
      <c r="E192" s="56">
        <v>104.603803617618</v>
      </c>
      <c r="F192" s="56">
        <v>217.29795410476601</v>
      </c>
      <c r="G192" s="122">
        <f t="shared" si="4"/>
        <v>0.48138420837218421</v>
      </c>
      <c r="H192" s="57">
        <v>0</v>
      </c>
      <c r="I192" s="58">
        <v>0.367525141137995</v>
      </c>
      <c r="J192" s="58">
        <v>5.6498917598945299E-3</v>
      </c>
      <c r="K192" s="58">
        <v>38.225919135024498</v>
      </c>
      <c r="L192" s="58">
        <v>0.70018740663984502</v>
      </c>
      <c r="M192" s="58">
        <v>0.75049857017657695</v>
      </c>
      <c r="N192" s="58">
        <v>7.3670910138798297E-3</v>
      </c>
      <c r="O192" s="58">
        <v>0.53590746587660798</v>
      </c>
      <c r="P192" s="58">
        <v>0.19633105037830101</v>
      </c>
      <c r="Q192" s="58">
        <v>3.7817082643423401E-3</v>
      </c>
      <c r="R192" s="58">
        <v>1.6218468190190201</v>
      </c>
      <c r="S192" s="56">
        <v>3781.17</v>
      </c>
      <c r="T192" s="68">
        <v>23.46</v>
      </c>
      <c r="U192" s="56">
        <v>3725.78334845154</v>
      </c>
      <c r="V192" s="68">
        <v>18.3009266703626</v>
      </c>
      <c r="W192" s="56">
        <v>3609.3514559462901</v>
      </c>
      <c r="X192" s="68">
        <v>27.200088256987598</v>
      </c>
      <c r="Y192" s="56">
        <v>3623.23224258952</v>
      </c>
      <c r="Z192" s="68">
        <v>63.892641714854001</v>
      </c>
      <c r="AA192" s="71">
        <f t="shared" si="5"/>
        <v>0.96825364615373055</v>
      </c>
      <c r="AB192" s="49">
        <v>32.731290000000001</v>
      </c>
      <c r="AC192" s="56">
        <v>549.430444003665</v>
      </c>
      <c r="AD192" s="59">
        <v>3.7932329084549599</v>
      </c>
      <c r="AE192" s="56">
        <v>1081.2047945259701</v>
      </c>
      <c r="AF192" s="59">
        <v>1.2387579040397401</v>
      </c>
      <c r="AG192" s="59">
        <v>0.20778888132178</v>
      </c>
      <c r="AH192" s="59">
        <v>0.14306763199369699</v>
      </c>
      <c r="AI192" s="59">
        <v>5.7641555511797096</v>
      </c>
      <c r="AJ192" s="59">
        <v>0.119769214839439</v>
      </c>
      <c r="AK192" s="59">
        <v>1.6939789075376299</v>
      </c>
      <c r="AL192" s="59">
        <v>3.1231094843940999</v>
      </c>
      <c r="AM192" s="59">
        <v>0.98217867673902204</v>
      </c>
      <c r="AN192" s="49">
        <v>19.671886919281899</v>
      </c>
      <c r="AO192" s="59">
        <v>7.0320001903235996</v>
      </c>
      <c r="AP192" s="49">
        <v>87.677336365640798</v>
      </c>
      <c r="AQ192" s="49">
        <v>35.284127810706998</v>
      </c>
      <c r="AR192" s="56">
        <v>165.62008341895</v>
      </c>
      <c r="AS192" s="49">
        <v>36.241461613476801</v>
      </c>
      <c r="AT192" s="56">
        <v>346.91969851997698</v>
      </c>
      <c r="AU192" s="49">
        <v>74.319073799055602</v>
      </c>
      <c r="AV192" s="56">
        <v>8055.6832379464004</v>
      </c>
      <c r="AW192" s="59">
        <v>0.45337073709981301</v>
      </c>
      <c r="AX192" s="72">
        <v>8.97206411393279E-2</v>
      </c>
      <c r="AY192" s="72">
        <v>0</v>
      </c>
      <c r="AZ192" s="57">
        <v>0</v>
      </c>
      <c r="BA192" s="72">
        <v>0</v>
      </c>
      <c r="BB192" s="49">
        <v>233.92780955454501</v>
      </c>
      <c r="BC192" s="56">
        <v>104.603803617618</v>
      </c>
      <c r="BD192" s="56">
        <v>217.29795410476601</v>
      </c>
    </row>
    <row r="193" spans="1:56" s="40" customFormat="1" ht="12" customHeight="1">
      <c r="A193" s="47" t="s">
        <v>36</v>
      </c>
      <c r="B193" s="40" t="s">
        <v>305</v>
      </c>
      <c r="D193" s="49">
        <v>211.27204193355001</v>
      </c>
      <c r="E193" s="49">
        <v>89.722421971453102</v>
      </c>
      <c r="F193" s="56">
        <v>178.872716070591</v>
      </c>
      <c r="G193" s="122">
        <f t="shared" si="4"/>
        <v>0.50159925975543806</v>
      </c>
      <c r="H193" s="72">
        <v>3.1416082354936599E-2</v>
      </c>
      <c r="I193" s="58">
        <v>0.36599244042482498</v>
      </c>
      <c r="J193" s="58">
        <v>5.5614839439072396E-3</v>
      </c>
      <c r="K193" s="58">
        <v>40.6965565418624</v>
      </c>
      <c r="L193" s="58">
        <v>0.67594838095339804</v>
      </c>
      <c r="M193" s="58">
        <v>0.80359259165689301</v>
      </c>
      <c r="N193" s="58">
        <v>6.94016179863892E-3</v>
      </c>
      <c r="O193" s="58">
        <v>0.51996941971649202</v>
      </c>
      <c r="P193" s="58">
        <v>0.206919672216686</v>
      </c>
      <c r="Q193" s="58">
        <v>3.6843287782896998E-3</v>
      </c>
      <c r="R193" s="58">
        <v>1.51317142643747</v>
      </c>
      <c r="S193" s="56">
        <v>3775.0050000000001</v>
      </c>
      <c r="T193" s="68">
        <v>23.072500000000201</v>
      </c>
      <c r="U193" s="56">
        <v>3787.80377566263</v>
      </c>
      <c r="V193" s="68">
        <v>16.660810613082901</v>
      </c>
      <c r="W193" s="56">
        <v>3801.9697664802402</v>
      </c>
      <c r="X193" s="68">
        <v>24.890395540862301</v>
      </c>
      <c r="Y193" s="56">
        <v>3801.3418554620898</v>
      </c>
      <c r="Z193" s="68">
        <v>61.701285077249402</v>
      </c>
      <c r="AA193" s="71">
        <f t="shared" si="5"/>
        <v>0.99626708471894387</v>
      </c>
      <c r="AB193" s="49">
        <v>32.731290000000001</v>
      </c>
      <c r="AC193" s="56">
        <v>516.07403295992901</v>
      </c>
      <c r="AD193" s="59">
        <v>3.6397312082157698</v>
      </c>
      <c r="AE193" s="56">
        <v>1008.24058313667</v>
      </c>
      <c r="AF193" s="59">
        <v>1.28571427647836</v>
      </c>
      <c r="AG193" s="59">
        <v>0.22122694477954799</v>
      </c>
      <c r="AH193" s="59">
        <v>5.1339299795750699E-2</v>
      </c>
      <c r="AI193" s="59">
        <v>5.4358734592178903</v>
      </c>
      <c r="AJ193" s="59">
        <v>0.14378860100610399</v>
      </c>
      <c r="AK193" s="59">
        <v>1.7990634936149399</v>
      </c>
      <c r="AL193" s="59">
        <v>3.0040415130268401</v>
      </c>
      <c r="AM193" s="59">
        <v>1.30083893242979</v>
      </c>
      <c r="AN193" s="49">
        <v>18.765231809308599</v>
      </c>
      <c r="AO193" s="59">
        <v>6.7433655332231197</v>
      </c>
      <c r="AP193" s="49">
        <v>83.394755287600304</v>
      </c>
      <c r="AQ193" s="49">
        <v>33.136337454989203</v>
      </c>
      <c r="AR193" s="56">
        <v>154.16719173850299</v>
      </c>
      <c r="AS193" s="49">
        <v>32.650194823151502</v>
      </c>
      <c r="AT193" s="56">
        <v>315.59126806127398</v>
      </c>
      <c r="AU193" s="49">
        <v>66.287471224652705</v>
      </c>
      <c r="AV193" s="56">
        <v>7051.2903354231703</v>
      </c>
      <c r="AW193" s="59">
        <v>0.53460076915019095</v>
      </c>
      <c r="AX193" s="72">
        <v>2.5680887441275699E-2</v>
      </c>
      <c r="AY193" s="72">
        <v>0</v>
      </c>
      <c r="AZ193" s="72">
        <v>3.1416082354936599E-2</v>
      </c>
      <c r="BA193" s="72">
        <v>6.2503243551394897E-3</v>
      </c>
      <c r="BB193" s="49">
        <v>211.27204193355001</v>
      </c>
      <c r="BC193" s="49">
        <v>89.722421971453102</v>
      </c>
      <c r="BD193" s="56">
        <v>178.872716070591</v>
      </c>
    </row>
    <row r="194" spans="1:56" s="40" customFormat="1" ht="12" customHeight="1">
      <c r="A194" s="47" t="s">
        <v>36</v>
      </c>
      <c r="B194" s="40" t="s">
        <v>306</v>
      </c>
      <c r="D194" s="49">
        <v>255.84117811636901</v>
      </c>
      <c r="E194" s="56">
        <v>131.58237721502201</v>
      </c>
      <c r="F194" s="56">
        <v>231.55120099049</v>
      </c>
      <c r="G194" s="122">
        <f t="shared" si="4"/>
        <v>0.5682647148974459</v>
      </c>
      <c r="H194" s="57">
        <v>0</v>
      </c>
      <c r="I194" s="58">
        <v>0.37496576379546698</v>
      </c>
      <c r="J194" s="58">
        <v>7.0125487194747397E-3</v>
      </c>
      <c r="K194" s="58">
        <v>39.014197809888401</v>
      </c>
      <c r="L194" s="58">
        <v>0.79819400672132101</v>
      </c>
      <c r="M194" s="58">
        <v>0.75203394615132702</v>
      </c>
      <c r="N194" s="58">
        <v>7.7822393842417997E-3</v>
      </c>
      <c r="O194" s="58">
        <v>0.50580295246294604</v>
      </c>
      <c r="P194" s="58">
        <v>0.18534124123278001</v>
      </c>
      <c r="Q194" s="58">
        <v>4.7561203838435004E-3</v>
      </c>
      <c r="R194" s="58">
        <v>1.4051500984068399</v>
      </c>
      <c r="S194" s="56">
        <v>3811.5749999999998</v>
      </c>
      <c r="T194" s="68">
        <v>28.392500000000201</v>
      </c>
      <c r="U194" s="56">
        <v>3745.9860246565299</v>
      </c>
      <c r="V194" s="68">
        <v>20.4141744466137</v>
      </c>
      <c r="W194" s="56">
        <v>3615.0031779767501</v>
      </c>
      <c r="X194" s="68">
        <v>28.700349555939301</v>
      </c>
      <c r="Y194" s="56">
        <v>3436.6993515415902</v>
      </c>
      <c r="Z194" s="68">
        <v>81.100520376317704</v>
      </c>
      <c r="AA194" s="71">
        <f t="shared" si="5"/>
        <v>0.96441161830996225</v>
      </c>
      <c r="AB194" s="49">
        <v>32.731290000000001</v>
      </c>
      <c r="AC194" s="56">
        <v>510.969801714163</v>
      </c>
      <c r="AD194" s="59">
        <v>5.5757168545079896</v>
      </c>
      <c r="AE194" s="56">
        <v>1334.26095444828</v>
      </c>
      <c r="AF194" s="59">
        <v>1.84900614569746</v>
      </c>
      <c r="AG194" s="59">
        <v>4.4545061602455602</v>
      </c>
      <c r="AH194" s="59">
        <v>1.04166294402226</v>
      </c>
      <c r="AI194" s="49">
        <v>10.245841667686101</v>
      </c>
      <c r="AJ194" s="59">
        <v>0.49779148579016003</v>
      </c>
      <c r="AK194" s="59">
        <v>3.8639366246919402</v>
      </c>
      <c r="AL194" s="59">
        <v>3.30389804432343</v>
      </c>
      <c r="AM194" s="59">
        <v>1.30302845399909</v>
      </c>
      <c r="AN194" s="49">
        <v>21.942999609157098</v>
      </c>
      <c r="AO194" s="59">
        <v>8.4520203428139808</v>
      </c>
      <c r="AP194" s="56">
        <v>108.871489970705</v>
      </c>
      <c r="AQ194" s="49">
        <v>44.451088960982503</v>
      </c>
      <c r="AR194" s="56">
        <v>208.49755277898501</v>
      </c>
      <c r="AS194" s="49">
        <v>45.2151107531528</v>
      </c>
      <c r="AT194" s="56">
        <v>428.76887061780701</v>
      </c>
      <c r="AU194" s="49">
        <v>90.166661178628701</v>
      </c>
      <c r="AV194" s="56">
        <v>7603.7855134955798</v>
      </c>
      <c r="AW194" s="59">
        <v>0.61441829458455299</v>
      </c>
      <c r="AX194" s="72">
        <v>7.8791254434901703E-2</v>
      </c>
      <c r="AY194" s="72">
        <v>0</v>
      </c>
      <c r="AZ194" s="57">
        <v>0</v>
      </c>
      <c r="BA194" s="72">
        <v>5.29716624988044E-3</v>
      </c>
      <c r="BB194" s="49">
        <v>255.84117811636901</v>
      </c>
      <c r="BC194" s="56">
        <v>131.58237721502201</v>
      </c>
      <c r="BD194" s="56">
        <v>231.55120099049</v>
      </c>
    </row>
    <row r="195" spans="1:56" s="40" customFormat="1" ht="12" customHeight="1">
      <c r="A195" s="47" t="s">
        <v>36</v>
      </c>
      <c r="B195" s="40" t="s">
        <v>307</v>
      </c>
      <c r="D195" s="49">
        <v>361.04501029923898</v>
      </c>
      <c r="E195" s="56">
        <v>139.828732433574</v>
      </c>
      <c r="F195" s="56">
        <v>310.93906253761998</v>
      </c>
      <c r="G195" s="122">
        <f t="shared" si="4"/>
        <v>0.4496981861732357</v>
      </c>
      <c r="H195" s="59">
        <v>0.22092978321595</v>
      </c>
      <c r="I195" s="58">
        <v>0.36949651311931703</v>
      </c>
      <c r="J195" s="58">
        <v>8.5441609259042893E-3</v>
      </c>
      <c r="K195" s="58">
        <v>40.804610389923702</v>
      </c>
      <c r="L195" s="58">
        <v>0.97665218774847595</v>
      </c>
      <c r="M195" s="58">
        <v>0.79825628687280104</v>
      </c>
      <c r="N195" s="58">
        <v>7.8122460019564802E-3</v>
      </c>
      <c r="O195" s="58">
        <v>0.40888659335862798</v>
      </c>
      <c r="P195" s="58">
        <v>0.22214873237175201</v>
      </c>
      <c r="Q195" s="58">
        <v>6.01888727822432E-3</v>
      </c>
      <c r="R195" s="58">
        <v>1.6683760588761001</v>
      </c>
      <c r="S195" s="56">
        <v>3789.355</v>
      </c>
      <c r="T195" s="68">
        <v>34.952499999999901</v>
      </c>
      <c r="U195" s="56">
        <v>3790.4316696534202</v>
      </c>
      <c r="V195" s="68">
        <v>23.861310340877498</v>
      </c>
      <c r="W195" s="56">
        <v>3782.8684342647598</v>
      </c>
      <c r="X195" s="68">
        <v>28.0798496410311</v>
      </c>
      <c r="Y195" s="56">
        <v>4054.7865708926001</v>
      </c>
      <c r="Z195" s="68">
        <v>99.541996115551697</v>
      </c>
      <c r="AA195" s="71">
        <f t="shared" si="5"/>
        <v>0.99800265794702958</v>
      </c>
      <c r="AB195" s="49">
        <v>32.731290000000001</v>
      </c>
      <c r="AC195" s="56">
        <v>1100.6619137627699</v>
      </c>
      <c r="AD195" s="59">
        <v>5.2314630816880996</v>
      </c>
      <c r="AE195" s="56">
        <v>1067.8526082723199</v>
      </c>
      <c r="AF195" s="59">
        <v>1.2126214644045801</v>
      </c>
      <c r="AG195" s="59">
        <v>4.9874218413232096</v>
      </c>
      <c r="AH195" s="59">
        <v>2.0520177762813998</v>
      </c>
      <c r="AI195" s="49">
        <v>10.001785910350399</v>
      </c>
      <c r="AJ195" s="59">
        <v>0.71035423195521097</v>
      </c>
      <c r="AK195" s="59">
        <v>4.6897671131558303</v>
      </c>
      <c r="AL195" s="59">
        <v>3.4721419524006301</v>
      </c>
      <c r="AM195" s="59">
        <v>1.18123779246738</v>
      </c>
      <c r="AN195" s="49">
        <v>20.345522606261301</v>
      </c>
      <c r="AO195" s="59">
        <v>7.0104200229596998</v>
      </c>
      <c r="AP195" s="49">
        <v>88.768810284663104</v>
      </c>
      <c r="AQ195" s="49">
        <v>35.614408652474701</v>
      </c>
      <c r="AR195" s="56">
        <v>165.48103155784699</v>
      </c>
      <c r="AS195" s="49">
        <v>36.327671614528903</v>
      </c>
      <c r="AT195" s="56">
        <v>343.89363433171201</v>
      </c>
      <c r="AU195" s="49">
        <v>73.992579959808893</v>
      </c>
      <c r="AV195" s="56">
        <v>8041.01654399779</v>
      </c>
      <c r="AW195" s="59">
        <v>0.45287082096159698</v>
      </c>
      <c r="AX195" s="72">
        <v>6.2555180304479596E-2</v>
      </c>
      <c r="AY195" s="72">
        <v>0</v>
      </c>
      <c r="AZ195" s="59">
        <v>0.22092978321595</v>
      </c>
      <c r="BA195" s="72">
        <v>8.8813404102344104E-3</v>
      </c>
      <c r="BB195" s="49">
        <v>361.04501029923898</v>
      </c>
      <c r="BC195" s="56">
        <v>139.828732433574</v>
      </c>
      <c r="BD195" s="56">
        <v>310.93906253761998</v>
      </c>
    </row>
    <row r="196" spans="1:56" s="40" customFormat="1" ht="12" customHeight="1">
      <c r="A196" s="47" t="s">
        <v>36</v>
      </c>
      <c r="B196" s="40" t="s">
        <v>308</v>
      </c>
      <c r="D196" s="49">
        <v>225.279721675198</v>
      </c>
      <c r="E196" s="49">
        <v>70.392572948887107</v>
      </c>
      <c r="F196" s="56">
        <v>195.32604232314</v>
      </c>
      <c r="G196" s="122">
        <f t="shared" ref="G196:G259" si="6">E196/F196</f>
        <v>0.36038498559466176</v>
      </c>
      <c r="H196" s="59">
        <v>0.456119672511966</v>
      </c>
      <c r="I196" s="58">
        <v>0.36812922700911099</v>
      </c>
      <c r="J196" s="58">
        <v>8.2133423828889707E-3</v>
      </c>
      <c r="K196" s="58">
        <v>41.470476600088404</v>
      </c>
      <c r="L196" s="58">
        <v>0.96584963544754499</v>
      </c>
      <c r="M196" s="58">
        <v>0.81477903926488404</v>
      </c>
      <c r="N196" s="58">
        <v>8.3194312690856795E-3</v>
      </c>
      <c r="O196" s="58">
        <v>0.43841287177084698</v>
      </c>
      <c r="P196" s="58">
        <v>0.21407075256893099</v>
      </c>
      <c r="Q196" s="58">
        <v>5.4979024072319103E-3</v>
      </c>
      <c r="R196" s="58">
        <v>2.04267594623547</v>
      </c>
      <c r="S196" s="56">
        <v>3783.645</v>
      </c>
      <c r="T196" s="68">
        <v>33.717500000000001</v>
      </c>
      <c r="U196" s="56">
        <v>3806.4772973583599</v>
      </c>
      <c r="V196" s="68">
        <v>23.2361266487645</v>
      </c>
      <c r="W196" s="56">
        <v>3841.8289692433</v>
      </c>
      <c r="X196" s="68">
        <v>29.624812036340799</v>
      </c>
      <c r="Y196" s="56">
        <v>3920.7472758686599</v>
      </c>
      <c r="Z196" s="68">
        <v>91.530793350176296</v>
      </c>
      <c r="AA196" s="71">
        <f t="shared" ref="AA196:AA259" si="7">1-2*ABS(U196-W196)/(U196+W196)</f>
        <v>0.99075568612117104</v>
      </c>
      <c r="AB196" s="49">
        <v>32.731290000000001</v>
      </c>
      <c r="AC196" s="56">
        <v>481.20570715549002</v>
      </c>
      <c r="AD196" s="59">
        <v>5.3979227293674503</v>
      </c>
      <c r="AE196" s="56">
        <v>902.33027472350705</v>
      </c>
      <c r="AF196" s="59">
        <v>1.48862015154855</v>
      </c>
      <c r="AG196" s="59">
        <v>2.56334098205072</v>
      </c>
      <c r="AH196" s="59">
        <v>0.18116289989718801</v>
      </c>
      <c r="AI196" s="59">
        <v>6.5059287092123501</v>
      </c>
      <c r="AJ196" s="59">
        <v>0.171552510801837</v>
      </c>
      <c r="AK196" s="59">
        <v>1.38394213450499</v>
      </c>
      <c r="AL196" s="59">
        <v>1.9422186287184999</v>
      </c>
      <c r="AM196" s="59">
        <v>1.6467481353570099</v>
      </c>
      <c r="AN196" s="49">
        <v>12.8483744507285</v>
      </c>
      <c r="AO196" s="59">
        <v>5.0961772680036797</v>
      </c>
      <c r="AP196" s="49">
        <v>68.276089432888199</v>
      </c>
      <c r="AQ196" s="49">
        <v>28.9613026133703</v>
      </c>
      <c r="AR196" s="56">
        <v>139.039767346395</v>
      </c>
      <c r="AS196" s="49">
        <v>30.651966892586199</v>
      </c>
      <c r="AT196" s="56">
        <v>291.96974164174901</v>
      </c>
      <c r="AU196" s="49">
        <v>62.487313977239801</v>
      </c>
      <c r="AV196" s="56">
        <v>7722.72157030161</v>
      </c>
      <c r="AW196" s="59">
        <v>0.68779136781398997</v>
      </c>
      <c r="AX196" s="72">
        <v>0.12708207091777499</v>
      </c>
      <c r="AY196" s="72">
        <v>0</v>
      </c>
      <c r="AZ196" s="59">
        <v>0.456119672511966</v>
      </c>
      <c r="BA196" s="72">
        <v>1.07417221351015E-2</v>
      </c>
      <c r="BB196" s="49">
        <v>225.279721675198</v>
      </c>
      <c r="BC196" s="49">
        <v>70.392572948887107</v>
      </c>
      <c r="BD196" s="56">
        <v>195.32604232314</v>
      </c>
    </row>
    <row r="197" spans="1:56" s="39" customFormat="1" ht="12" customHeight="1">
      <c r="A197" s="47" t="s">
        <v>36</v>
      </c>
      <c r="B197" s="39" t="s">
        <v>309</v>
      </c>
      <c r="C197" s="39" t="s">
        <v>126</v>
      </c>
      <c r="D197" s="48">
        <v>340.34366617418198</v>
      </c>
      <c r="E197" s="48">
        <v>65.153416876404293</v>
      </c>
      <c r="F197" s="52">
        <v>445.52309359026202</v>
      </c>
      <c r="G197" s="122">
        <f t="shared" si="6"/>
        <v>0.14624026860507591</v>
      </c>
      <c r="H197" s="53">
        <v>3.0027171302459799</v>
      </c>
      <c r="I197" s="54">
        <v>0.31820810910414998</v>
      </c>
      <c r="J197" s="54">
        <v>5.6173534498611304E-3</v>
      </c>
      <c r="K197" s="54">
        <v>24.7705346031941</v>
      </c>
      <c r="L197" s="54">
        <v>0.44877902735904601</v>
      </c>
      <c r="M197" s="54">
        <v>0.56230373667303302</v>
      </c>
      <c r="N197" s="54">
        <v>4.1285086349874796E-3</v>
      </c>
      <c r="O197" s="54">
        <v>0.40525189515112697</v>
      </c>
      <c r="P197" s="54">
        <v>0.16390697227093001</v>
      </c>
      <c r="Q197" s="54">
        <v>3.4372729000457102E-3</v>
      </c>
      <c r="R197" s="54">
        <v>5.1431265552148098</v>
      </c>
      <c r="S197" s="52">
        <v>3561.4250000000002</v>
      </c>
      <c r="T197" s="67">
        <v>21.757500000000199</v>
      </c>
      <c r="U197" s="52">
        <v>3299.2148749814</v>
      </c>
      <c r="V197" s="67">
        <v>17.8240645846418</v>
      </c>
      <c r="W197" s="52">
        <v>2876.1417322143302</v>
      </c>
      <c r="X197" s="67">
        <v>17.105802092193201</v>
      </c>
      <c r="Y197" s="52">
        <v>3067.8610487311298</v>
      </c>
      <c r="Z197" s="67">
        <v>59.691149359683898</v>
      </c>
      <c r="AA197" s="71">
        <f t="shared" si="7"/>
        <v>0.86298017436787666</v>
      </c>
      <c r="AB197" s="48">
        <v>32.731290000000001</v>
      </c>
      <c r="AC197" s="52">
        <v>502.99587983445099</v>
      </c>
      <c r="AD197" s="53">
        <v>9.9989297784448308</v>
      </c>
      <c r="AE197" s="52">
        <v>594.55327556408599</v>
      </c>
      <c r="AF197" s="53">
        <v>1.6012065106673099</v>
      </c>
      <c r="AG197" s="53">
        <v>3.7816699322257201</v>
      </c>
      <c r="AH197" s="53">
        <v>1.73050496012163</v>
      </c>
      <c r="AI197" s="48">
        <v>11.7212577390034</v>
      </c>
      <c r="AJ197" s="53">
        <v>0.98680410980938005</v>
      </c>
      <c r="AK197" s="53">
        <v>6.1655821652447802</v>
      </c>
      <c r="AL197" s="53">
        <v>3.9077556606483599</v>
      </c>
      <c r="AM197" s="53">
        <v>6.6646244504838501</v>
      </c>
      <c r="AN197" s="48">
        <v>13.9581217910319</v>
      </c>
      <c r="AO197" s="53">
        <v>4.5926718654472101</v>
      </c>
      <c r="AP197" s="48">
        <v>51.847309501970301</v>
      </c>
      <c r="AQ197" s="48">
        <v>18.300815450277</v>
      </c>
      <c r="AR197" s="48">
        <v>81.310286635748895</v>
      </c>
      <c r="AS197" s="48">
        <v>16.561387622688901</v>
      </c>
      <c r="AT197" s="52">
        <v>151.90593276173101</v>
      </c>
      <c r="AU197" s="48">
        <v>30.946480657482901</v>
      </c>
      <c r="AV197" s="52">
        <v>10658.1415042682</v>
      </c>
      <c r="AW197" s="53">
        <v>0.81804731451444201</v>
      </c>
      <c r="AX197" s="64">
        <v>0.22658566134802299</v>
      </c>
      <c r="AY197" s="64">
        <v>0</v>
      </c>
      <c r="AZ197" s="53">
        <v>3.0027171302459799</v>
      </c>
      <c r="BA197" s="64">
        <v>2.9795164341137999E-2</v>
      </c>
      <c r="BB197" s="48">
        <v>340.34366617418198</v>
      </c>
      <c r="BC197" s="48">
        <v>65.153416876404293</v>
      </c>
      <c r="BD197" s="52">
        <v>445.52309359026202</v>
      </c>
    </row>
    <row r="198" spans="1:56" s="39" customFormat="1" ht="12" customHeight="1">
      <c r="A198" s="47" t="s">
        <v>36</v>
      </c>
      <c r="B198" s="39" t="s">
        <v>310</v>
      </c>
      <c r="D198" s="48">
        <v>294.40549229171802</v>
      </c>
      <c r="E198" s="48">
        <v>71.829585748716397</v>
      </c>
      <c r="F198" s="52">
        <v>260.67932805782601</v>
      </c>
      <c r="G198" s="122">
        <f t="shared" si="6"/>
        <v>0.27554768643865224</v>
      </c>
      <c r="H198" s="64">
        <v>2.94712741763807E-2</v>
      </c>
      <c r="I198" s="54">
        <v>0.34210571215513003</v>
      </c>
      <c r="J198" s="54">
        <v>5.7508963944797199E-3</v>
      </c>
      <c r="K198" s="54">
        <v>38.1119464022416</v>
      </c>
      <c r="L198" s="54">
        <v>0.62444332326782703</v>
      </c>
      <c r="M198" s="54">
        <v>0.80523415303635404</v>
      </c>
      <c r="N198" s="54">
        <v>4.81439581229119E-3</v>
      </c>
      <c r="O198" s="54">
        <v>0.36491163316213698</v>
      </c>
      <c r="P198" s="54">
        <v>0.20912088904318499</v>
      </c>
      <c r="Q198" s="54">
        <v>3.95932259279604E-3</v>
      </c>
      <c r="R198" s="54">
        <v>2.66072466373747</v>
      </c>
      <c r="S198" s="52">
        <v>3672.17</v>
      </c>
      <c r="T198" s="67">
        <v>25.8000000000002</v>
      </c>
      <c r="U198" s="52">
        <v>3722.8288114020602</v>
      </c>
      <c r="V198" s="67">
        <v>16.407608393459402</v>
      </c>
      <c r="W198" s="52">
        <v>3807.8343790182498</v>
      </c>
      <c r="X198" s="67">
        <v>17.314532098176102</v>
      </c>
      <c r="Y198" s="52">
        <v>3838.1719569719298</v>
      </c>
      <c r="Z198" s="67">
        <v>66.185882051048694</v>
      </c>
      <c r="AA198" s="71">
        <f t="shared" si="7"/>
        <v>0.97742414832087443</v>
      </c>
      <c r="AB198" s="48">
        <v>32.731290000000001</v>
      </c>
      <c r="AC198" s="52">
        <v>549.69834311472198</v>
      </c>
      <c r="AD198" s="53">
        <v>3.2264477633478101</v>
      </c>
      <c r="AE198" s="52">
        <v>517.03093124888198</v>
      </c>
      <c r="AF198" s="53">
        <v>1.12264557044894</v>
      </c>
      <c r="AG198" s="53">
        <v>0</v>
      </c>
      <c r="AH198" s="53">
        <v>0</v>
      </c>
      <c r="AI198" s="53">
        <v>2.9087523229177399</v>
      </c>
      <c r="AJ198" s="64">
        <v>2.0602527572766999E-2</v>
      </c>
      <c r="AK198" s="53">
        <v>0.25380017743404498</v>
      </c>
      <c r="AL198" s="53">
        <v>1.38341357725926</v>
      </c>
      <c r="AM198" s="64">
        <v>6.73402888139433E-2</v>
      </c>
      <c r="AN198" s="53">
        <v>8.3468765942036303</v>
      </c>
      <c r="AO198" s="53">
        <v>3.3865801644884099</v>
      </c>
      <c r="AP198" s="48">
        <v>42.826120121465998</v>
      </c>
      <c r="AQ198" s="48">
        <v>16.864005595434001</v>
      </c>
      <c r="AR198" s="48">
        <v>79.065430523996895</v>
      </c>
      <c r="AS198" s="48">
        <v>16.766721418289301</v>
      </c>
      <c r="AT198" s="52">
        <v>156.575400342433</v>
      </c>
      <c r="AU198" s="48">
        <v>31.415859683231499</v>
      </c>
      <c r="AV198" s="52">
        <v>9554.7415938211507</v>
      </c>
      <c r="AW198" s="53">
        <v>1.0675292422948399</v>
      </c>
      <c r="AX198" s="64">
        <v>2.4772230142381901E-2</v>
      </c>
      <c r="AY198" s="64">
        <v>0</v>
      </c>
      <c r="AZ198" s="64">
        <v>2.94712741763807E-2</v>
      </c>
      <c r="BA198" s="64">
        <v>0</v>
      </c>
      <c r="BB198" s="48">
        <v>294.40549229171802</v>
      </c>
      <c r="BC198" s="48">
        <v>71.829585748716397</v>
      </c>
      <c r="BD198" s="52">
        <v>260.67932805782601</v>
      </c>
    </row>
    <row r="199" spans="1:56" s="39" customFormat="1" ht="12" customHeight="1">
      <c r="A199" s="47" t="s">
        <v>36</v>
      </c>
      <c r="B199" s="39" t="s">
        <v>311</v>
      </c>
      <c r="C199" s="39" t="s">
        <v>126</v>
      </c>
      <c r="D199" s="53">
        <v>341.27893929831401</v>
      </c>
      <c r="E199" s="48">
        <v>15.892047685045901</v>
      </c>
      <c r="F199" s="52">
        <v>439.06492385284798</v>
      </c>
      <c r="G199" s="122">
        <f t="shared" si="6"/>
        <v>3.6195211281263948E-2</v>
      </c>
      <c r="H199" s="53">
        <v>2.1104591804250199</v>
      </c>
      <c r="I199" s="54">
        <v>0.33032582678551597</v>
      </c>
      <c r="J199" s="54">
        <v>5.3984993289476896E-3</v>
      </c>
      <c r="K199" s="54">
        <v>26.6722444176579</v>
      </c>
      <c r="L199" s="54">
        <v>0.433685483036226</v>
      </c>
      <c r="M199" s="54">
        <v>0.58360979255242795</v>
      </c>
      <c r="N199" s="54">
        <v>3.8214093148322701E-3</v>
      </c>
      <c r="O199" s="54">
        <v>0.402703741534992</v>
      </c>
      <c r="P199" s="54">
        <v>0.179389197416401</v>
      </c>
      <c r="Q199" s="54">
        <v>4.5389038982992904E-3</v>
      </c>
      <c r="R199" s="54">
        <v>19.8404591263768</v>
      </c>
      <c r="S199" s="52">
        <v>3620.37</v>
      </c>
      <c r="T199" s="67">
        <v>24.997500000000201</v>
      </c>
      <c r="U199" s="52">
        <v>3371.5082543192898</v>
      </c>
      <c r="V199" s="67">
        <v>16.077606672706501</v>
      </c>
      <c r="W199" s="52">
        <v>2963.4612084396699</v>
      </c>
      <c r="X199" s="67">
        <v>15.637939427658401</v>
      </c>
      <c r="Y199" s="52">
        <v>3334.9504831356999</v>
      </c>
      <c r="Z199" s="67">
        <v>77.787182103066399</v>
      </c>
      <c r="AA199" s="71">
        <f t="shared" si="7"/>
        <v>0.87117631796699768</v>
      </c>
      <c r="AB199" s="48">
        <v>32.731290000000001</v>
      </c>
      <c r="AC199" s="52">
        <v>441.90734161565803</v>
      </c>
      <c r="AD199" s="48">
        <v>10.9263246530099</v>
      </c>
      <c r="AE199" s="52">
        <v>479.24137138200501</v>
      </c>
      <c r="AF199" s="53">
        <v>1.12490752328018</v>
      </c>
      <c r="AG199" s="53">
        <v>8.7384968228931896</v>
      </c>
      <c r="AH199" s="53">
        <v>3.6683831768626098</v>
      </c>
      <c r="AI199" s="48">
        <v>19.7238265338137</v>
      </c>
      <c r="AJ199" s="53">
        <v>1.9094767337526</v>
      </c>
      <c r="AK199" s="48">
        <v>11.1104563373757</v>
      </c>
      <c r="AL199" s="53">
        <v>6.5749833980073698</v>
      </c>
      <c r="AM199" s="48">
        <v>22.432307083387599</v>
      </c>
      <c r="AN199" s="48">
        <v>17.442011035653898</v>
      </c>
      <c r="AO199" s="53">
        <v>4.0826084535577101</v>
      </c>
      <c r="AP199" s="48">
        <v>38.814727639406698</v>
      </c>
      <c r="AQ199" s="48">
        <v>12.4314878981329</v>
      </c>
      <c r="AR199" s="48">
        <v>56.881009318054097</v>
      </c>
      <c r="AS199" s="48">
        <v>12.1873058854984</v>
      </c>
      <c r="AT199" s="52">
        <v>129.16831165409599</v>
      </c>
      <c r="AU199" s="48">
        <v>29.9348216210334</v>
      </c>
      <c r="AV199" s="52">
        <v>10416.926527809201</v>
      </c>
      <c r="AW199" s="53">
        <v>0.32977065754449802</v>
      </c>
      <c r="AX199" s="64">
        <v>0.259775132054339</v>
      </c>
      <c r="AY199" s="64">
        <v>0</v>
      </c>
      <c r="AZ199" s="53">
        <v>2.1104591804250199</v>
      </c>
      <c r="BA199" s="64">
        <v>4.92740993280434E-2</v>
      </c>
      <c r="BB199" s="53">
        <v>341.27893929831401</v>
      </c>
      <c r="BC199" s="48">
        <v>15.892047685045901</v>
      </c>
      <c r="BD199" s="52">
        <v>439.06492385284798</v>
      </c>
    </row>
    <row r="200" spans="1:56" s="39" customFormat="1" ht="12" customHeight="1">
      <c r="A200" s="47" t="s">
        <v>36</v>
      </c>
      <c r="B200" s="39" t="s">
        <v>312</v>
      </c>
      <c r="D200" s="48">
        <v>535.23996569721896</v>
      </c>
      <c r="E200" s="52">
        <v>270.822953881638</v>
      </c>
      <c r="F200" s="52">
        <v>556.53509866762295</v>
      </c>
      <c r="G200" s="122">
        <f t="shared" si="6"/>
        <v>0.48662331365982797</v>
      </c>
      <c r="H200" s="53">
        <v>0.25261000148065799</v>
      </c>
      <c r="I200" s="54">
        <v>0.33295177790437802</v>
      </c>
      <c r="J200" s="54">
        <v>5.10466002495189E-3</v>
      </c>
      <c r="K200" s="54">
        <v>31.1786999572717</v>
      </c>
      <c r="L200" s="54">
        <v>0.57328602695716901</v>
      </c>
      <c r="M200" s="54">
        <v>0.67624430148245196</v>
      </c>
      <c r="N200" s="54">
        <v>7.1892306742476798E-3</v>
      </c>
      <c r="O200" s="54">
        <v>0.57818317050925305</v>
      </c>
      <c r="P200" s="54">
        <v>0.174745469444159</v>
      </c>
      <c r="Q200" s="54">
        <v>3.8562959134564698E-3</v>
      </c>
      <c r="R200" s="54">
        <v>1.52957032821573</v>
      </c>
      <c r="S200" s="52">
        <v>3630.71</v>
      </c>
      <c r="T200" s="67">
        <v>23.455000000000201</v>
      </c>
      <c r="U200" s="52">
        <v>3524.7040073694402</v>
      </c>
      <c r="V200" s="67">
        <v>18.247849536592</v>
      </c>
      <c r="W200" s="52">
        <v>3329.9323516192198</v>
      </c>
      <c r="X200" s="67">
        <v>27.706386419287199</v>
      </c>
      <c r="Y200" s="52">
        <v>3255.20974998666</v>
      </c>
      <c r="Z200" s="67">
        <v>66.349976059608693</v>
      </c>
      <c r="AA200" s="71">
        <f t="shared" si="7"/>
        <v>0.94317082758305293</v>
      </c>
      <c r="AB200" s="48">
        <v>32.731290000000001</v>
      </c>
      <c r="AC200" s="52">
        <v>609.58159522860797</v>
      </c>
      <c r="AD200" s="53">
        <v>3.4381614813172998</v>
      </c>
      <c r="AE200" s="52">
        <v>1272.8765880880101</v>
      </c>
      <c r="AF200" s="53">
        <v>1.1831032927212599</v>
      </c>
      <c r="AG200" s="53">
        <v>0.408514561890718</v>
      </c>
      <c r="AH200" s="53">
        <v>1.6880549860546001E-2</v>
      </c>
      <c r="AI200" s="53">
        <v>7.5450279986056801</v>
      </c>
      <c r="AJ200" s="53">
        <v>0.11706914402681701</v>
      </c>
      <c r="AK200" s="53">
        <v>1.75706494294118</v>
      </c>
      <c r="AL200" s="53">
        <v>3.84109432466144</v>
      </c>
      <c r="AM200" s="53">
        <v>0.71222948570928502</v>
      </c>
      <c r="AN200" s="48">
        <v>22.125070992087501</v>
      </c>
      <c r="AO200" s="53">
        <v>8.14432165408153</v>
      </c>
      <c r="AP200" s="52">
        <v>100.321939454773</v>
      </c>
      <c r="AQ200" s="48">
        <v>41.2042288890229</v>
      </c>
      <c r="AR200" s="52">
        <v>196.90970174366899</v>
      </c>
      <c r="AS200" s="48">
        <v>43.5384800577555</v>
      </c>
      <c r="AT200" s="52">
        <v>426.555622260598</v>
      </c>
      <c r="AU200" s="48">
        <v>91.228849152421503</v>
      </c>
      <c r="AV200" s="52">
        <v>7917.2198562794201</v>
      </c>
      <c r="AW200" s="53">
        <v>0.70638004984801195</v>
      </c>
      <c r="AX200" s="64">
        <v>2.2768099011300801E-2</v>
      </c>
      <c r="AY200" s="64">
        <v>0</v>
      </c>
      <c r="AZ200" s="53">
        <v>0.25261000148065799</v>
      </c>
      <c r="BA200" s="64">
        <v>4.0385309015094299E-3</v>
      </c>
      <c r="BB200" s="48">
        <v>535.23996569721896</v>
      </c>
      <c r="BC200" s="52">
        <v>270.822953881638</v>
      </c>
      <c r="BD200" s="52">
        <v>556.53509866762295</v>
      </c>
    </row>
    <row r="201" spans="1:56" s="39" customFormat="1" ht="12" customHeight="1">
      <c r="A201" s="47" t="s">
        <v>36</v>
      </c>
      <c r="B201" s="39" t="s">
        <v>313</v>
      </c>
      <c r="D201" s="48">
        <v>373.55693690971702</v>
      </c>
      <c r="E201" s="48">
        <v>86.272703414039597</v>
      </c>
      <c r="F201" s="52">
        <v>399.07339612527198</v>
      </c>
      <c r="G201" s="122">
        <f t="shared" si="6"/>
        <v>0.21618254750050533</v>
      </c>
      <c r="H201" s="53">
        <v>0.26870367183024901</v>
      </c>
      <c r="I201" s="54">
        <v>0.32639500433393698</v>
      </c>
      <c r="J201" s="54">
        <v>5.0967184174095402E-3</v>
      </c>
      <c r="K201" s="54">
        <v>30.940659558930999</v>
      </c>
      <c r="L201" s="54">
        <v>0.484533955468332</v>
      </c>
      <c r="M201" s="54">
        <v>0.68536576745260402</v>
      </c>
      <c r="N201" s="54">
        <v>4.3313589451166199E-3</v>
      </c>
      <c r="O201" s="54">
        <v>0.40355907438433802</v>
      </c>
      <c r="P201" s="54">
        <v>0.18440470499162601</v>
      </c>
      <c r="Q201" s="54">
        <v>3.3843037695459898E-3</v>
      </c>
      <c r="R201" s="54">
        <v>3.4564666215541302</v>
      </c>
      <c r="S201" s="52">
        <v>3666.665</v>
      </c>
      <c r="T201" s="67">
        <v>23.8900000000001</v>
      </c>
      <c r="U201" s="52">
        <v>3517.16483983234</v>
      </c>
      <c r="V201" s="67">
        <v>15.5877481951758</v>
      </c>
      <c r="W201" s="52">
        <v>3364.9161187405598</v>
      </c>
      <c r="X201" s="67">
        <v>16.666513219164599</v>
      </c>
      <c r="Y201" s="52">
        <v>3420.72338970902</v>
      </c>
      <c r="Z201" s="67">
        <v>57.754178508917597</v>
      </c>
      <c r="AA201" s="71">
        <f t="shared" si="7"/>
        <v>0.95575503339520396</v>
      </c>
      <c r="AB201" s="48">
        <v>32.731290000000001</v>
      </c>
      <c r="AC201" s="52">
        <v>513.46715972158495</v>
      </c>
      <c r="AD201" s="53">
        <v>3.8173688819340299</v>
      </c>
      <c r="AE201" s="52">
        <v>598.59261991879805</v>
      </c>
      <c r="AF201" s="53">
        <v>1.91948305055031</v>
      </c>
      <c r="AG201" s="53">
        <v>3.2378249109700802E-2</v>
      </c>
      <c r="AH201" s="53">
        <v>1.52867332916402E-2</v>
      </c>
      <c r="AI201" s="53">
        <v>2.9243556126704799</v>
      </c>
      <c r="AJ201" s="64">
        <v>2.6880805560054899E-2</v>
      </c>
      <c r="AK201" s="53">
        <v>0.24794344733122101</v>
      </c>
      <c r="AL201" s="53">
        <v>1.0033142449654899</v>
      </c>
      <c r="AM201" s="53">
        <v>0.199728285841758</v>
      </c>
      <c r="AN201" s="53">
        <v>7.6032461025482503</v>
      </c>
      <c r="AO201" s="53">
        <v>3.3753388836354699</v>
      </c>
      <c r="AP201" s="48">
        <v>45.0195750661481</v>
      </c>
      <c r="AQ201" s="48">
        <v>19.2702050556613</v>
      </c>
      <c r="AR201" s="48">
        <v>94.768726932416101</v>
      </c>
      <c r="AS201" s="48">
        <v>21.674853685895801</v>
      </c>
      <c r="AT201" s="52">
        <v>213.10771863306601</v>
      </c>
      <c r="AU201" s="48">
        <v>44.617317599041499</v>
      </c>
      <c r="AV201" s="52">
        <v>11795.601427731201</v>
      </c>
      <c r="AW201" s="53">
        <v>3.3957466708929598</v>
      </c>
      <c r="AX201" s="64">
        <v>5.0605081696530503E-2</v>
      </c>
      <c r="AY201" s="64">
        <v>0</v>
      </c>
      <c r="AZ201" s="53">
        <v>0.26870367183024901</v>
      </c>
      <c r="BA201" s="64">
        <v>4.79518776295592E-3</v>
      </c>
      <c r="BB201" s="48">
        <v>373.55693690971702</v>
      </c>
      <c r="BC201" s="48">
        <v>86.272703414039597</v>
      </c>
      <c r="BD201" s="52">
        <v>399.07339612527198</v>
      </c>
    </row>
    <row r="202" spans="1:56" s="39" customFormat="1" ht="12" customHeight="1">
      <c r="A202" s="47" t="s">
        <v>36</v>
      </c>
      <c r="B202" s="39" t="s">
        <v>314</v>
      </c>
      <c r="D202" s="48">
        <v>353.60497875428501</v>
      </c>
      <c r="E202" s="48">
        <v>89.364694693727103</v>
      </c>
      <c r="F202" s="52">
        <v>358.725492639045</v>
      </c>
      <c r="G202" s="122">
        <f t="shared" si="6"/>
        <v>0.24911721226248953</v>
      </c>
      <c r="H202" s="53">
        <v>0.34230916301809999</v>
      </c>
      <c r="I202" s="54">
        <v>0.34101322289678099</v>
      </c>
      <c r="J202" s="54">
        <v>5.5082667705398198E-3</v>
      </c>
      <c r="K202" s="54">
        <v>33.629556552032199</v>
      </c>
      <c r="L202" s="54">
        <v>0.57587439198217805</v>
      </c>
      <c r="M202" s="54">
        <v>0.71263288438644801</v>
      </c>
      <c r="N202" s="54">
        <v>5.4992197361547297E-3</v>
      </c>
      <c r="O202" s="54">
        <v>0.45063880688080299</v>
      </c>
      <c r="P202" s="54">
        <v>0.198557603176229</v>
      </c>
      <c r="Q202" s="54">
        <v>3.7383828458750199E-3</v>
      </c>
      <c r="R202" s="54">
        <v>3.0050237904691302</v>
      </c>
      <c r="S202" s="52">
        <v>3667.585</v>
      </c>
      <c r="T202" s="67">
        <v>24.692500000000098</v>
      </c>
      <c r="U202" s="52">
        <v>3599.2359780879901</v>
      </c>
      <c r="V202" s="67">
        <v>17.061831618878401</v>
      </c>
      <c r="W202" s="52">
        <v>3468.3763730268302</v>
      </c>
      <c r="X202" s="67">
        <v>20.783829339834799</v>
      </c>
      <c r="Y202" s="52">
        <v>3660.8152897946402</v>
      </c>
      <c r="Z202" s="67">
        <v>63.043317835060598</v>
      </c>
      <c r="AA202" s="71">
        <f t="shared" si="7"/>
        <v>0.96296921829887328</v>
      </c>
      <c r="AB202" s="48">
        <v>32.731290000000001</v>
      </c>
      <c r="AC202" s="52">
        <v>541.63612129762305</v>
      </c>
      <c r="AD202" s="53">
        <v>4.5132548335762497</v>
      </c>
      <c r="AE202" s="52">
        <v>729.21446627977105</v>
      </c>
      <c r="AF202" s="53">
        <v>1.0733260981642001</v>
      </c>
      <c r="AG202" s="53">
        <v>1.2501187022899201</v>
      </c>
      <c r="AH202" s="53">
        <v>0.168354639300234</v>
      </c>
      <c r="AI202" s="53">
        <v>6.1457710602750204</v>
      </c>
      <c r="AJ202" s="53">
        <v>0.19665637069848599</v>
      </c>
      <c r="AK202" s="53">
        <v>1.46232421424439</v>
      </c>
      <c r="AL202" s="53">
        <v>1.91277524962818</v>
      </c>
      <c r="AM202" s="53">
        <v>2.0110025828826199</v>
      </c>
      <c r="AN202" s="48">
        <v>10.980799146149099</v>
      </c>
      <c r="AO202" s="53">
        <v>4.2562255686260402</v>
      </c>
      <c r="AP202" s="48">
        <v>53.808966020287002</v>
      </c>
      <c r="AQ202" s="48">
        <v>22.475172874071099</v>
      </c>
      <c r="AR202" s="52">
        <v>110.888540804786</v>
      </c>
      <c r="AS202" s="48">
        <v>24.601925558863599</v>
      </c>
      <c r="AT202" s="52">
        <v>250.069892164078</v>
      </c>
      <c r="AU202" s="48">
        <v>55.9285108026112</v>
      </c>
      <c r="AV202" s="52">
        <v>9195.0541814298394</v>
      </c>
      <c r="AW202" s="53">
        <v>0.65792850630296895</v>
      </c>
      <c r="AX202" s="64">
        <v>0.14936815519983901</v>
      </c>
      <c r="AY202" s="64">
        <v>0</v>
      </c>
      <c r="AZ202" s="53">
        <v>0.34230916301809999</v>
      </c>
      <c r="BA202" s="64">
        <v>1.6958054746984599E-2</v>
      </c>
      <c r="BB202" s="48">
        <v>353.60497875428501</v>
      </c>
      <c r="BC202" s="48">
        <v>89.364694693727103</v>
      </c>
      <c r="BD202" s="52">
        <v>358.725492639045</v>
      </c>
    </row>
    <row r="203" spans="1:56" s="39" customFormat="1" ht="12" customHeight="1">
      <c r="A203" s="47" t="s">
        <v>36</v>
      </c>
      <c r="B203" s="39" t="s">
        <v>315</v>
      </c>
      <c r="C203" s="39" t="s">
        <v>126</v>
      </c>
      <c r="D203" s="48">
        <v>344.86121973009398</v>
      </c>
      <c r="E203" s="52">
        <v>251.03400094914701</v>
      </c>
      <c r="F203" s="52">
        <v>910.31346981316801</v>
      </c>
      <c r="G203" s="122">
        <f t="shared" si="6"/>
        <v>0.27576654556223257</v>
      </c>
      <c r="H203" s="53">
        <v>4.2157961408400402</v>
      </c>
      <c r="I203" s="54">
        <v>0.21288245496696301</v>
      </c>
      <c r="J203" s="54">
        <v>3.62929565173963E-3</v>
      </c>
      <c r="K203" s="54">
        <v>8.6844084080061208</v>
      </c>
      <c r="L203" s="54">
        <v>0.153193583967217</v>
      </c>
      <c r="M203" s="54">
        <v>0.29488712530592998</v>
      </c>
      <c r="N203" s="54">
        <v>2.1997370604121798E-3</v>
      </c>
      <c r="O203" s="54">
        <v>0.42287754300165198</v>
      </c>
      <c r="P203" s="54">
        <v>8.7745675280695906E-2</v>
      </c>
      <c r="Q203" s="54">
        <v>1.7037368788349399E-3</v>
      </c>
      <c r="R203" s="54">
        <v>2.6585254691241</v>
      </c>
      <c r="S203" s="52">
        <v>2927.47</v>
      </c>
      <c r="T203" s="67">
        <v>27.467500000000001</v>
      </c>
      <c r="U203" s="52">
        <v>2305.4446988568802</v>
      </c>
      <c r="V203" s="67">
        <v>16.138242935022301</v>
      </c>
      <c r="W203" s="52">
        <v>1665.90510508788</v>
      </c>
      <c r="X203" s="67">
        <v>10.9879695726662</v>
      </c>
      <c r="Y203" s="52">
        <v>1699.9973071521299</v>
      </c>
      <c r="Z203" s="67">
        <v>31.658428719129802</v>
      </c>
      <c r="AA203" s="71">
        <f t="shared" si="7"/>
        <v>0.67792331305908005</v>
      </c>
      <c r="AB203" s="48">
        <v>32.731290000000001</v>
      </c>
      <c r="AC203" s="52">
        <v>626.01748715746805</v>
      </c>
      <c r="AD203" s="53">
        <v>8.8806792674952604</v>
      </c>
      <c r="AE203" s="52">
        <v>1567.6253205151399</v>
      </c>
      <c r="AF203" s="53">
        <v>3.4174589847104202</v>
      </c>
      <c r="AG203" s="53">
        <v>12.2048582655083</v>
      </c>
      <c r="AH203" s="53">
        <v>1.07191015903639</v>
      </c>
      <c r="AI203" s="48">
        <v>12.684537163498799</v>
      </c>
      <c r="AJ203" s="53">
        <v>0.46054378706082599</v>
      </c>
      <c r="AK203" s="53">
        <v>3.2555598868983999</v>
      </c>
      <c r="AL203" s="53">
        <v>4.2036168958723499</v>
      </c>
      <c r="AM203" s="53">
        <v>2.5140294162341501</v>
      </c>
      <c r="AN203" s="48">
        <v>25.902196138568002</v>
      </c>
      <c r="AO203" s="53">
        <v>9.7594284745727204</v>
      </c>
      <c r="AP203" s="52">
        <v>123.580965501443</v>
      </c>
      <c r="AQ203" s="48">
        <v>50.918966778459698</v>
      </c>
      <c r="AR203" s="52">
        <v>241.3961116305</v>
      </c>
      <c r="AS203" s="48">
        <v>52.512413636666999</v>
      </c>
      <c r="AT203" s="52">
        <v>500.54880296187702</v>
      </c>
      <c r="AU203" s="52">
        <v>104.394288381241</v>
      </c>
      <c r="AV203" s="52">
        <v>9282.2558119614096</v>
      </c>
      <c r="AW203" s="53">
        <v>1.9088328619013499</v>
      </c>
      <c r="AX203" s="64">
        <v>0.179503237561184</v>
      </c>
      <c r="AY203" s="64">
        <v>0</v>
      </c>
      <c r="AZ203" s="53">
        <v>4.2157961408400402</v>
      </c>
      <c r="BA203" s="64">
        <v>4.7766378464938399E-2</v>
      </c>
      <c r="BB203" s="48">
        <v>344.86121973009398</v>
      </c>
      <c r="BC203" s="52">
        <v>251.03400094914701</v>
      </c>
      <c r="BD203" s="52">
        <v>910.31346981316801</v>
      </c>
    </row>
    <row r="204" spans="1:56" s="39" customFormat="1" ht="12" customHeight="1">
      <c r="A204" s="47" t="s">
        <v>36</v>
      </c>
      <c r="B204" s="39" t="s">
        <v>316</v>
      </c>
      <c r="D204" s="48">
        <v>398.51836449539002</v>
      </c>
      <c r="E204" s="52">
        <v>140.30460310211399</v>
      </c>
      <c r="F204" s="52">
        <v>429.79270545756702</v>
      </c>
      <c r="G204" s="122">
        <f t="shared" si="6"/>
        <v>0.32644714840551453</v>
      </c>
      <c r="H204" s="53">
        <v>0.48117631875330402</v>
      </c>
      <c r="I204" s="54">
        <v>0.33896201664339098</v>
      </c>
      <c r="J204" s="54">
        <v>6.72968960635675E-3</v>
      </c>
      <c r="K204" s="54">
        <v>32.024627265741699</v>
      </c>
      <c r="L204" s="54">
        <v>0.83597341128876901</v>
      </c>
      <c r="M204" s="54">
        <v>0.68015565835070702</v>
      </c>
      <c r="N204" s="54">
        <v>1.11099350784842E-2</v>
      </c>
      <c r="O204" s="54">
        <v>0.62574130677490003</v>
      </c>
      <c r="P204" s="54">
        <v>0.176779977158778</v>
      </c>
      <c r="Q204" s="54">
        <v>5.2420182048539101E-3</v>
      </c>
      <c r="R204" s="54">
        <v>2.3687057533282601</v>
      </c>
      <c r="S204" s="52">
        <v>3658.3249999999998</v>
      </c>
      <c r="T204" s="67">
        <v>30.322499999999799</v>
      </c>
      <c r="U204" s="52">
        <v>3551.0520017439198</v>
      </c>
      <c r="V204" s="67">
        <v>25.816215634715999</v>
      </c>
      <c r="W204" s="52">
        <v>3344.9569244367699</v>
      </c>
      <c r="X204" s="67">
        <v>42.6648051310423</v>
      </c>
      <c r="Y204" s="52">
        <v>3290.1844468803201</v>
      </c>
      <c r="Z204" s="67">
        <v>90.036261051740894</v>
      </c>
      <c r="AA204" s="71">
        <f t="shared" si="7"/>
        <v>0.94022772316181025</v>
      </c>
      <c r="AB204" s="48">
        <v>32.731290000000001</v>
      </c>
      <c r="AC204" s="52">
        <v>566.28099148564297</v>
      </c>
      <c r="AD204" s="48">
        <v>10.9638949990087</v>
      </c>
      <c r="AE204" s="52">
        <v>1122.0337551759001</v>
      </c>
      <c r="AF204" s="53">
        <v>1.7892185135741601</v>
      </c>
      <c r="AG204" s="53">
        <v>1.97811160799754</v>
      </c>
      <c r="AH204" s="53">
        <v>0.59559760996015099</v>
      </c>
      <c r="AI204" s="48">
        <v>10.2662931103132</v>
      </c>
      <c r="AJ204" s="53">
        <v>0.52914864556444496</v>
      </c>
      <c r="AK204" s="53">
        <v>4.4502672794270799</v>
      </c>
      <c r="AL204" s="53">
        <v>4.7252064433879299</v>
      </c>
      <c r="AM204" s="53">
        <v>4.6784222169603602</v>
      </c>
      <c r="AN204" s="48">
        <v>21.594026825030799</v>
      </c>
      <c r="AO204" s="53">
        <v>7.3225738704928602</v>
      </c>
      <c r="AP204" s="48">
        <v>89.407538733882006</v>
      </c>
      <c r="AQ204" s="48">
        <v>35.4335410110045</v>
      </c>
      <c r="AR204" s="52">
        <v>166.19713779284999</v>
      </c>
      <c r="AS204" s="48">
        <v>35.317422941965397</v>
      </c>
      <c r="AT204" s="52">
        <v>329.94104263352699</v>
      </c>
      <c r="AU204" s="48">
        <v>67.611497987230194</v>
      </c>
      <c r="AV204" s="52">
        <v>9165.2016669033892</v>
      </c>
      <c r="AW204" s="53">
        <v>1.0371531383886099</v>
      </c>
      <c r="AX204" s="64">
        <v>0.16265464782146799</v>
      </c>
      <c r="AY204" s="64">
        <v>0</v>
      </c>
      <c r="AZ204" s="53">
        <v>0.48117631875330402</v>
      </c>
      <c r="BA204" s="64">
        <v>4.2756738482494202E-3</v>
      </c>
      <c r="BB204" s="48">
        <v>398.51836449539002</v>
      </c>
      <c r="BC204" s="52">
        <v>140.30460310211399</v>
      </c>
      <c r="BD204" s="52">
        <v>429.79270545756702</v>
      </c>
    </row>
    <row r="205" spans="1:56" s="39" customFormat="1" ht="12" customHeight="1">
      <c r="A205" s="47" t="s">
        <v>36</v>
      </c>
      <c r="B205" s="39" t="s">
        <v>317</v>
      </c>
      <c r="D205" s="48">
        <v>319.27386847621398</v>
      </c>
      <c r="E205" s="48">
        <v>78.724505145428594</v>
      </c>
      <c r="F205" s="52">
        <v>329.71413799390803</v>
      </c>
      <c r="G205" s="122">
        <f t="shared" si="6"/>
        <v>0.23876593713698485</v>
      </c>
      <c r="H205" s="53">
        <v>0.42768737217925101</v>
      </c>
      <c r="I205" s="54">
        <v>0.33522236204349298</v>
      </c>
      <c r="J205" s="54">
        <v>6.8953180708978701E-3</v>
      </c>
      <c r="K205" s="54">
        <v>32.905065059564997</v>
      </c>
      <c r="L205" s="54">
        <v>0.75288629440379895</v>
      </c>
      <c r="M205" s="54">
        <v>0.70895179759690596</v>
      </c>
      <c r="N205" s="54">
        <v>7.9580966592966897E-3</v>
      </c>
      <c r="O205" s="54">
        <v>0.49059810267867499</v>
      </c>
      <c r="P205" s="54">
        <v>0.19964547521707601</v>
      </c>
      <c r="Q205" s="54">
        <v>4.7426661346452797E-3</v>
      </c>
      <c r="R205" s="54">
        <v>3.0887621548514499</v>
      </c>
      <c r="S205" s="52">
        <v>3642.59</v>
      </c>
      <c r="T205" s="67">
        <v>31.477499999999701</v>
      </c>
      <c r="U205" s="52">
        <v>3577.7675940621998</v>
      </c>
      <c r="V205" s="67">
        <v>22.678184792121101</v>
      </c>
      <c r="W205" s="52">
        <v>3454.5057128231501</v>
      </c>
      <c r="X205" s="67">
        <v>30.077000070009099</v>
      </c>
      <c r="Y205" s="52">
        <v>3679.1526189924002</v>
      </c>
      <c r="Z205" s="67">
        <v>79.906816730519694</v>
      </c>
      <c r="AA205" s="71">
        <f t="shared" si="7"/>
        <v>0.96494394462218558</v>
      </c>
      <c r="AB205" s="48">
        <v>32.731290000000001</v>
      </c>
      <c r="AC205" s="52">
        <v>471.31507441007398</v>
      </c>
      <c r="AD205" s="53">
        <v>3.36060196533544</v>
      </c>
      <c r="AE205" s="52">
        <v>517.36044249585098</v>
      </c>
      <c r="AF205" s="53">
        <v>1.1577059273816499</v>
      </c>
      <c r="AG205" s="53">
        <v>0.75409449767089398</v>
      </c>
      <c r="AH205" s="53">
        <v>0.32857739995666002</v>
      </c>
      <c r="AI205" s="53">
        <v>6.0296890231095901</v>
      </c>
      <c r="AJ205" s="53">
        <v>0.184828544177879</v>
      </c>
      <c r="AK205" s="53">
        <v>1.18357770712354</v>
      </c>
      <c r="AL205" s="53">
        <v>1.6139647052625199</v>
      </c>
      <c r="AM205" s="53">
        <v>0.68274745320087804</v>
      </c>
      <c r="AN205" s="53">
        <v>9.0116885564676696</v>
      </c>
      <c r="AO205" s="53">
        <v>3.2261135882072698</v>
      </c>
      <c r="AP205" s="48">
        <v>39.424321090508002</v>
      </c>
      <c r="AQ205" s="48">
        <v>15.823497666314299</v>
      </c>
      <c r="AR205" s="48">
        <v>78.117376152524002</v>
      </c>
      <c r="AS205" s="48">
        <v>17.763010116825701</v>
      </c>
      <c r="AT205" s="52">
        <v>171.743465724934</v>
      </c>
      <c r="AU205" s="48">
        <v>37.815961298956303</v>
      </c>
      <c r="AV205" s="52">
        <v>9680.4074900118994</v>
      </c>
      <c r="AW205" s="53">
        <v>0.82190183859130195</v>
      </c>
      <c r="AX205" s="64">
        <v>0.16451022879582</v>
      </c>
      <c r="AY205" s="64">
        <v>0</v>
      </c>
      <c r="AZ205" s="53">
        <v>0.42768737217925101</v>
      </c>
      <c r="BA205" s="64">
        <v>6.7364872522704799E-3</v>
      </c>
      <c r="BB205" s="48">
        <v>319.27386847621398</v>
      </c>
      <c r="BC205" s="48">
        <v>78.724505145428594</v>
      </c>
      <c r="BD205" s="52">
        <v>329.71413799390803</v>
      </c>
    </row>
    <row r="206" spans="1:56" s="39" customFormat="1" ht="12" customHeight="1">
      <c r="A206" s="47" t="s">
        <v>36</v>
      </c>
      <c r="B206" s="39" t="s">
        <v>318</v>
      </c>
      <c r="D206" s="48">
        <v>275.03902752784302</v>
      </c>
      <c r="E206" s="48">
        <v>65.246011771192897</v>
      </c>
      <c r="F206" s="52">
        <v>250.067047295224</v>
      </c>
      <c r="G206" s="122">
        <f t="shared" si="6"/>
        <v>0.26091407275331563</v>
      </c>
      <c r="H206" s="53">
        <v>0.225557644002881</v>
      </c>
      <c r="I206" s="54">
        <v>0.344783785414155</v>
      </c>
      <c r="J206" s="54">
        <v>7.3317689339857496E-3</v>
      </c>
      <c r="K206" s="54">
        <v>38.009551733928397</v>
      </c>
      <c r="L206" s="54">
        <v>0.82843201337319605</v>
      </c>
      <c r="M206" s="54">
        <v>0.79693947096814999</v>
      </c>
      <c r="N206" s="54">
        <v>6.8373510601581903E-3</v>
      </c>
      <c r="O206" s="54">
        <v>0.393639268929803</v>
      </c>
      <c r="P206" s="54">
        <v>0.21065065333859001</v>
      </c>
      <c r="Q206" s="54">
        <v>5.1960266816835198E-3</v>
      </c>
      <c r="R206" s="54">
        <v>2.8207135991982102</v>
      </c>
      <c r="S206" s="52">
        <v>3684.2550000000001</v>
      </c>
      <c r="T206" s="67">
        <v>32.407499999999999</v>
      </c>
      <c r="U206" s="52">
        <v>3720.16706340776</v>
      </c>
      <c r="V206" s="67">
        <v>21.7112100182798</v>
      </c>
      <c r="W206" s="52">
        <v>3778.1461650619999</v>
      </c>
      <c r="X206" s="67">
        <v>24.613294853385199</v>
      </c>
      <c r="Y206" s="52">
        <v>3863.7280468025501</v>
      </c>
      <c r="Z206" s="67">
        <v>86.749449780255404</v>
      </c>
      <c r="AA206" s="71">
        <f t="shared" si="7"/>
        <v>0.9845354281989438</v>
      </c>
      <c r="AB206" s="48">
        <v>32.731290000000001</v>
      </c>
      <c r="AC206" s="52">
        <v>502.12702670958299</v>
      </c>
      <c r="AD206" s="53">
        <v>3.5183514123819402</v>
      </c>
      <c r="AE206" s="52">
        <v>545.25852167658297</v>
      </c>
      <c r="AF206" s="53">
        <v>0.61247027050351599</v>
      </c>
      <c r="AG206" s="53">
        <v>0</v>
      </c>
      <c r="AH206" s="53">
        <v>3.1318023288865698E-3</v>
      </c>
      <c r="AI206" s="53">
        <v>1.5989337844307101</v>
      </c>
      <c r="AJ206" s="64">
        <v>1.9863979329623801E-2</v>
      </c>
      <c r="AK206" s="53">
        <v>0.45825491299071602</v>
      </c>
      <c r="AL206" s="53">
        <v>1.1272053206593999</v>
      </c>
      <c r="AM206" s="53">
        <v>0.369321491534298</v>
      </c>
      <c r="AN206" s="53">
        <v>7.6870556170395101</v>
      </c>
      <c r="AO206" s="53">
        <v>2.8473585852480099</v>
      </c>
      <c r="AP206" s="48">
        <v>36.886651652725398</v>
      </c>
      <c r="AQ206" s="48">
        <v>16.060098144118498</v>
      </c>
      <c r="AR206" s="48">
        <v>80.089722712460897</v>
      </c>
      <c r="AS206" s="48">
        <v>18.611809308068299</v>
      </c>
      <c r="AT206" s="52">
        <v>193.40881500088199</v>
      </c>
      <c r="AU206" s="48">
        <v>44.8720255680254</v>
      </c>
      <c r="AV206" s="52">
        <v>8164.4812185075398</v>
      </c>
      <c r="AW206" s="53">
        <v>0.30243239949351203</v>
      </c>
      <c r="AX206" s="64">
        <v>1.26639280724612E-2</v>
      </c>
      <c r="AY206" s="64">
        <v>0</v>
      </c>
      <c r="AZ206" s="53">
        <v>0.225557644002881</v>
      </c>
      <c r="BA206" s="64">
        <v>0</v>
      </c>
      <c r="BB206" s="48">
        <v>275.03902752784302</v>
      </c>
      <c r="BC206" s="48">
        <v>65.246011771192897</v>
      </c>
      <c r="BD206" s="52">
        <v>250.067047295224</v>
      </c>
    </row>
    <row r="207" spans="1:56" s="39" customFormat="1" ht="12" customHeight="1">
      <c r="A207" s="47" t="s">
        <v>36</v>
      </c>
      <c r="B207" s="39" t="s">
        <v>319</v>
      </c>
      <c r="D207" s="48">
        <v>358.59925442714098</v>
      </c>
      <c r="E207" s="52">
        <v>121.838021195503</v>
      </c>
      <c r="F207" s="52">
        <v>333.410227035741</v>
      </c>
      <c r="G207" s="122">
        <f t="shared" si="6"/>
        <v>0.365429765843512</v>
      </c>
      <c r="H207" s="53">
        <v>0.130958399181764</v>
      </c>
      <c r="I207" s="54">
        <v>0.34518874774692099</v>
      </c>
      <c r="J207" s="54">
        <v>7.6496955102181401E-3</v>
      </c>
      <c r="K207" s="54">
        <v>36.463005283009402</v>
      </c>
      <c r="L207" s="54">
        <v>0.81321058689029502</v>
      </c>
      <c r="M207" s="54">
        <v>0.76381693396402495</v>
      </c>
      <c r="N207" s="54">
        <v>6.2647188303757298E-3</v>
      </c>
      <c r="O207" s="54">
        <v>0.36775766891915801</v>
      </c>
      <c r="P207" s="54">
        <v>0.198341259643107</v>
      </c>
      <c r="Q207" s="54">
        <v>5.00996066570337E-3</v>
      </c>
      <c r="R207" s="54">
        <v>2.0260732397683698</v>
      </c>
      <c r="S207" s="52">
        <v>3686.11</v>
      </c>
      <c r="T207" s="67">
        <v>33.952499999999901</v>
      </c>
      <c r="U207" s="52">
        <v>3679.0921665767501</v>
      </c>
      <c r="V207" s="67">
        <v>22.182480017228499</v>
      </c>
      <c r="W207" s="52">
        <v>3658.2122370168299</v>
      </c>
      <c r="X207" s="67">
        <v>22.9814109391614</v>
      </c>
      <c r="Y207" s="52">
        <v>3657.1665877291298</v>
      </c>
      <c r="Z207" s="67">
        <v>84.5021970379766</v>
      </c>
      <c r="AA207" s="71">
        <f t="shared" si="7"/>
        <v>0.99430855572798815</v>
      </c>
      <c r="AB207" s="48">
        <v>32.731290000000001</v>
      </c>
      <c r="AC207" s="52">
        <v>539.18961057061904</v>
      </c>
      <c r="AD207" s="53">
        <v>3.0911698114629398</v>
      </c>
      <c r="AE207" s="52">
        <v>817.67902970596197</v>
      </c>
      <c r="AF207" s="53">
        <v>0.91780260952783499</v>
      </c>
      <c r="AG207" s="53">
        <v>0.379357661781758</v>
      </c>
      <c r="AH207" s="53">
        <v>5.0395106176069099E-2</v>
      </c>
      <c r="AI207" s="53">
        <v>5.2391347430997799</v>
      </c>
      <c r="AJ207" s="64">
        <v>8.4907150188861497E-2</v>
      </c>
      <c r="AK207" s="53">
        <v>1.2896441840877999</v>
      </c>
      <c r="AL207" s="53">
        <v>2.3672660353908901</v>
      </c>
      <c r="AM207" s="53">
        <v>0.758484419229427</v>
      </c>
      <c r="AN207" s="48">
        <v>13.4949628854159</v>
      </c>
      <c r="AO207" s="53">
        <v>5.0233299137890102</v>
      </c>
      <c r="AP207" s="48">
        <v>62.718515416883399</v>
      </c>
      <c r="AQ207" s="48">
        <v>25.984192073679001</v>
      </c>
      <c r="AR207" s="52">
        <v>123.75579841566601</v>
      </c>
      <c r="AS207" s="48">
        <v>27.559776320469599</v>
      </c>
      <c r="AT207" s="52">
        <v>273.92442352394897</v>
      </c>
      <c r="AU207" s="48">
        <v>59.826521282910399</v>
      </c>
      <c r="AV207" s="52">
        <v>8775.22327698556</v>
      </c>
      <c r="AW207" s="53">
        <v>0.53669903636559801</v>
      </c>
      <c r="AX207" s="64">
        <v>8.4728970993015906E-2</v>
      </c>
      <c r="AY207" s="64">
        <v>0</v>
      </c>
      <c r="AZ207" s="53">
        <v>0.130958399181764</v>
      </c>
      <c r="BA207" s="64">
        <v>2.2600330373699802E-3</v>
      </c>
      <c r="BB207" s="48">
        <v>358.59925442714098</v>
      </c>
      <c r="BC207" s="52">
        <v>121.838021195503</v>
      </c>
      <c r="BD207" s="52">
        <v>333.410227035741</v>
      </c>
    </row>
    <row r="208" spans="1:56" s="39" customFormat="1" ht="12" customHeight="1">
      <c r="A208" s="47" t="s">
        <v>36</v>
      </c>
      <c r="B208" s="39" t="s">
        <v>320</v>
      </c>
      <c r="D208" s="48">
        <v>222.72999011822901</v>
      </c>
      <c r="E208" s="48">
        <v>51.816080238888802</v>
      </c>
      <c r="F208" s="52">
        <v>284.46188412048201</v>
      </c>
      <c r="G208" s="122">
        <f t="shared" si="6"/>
        <v>0.18215473893487408</v>
      </c>
      <c r="H208" s="53">
        <v>0.55044613939440301</v>
      </c>
      <c r="I208" s="54">
        <v>0.31856005528550602</v>
      </c>
      <c r="J208" s="54">
        <v>6.64377474538351E-3</v>
      </c>
      <c r="K208" s="54">
        <v>25.450175777437099</v>
      </c>
      <c r="L208" s="54">
        <v>0.53791321030496897</v>
      </c>
      <c r="M208" s="54">
        <v>0.577819254126542</v>
      </c>
      <c r="N208" s="54">
        <v>4.4792244852665903E-3</v>
      </c>
      <c r="O208" s="54">
        <v>0.36676627581171001</v>
      </c>
      <c r="P208" s="54">
        <v>0.193197161119608</v>
      </c>
      <c r="Q208" s="54">
        <v>4.8590878576765702E-3</v>
      </c>
      <c r="R208" s="54">
        <v>4.3038289306731601</v>
      </c>
      <c r="S208" s="52">
        <v>3562.92</v>
      </c>
      <c r="T208" s="67">
        <v>32.092500000000001</v>
      </c>
      <c r="U208" s="52">
        <v>3325.6463460750601</v>
      </c>
      <c r="V208" s="67">
        <v>20.773152116601398</v>
      </c>
      <c r="W208" s="52">
        <v>2939.8464125844198</v>
      </c>
      <c r="X208" s="67">
        <v>18.3692619888438</v>
      </c>
      <c r="Y208" s="52">
        <v>3570.2151478472601</v>
      </c>
      <c r="Z208" s="67">
        <v>82.310783822206304</v>
      </c>
      <c r="AA208" s="71">
        <f t="shared" si="7"/>
        <v>0.8768492923537643</v>
      </c>
      <c r="AB208" s="48">
        <v>32.731290000000001</v>
      </c>
      <c r="AC208" s="52">
        <v>512.14964097074903</v>
      </c>
      <c r="AD208" s="53">
        <v>6.7049452167577899</v>
      </c>
      <c r="AE208" s="52">
        <v>594.73697638382396</v>
      </c>
      <c r="AF208" s="53">
        <v>1.4120817393113501</v>
      </c>
      <c r="AG208" s="53">
        <v>2.8699384532038201</v>
      </c>
      <c r="AH208" s="53">
        <v>1.52176171858509</v>
      </c>
      <c r="AI208" s="53">
        <v>9.6580598452684097</v>
      </c>
      <c r="AJ208" s="53">
        <v>0.82995301816167399</v>
      </c>
      <c r="AK208" s="53">
        <v>5.2144111559908097</v>
      </c>
      <c r="AL208" s="53">
        <v>4.0591594341746298</v>
      </c>
      <c r="AM208" s="53">
        <v>8.1825900561555205</v>
      </c>
      <c r="AN208" s="48">
        <v>13.0634972775685</v>
      </c>
      <c r="AO208" s="53">
        <v>4.0086815658251203</v>
      </c>
      <c r="AP208" s="48">
        <v>46.3942554863428</v>
      </c>
      <c r="AQ208" s="48">
        <v>17.9017132122463</v>
      </c>
      <c r="AR208" s="48">
        <v>81.975675627058607</v>
      </c>
      <c r="AS208" s="48">
        <v>17.743978412567799</v>
      </c>
      <c r="AT208" s="52">
        <v>165.03092654388101</v>
      </c>
      <c r="AU208" s="48">
        <v>35.277857894462599</v>
      </c>
      <c r="AV208" s="52">
        <v>10069.024091757199</v>
      </c>
      <c r="AW208" s="53">
        <v>1.98398412991311</v>
      </c>
      <c r="AX208" s="64">
        <v>0.10496926312723701</v>
      </c>
      <c r="AY208" s="64">
        <v>0</v>
      </c>
      <c r="AZ208" s="53">
        <v>0.55044613939440301</v>
      </c>
      <c r="BA208" s="64">
        <v>5.5195177322986504E-3</v>
      </c>
      <c r="BB208" s="48">
        <v>222.72999011822901</v>
      </c>
      <c r="BC208" s="48">
        <v>51.816080238888802</v>
      </c>
      <c r="BD208" s="52">
        <v>284.46188412048201</v>
      </c>
    </row>
    <row r="209" spans="1:56" s="41" customFormat="1" ht="12" customHeight="1">
      <c r="A209" s="47" t="s">
        <v>36</v>
      </c>
      <c r="B209" s="41" t="s">
        <v>321</v>
      </c>
      <c r="C209" s="41" t="s">
        <v>135</v>
      </c>
      <c r="D209" s="50">
        <v>533.07901349518397</v>
      </c>
      <c r="E209" s="60">
        <v>165.35390754184499</v>
      </c>
      <c r="F209" s="60">
        <v>591.88613781038998</v>
      </c>
      <c r="G209" s="122">
        <f t="shared" si="6"/>
        <v>0.27936776514745126</v>
      </c>
      <c r="H209" s="61">
        <v>0.39700219187156899</v>
      </c>
      <c r="I209" s="62">
        <v>0.27525360166172802</v>
      </c>
      <c r="J209" s="62">
        <v>4.3274004033194502E-3</v>
      </c>
      <c r="K209" s="62">
        <v>25.664740589157599</v>
      </c>
      <c r="L209" s="62">
        <v>0.40809888055948002</v>
      </c>
      <c r="M209" s="62">
        <v>0.67376764448120696</v>
      </c>
      <c r="N209" s="62">
        <v>4.4066957197114801E-3</v>
      </c>
      <c r="O209" s="62">
        <v>0.41131484824848102</v>
      </c>
      <c r="P209" s="62">
        <v>0.18179710512014299</v>
      </c>
      <c r="Q209" s="62">
        <v>3.2513176633950799E-3</v>
      </c>
      <c r="R209" s="62">
        <v>2.61683403479564</v>
      </c>
      <c r="S209" s="60">
        <v>3336.105</v>
      </c>
      <c r="T209" s="69">
        <v>19.29</v>
      </c>
      <c r="U209" s="60">
        <v>3333.8499421136398</v>
      </c>
      <c r="V209" s="69">
        <v>15.7047344775985</v>
      </c>
      <c r="W209" s="60">
        <v>3320.40070816045</v>
      </c>
      <c r="X209" s="69">
        <v>17.066568908697999</v>
      </c>
      <c r="Y209" s="60">
        <v>3376.17484335577</v>
      </c>
      <c r="Z209" s="69">
        <v>55.607155342371897</v>
      </c>
      <c r="AA209" s="71">
        <f t="shared" si="7"/>
        <v>0.9959577014272416</v>
      </c>
      <c r="AB209" s="50">
        <v>32.731290000000001</v>
      </c>
      <c r="AC209" s="60">
        <v>582.14779847972</v>
      </c>
      <c r="AD209" s="61">
        <v>4.2032603844651</v>
      </c>
      <c r="AE209" s="60">
        <v>1288.5990167044899</v>
      </c>
      <c r="AF209" s="61">
        <v>3.7781807496065598</v>
      </c>
      <c r="AG209" s="61">
        <v>0.110848968358442</v>
      </c>
      <c r="AH209" s="61">
        <v>1.69544832407665E-2</v>
      </c>
      <c r="AI209" s="61">
        <v>5.6829602824849399</v>
      </c>
      <c r="AJ209" s="65">
        <v>4.3662710510656899E-2</v>
      </c>
      <c r="AK209" s="61">
        <v>0.64099498947967504</v>
      </c>
      <c r="AL209" s="61">
        <v>1.9888113958074001</v>
      </c>
      <c r="AM209" s="61">
        <v>0.24881623143822301</v>
      </c>
      <c r="AN209" s="50">
        <v>16.096356104107301</v>
      </c>
      <c r="AO209" s="61">
        <v>6.6873282933143097</v>
      </c>
      <c r="AP209" s="50">
        <v>94.258526352049898</v>
      </c>
      <c r="AQ209" s="50">
        <v>41.4866813855269</v>
      </c>
      <c r="AR209" s="60">
        <v>211.30109363971999</v>
      </c>
      <c r="AS209" s="50">
        <v>48.369856828214502</v>
      </c>
      <c r="AT209" s="60">
        <v>485.29823780338501</v>
      </c>
      <c r="AU209" s="60">
        <v>109.407320962333</v>
      </c>
      <c r="AV209" s="60">
        <v>9495.8391785925796</v>
      </c>
      <c r="AW209" s="61">
        <v>1.92487709947663</v>
      </c>
      <c r="AX209" s="65">
        <v>5.7198776038771201E-2</v>
      </c>
      <c r="AY209" s="65">
        <v>0</v>
      </c>
      <c r="AZ209" s="61">
        <v>0.39700219187156899</v>
      </c>
      <c r="BA209" s="65">
        <v>4.0569440718245496E-3</v>
      </c>
      <c r="BB209" s="50">
        <v>533.07901349518397</v>
      </c>
      <c r="BC209" s="60">
        <v>165.35390754184499</v>
      </c>
      <c r="BD209" s="60">
        <v>591.88613781038998</v>
      </c>
    </row>
    <row r="210" spans="1:56" s="41" customFormat="1" ht="12" customHeight="1">
      <c r="A210" s="47" t="s">
        <v>36</v>
      </c>
      <c r="B210" s="41" t="s">
        <v>322</v>
      </c>
      <c r="C210" s="41" t="s">
        <v>126</v>
      </c>
      <c r="D210" s="50">
        <v>435.14574492416898</v>
      </c>
      <c r="E210" s="60">
        <v>177.191400894482</v>
      </c>
      <c r="F210" s="60">
        <v>676.35687100078405</v>
      </c>
      <c r="G210" s="122">
        <f t="shared" si="6"/>
        <v>0.26197915404082084</v>
      </c>
      <c r="H210" s="61">
        <v>1.21442157911904</v>
      </c>
      <c r="I210" s="62">
        <v>0.25610530964473399</v>
      </c>
      <c r="J210" s="62">
        <v>3.9591363641462698E-3</v>
      </c>
      <c r="K210" s="62">
        <v>17.5073568734208</v>
      </c>
      <c r="L210" s="62">
        <v>0.28788631182506202</v>
      </c>
      <c r="M210" s="62">
        <v>0.49401678618795603</v>
      </c>
      <c r="N210" s="62">
        <v>4.04385714791045E-3</v>
      </c>
      <c r="O210" s="62">
        <v>0.497798596766306</v>
      </c>
      <c r="P210" s="62">
        <v>0.13367542995581799</v>
      </c>
      <c r="Q210" s="62">
        <v>2.46933287463558E-3</v>
      </c>
      <c r="R210" s="62">
        <v>2.97910542880008</v>
      </c>
      <c r="S210" s="60">
        <v>3223.145</v>
      </c>
      <c r="T210" s="69">
        <v>24.377500000000101</v>
      </c>
      <c r="U210" s="60">
        <v>2963.0586605762701</v>
      </c>
      <c r="V210" s="69">
        <v>15.9225221688373</v>
      </c>
      <c r="W210" s="60">
        <v>2588.0310870743901</v>
      </c>
      <c r="X210" s="69">
        <v>17.504395806756701</v>
      </c>
      <c r="Y210" s="60">
        <v>2535.9261721574098</v>
      </c>
      <c r="Z210" s="69">
        <v>44.025581515174999</v>
      </c>
      <c r="AA210" s="71">
        <f t="shared" si="7"/>
        <v>0.86488145911868941</v>
      </c>
      <c r="AB210" s="50">
        <v>32.731290000000001</v>
      </c>
      <c r="AC210" s="60">
        <v>688.09948293885304</v>
      </c>
      <c r="AD210" s="61">
        <v>4.0719681857761101</v>
      </c>
      <c r="AE210" s="60">
        <v>1376.2746928762001</v>
      </c>
      <c r="AF210" s="61">
        <v>2.9897771544021299</v>
      </c>
      <c r="AG210" s="61">
        <v>1.7460269547798299</v>
      </c>
      <c r="AH210" s="61">
        <v>0.33651589755359201</v>
      </c>
      <c r="AI210" s="61">
        <v>6.7789245516763099</v>
      </c>
      <c r="AJ210" s="61">
        <v>0.28232378139724801</v>
      </c>
      <c r="AK210" s="61">
        <v>1.71230775957309</v>
      </c>
      <c r="AL210" s="61">
        <v>2.8163424169036499</v>
      </c>
      <c r="AM210" s="61">
        <v>0.814734374608867</v>
      </c>
      <c r="AN210" s="50">
        <v>17.346389304713298</v>
      </c>
      <c r="AO210" s="61">
        <v>7.3089196503949596</v>
      </c>
      <c r="AP210" s="60">
        <v>100.136556991725</v>
      </c>
      <c r="AQ210" s="50">
        <v>43.205098280742099</v>
      </c>
      <c r="AR210" s="60">
        <v>221.04037612043001</v>
      </c>
      <c r="AS210" s="50">
        <v>49.206067690550398</v>
      </c>
      <c r="AT210" s="60">
        <v>494.98571778005697</v>
      </c>
      <c r="AU210" s="60">
        <v>108.902463820431</v>
      </c>
      <c r="AV210" s="60">
        <v>10066.0036415048</v>
      </c>
      <c r="AW210" s="61">
        <v>1.2486443280580699</v>
      </c>
      <c r="AX210" s="65">
        <v>0.25648879233322303</v>
      </c>
      <c r="AY210" s="65">
        <v>0</v>
      </c>
      <c r="AZ210" s="61">
        <v>1.21442157911904</v>
      </c>
      <c r="BA210" s="65">
        <v>1.8192871199053599E-2</v>
      </c>
      <c r="BB210" s="50">
        <v>435.14574492416898</v>
      </c>
      <c r="BC210" s="60">
        <v>177.191400894482</v>
      </c>
      <c r="BD210" s="60">
        <v>676.35687100078405</v>
      </c>
    </row>
    <row r="211" spans="1:56" s="41" customFormat="1" ht="12" customHeight="1">
      <c r="A211" s="47"/>
      <c r="D211" s="50"/>
      <c r="E211" s="50"/>
      <c r="F211" s="60"/>
      <c r="G211" s="122"/>
      <c r="H211" s="61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0"/>
      <c r="T211" s="69"/>
      <c r="U211" s="60"/>
      <c r="V211" s="69"/>
      <c r="W211" s="60"/>
      <c r="X211" s="69"/>
      <c r="Y211" s="60"/>
      <c r="Z211" s="69"/>
      <c r="AA211" s="71"/>
      <c r="AB211" s="50"/>
      <c r="AC211" s="60"/>
      <c r="AD211" s="61"/>
      <c r="AE211" s="60"/>
      <c r="AF211" s="61"/>
      <c r="AG211" s="61"/>
      <c r="AH211" s="61"/>
      <c r="AI211" s="61"/>
      <c r="AJ211" s="61"/>
      <c r="AK211" s="61"/>
      <c r="AL211" s="61"/>
      <c r="AM211" s="61"/>
      <c r="AN211" s="50"/>
      <c r="AO211" s="61"/>
      <c r="AP211" s="50"/>
      <c r="AQ211" s="50"/>
      <c r="AR211" s="50"/>
      <c r="AS211" s="50"/>
      <c r="AT211" s="60"/>
      <c r="AU211" s="50"/>
      <c r="AV211" s="60"/>
      <c r="AW211" s="61"/>
      <c r="AX211" s="65"/>
      <c r="AY211" s="65"/>
      <c r="AZ211" s="61"/>
      <c r="BA211" s="65"/>
      <c r="BB211" s="50"/>
      <c r="BC211" s="50"/>
      <c r="BD211" s="60"/>
    </row>
    <row r="212" spans="1:56" s="39" customFormat="1" ht="12" customHeight="1">
      <c r="A212" s="47" t="s">
        <v>38</v>
      </c>
      <c r="B212" s="39" t="s">
        <v>323</v>
      </c>
      <c r="D212" s="53">
        <v>319.42333291671503</v>
      </c>
      <c r="E212" s="48">
        <v>26.9642120115853</v>
      </c>
      <c r="F212" s="52">
        <v>368.89020113139702</v>
      </c>
      <c r="G212" s="122">
        <f t="shared" si="6"/>
        <v>7.3095495431663063E-2</v>
      </c>
      <c r="H212" s="53">
        <v>0.26206105866489598</v>
      </c>
      <c r="I212" s="54">
        <v>0.30191243501245302</v>
      </c>
      <c r="J212" s="54">
        <v>6.1684931723046399E-3</v>
      </c>
      <c r="K212" s="54">
        <v>27.252435072421701</v>
      </c>
      <c r="L212" s="54">
        <v>0.54932701320674004</v>
      </c>
      <c r="M212" s="54">
        <v>0.65104300125101999</v>
      </c>
      <c r="N212" s="54">
        <v>5.2877503594017296E-3</v>
      </c>
      <c r="O212" s="54">
        <v>0.40293558773850502</v>
      </c>
      <c r="P212" s="54">
        <v>0.18068190519289101</v>
      </c>
      <c r="Q212" s="54">
        <v>3.8288902669384802E-3</v>
      </c>
      <c r="R212" s="54">
        <v>10.040463367832301</v>
      </c>
      <c r="S212" s="52">
        <v>3479.94</v>
      </c>
      <c r="T212" s="67">
        <v>37.0625</v>
      </c>
      <c r="U212" s="52">
        <v>3392.5771956455701</v>
      </c>
      <c r="V212" s="67">
        <v>19.8769571086818</v>
      </c>
      <c r="W212" s="52">
        <v>3232.27855070341</v>
      </c>
      <c r="X212" s="67">
        <v>20.719404356127502</v>
      </c>
      <c r="Y212" s="52">
        <v>3357.09261895073</v>
      </c>
      <c r="Z212" s="67">
        <v>65.547209834039904</v>
      </c>
      <c r="AA212" s="71">
        <f t="shared" si="7"/>
        <v>0.95160690252599023</v>
      </c>
      <c r="AB212" s="48">
        <v>32.731290000000001</v>
      </c>
      <c r="AC212" s="52">
        <v>545.80935894901097</v>
      </c>
      <c r="AD212" s="53">
        <v>4.9372117125925303</v>
      </c>
      <c r="AE212" s="52">
        <v>1065.22500079305</v>
      </c>
      <c r="AF212" s="53">
        <v>1.71838618711022</v>
      </c>
      <c r="AG212" s="53">
        <v>2.2737737035978198</v>
      </c>
      <c r="AH212" s="53">
        <v>0.22276055262956501</v>
      </c>
      <c r="AI212" s="53">
        <v>3.5224870978828098</v>
      </c>
      <c r="AJ212" s="53">
        <v>0.23798997624572699</v>
      </c>
      <c r="AK212" s="53">
        <v>2.1439510810852802</v>
      </c>
      <c r="AL212" s="53">
        <v>6.0002141505906099</v>
      </c>
      <c r="AM212" s="53">
        <v>4.4386403310610403</v>
      </c>
      <c r="AN212" s="48">
        <v>29.5032647840446</v>
      </c>
      <c r="AO212" s="53">
        <v>9.6484834766827401</v>
      </c>
      <c r="AP212" s="48">
        <v>99.119905837196697</v>
      </c>
      <c r="AQ212" s="48">
        <v>33.7533072350287</v>
      </c>
      <c r="AR212" s="52">
        <v>143.588539867767</v>
      </c>
      <c r="AS212" s="48">
        <v>30.337191963210799</v>
      </c>
      <c r="AT212" s="52">
        <v>279.46405779164598</v>
      </c>
      <c r="AU212" s="48">
        <v>57.155229080189002</v>
      </c>
      <c r="AV212" s="52">
        <v>9093.71532414803</v>
      </c>
      <c r="AW212" s="53">
        <v>0.44523704767884997</v>
      </c>
      <c r="AX212" s="64">
        <v>0.118556533751817</v>
      </c>
      <c r="AY212" s="64">
        <v>0</v>
      </c>
      <c r="AZ212" s="53">
        <v>0.26206105866489598</v>
      </c>
      <c r="BA212" s="64">
        <v>4.5052836464048399E-3</v>
      </c>
      <c r="BB212" s="53">
        <v>319.42333291671503</v>
      </c>
      <c r="BC212" s="48">
        <v>26.9642120115853</v>
      </c>
      <c r="BD212" s="52">
        <v>368.89020113139702</v>
      </c>
    </row>
    <row r="213" spans="1:56" s="39" customFormat="1" ht="12" customHeight="1">
      <c r="A213" s="47" t="s">
        <v>38</v>
      </c>
      <c r="B213" s="39" t="s">
        <v>324</v>
      </c>
      <c r="D213" s="48">
        <v>251.875495841017</v>
      </c>
      <c r="E213" s="48">
        <v>50.136251272664303</v>
      </c>
      <c r="F213" s="52">
        <v>237.80089867301101</v>
      </c>
      <c r="G213" s="122">
        <f t="shared" si="6"/>
        <v>0.2108328923584277</v>
      </c>
      <c r="H213" s="53">
        <v>0.16345458432788801</v>
      </c>
      <c r="I213" s="54">
        <v>0.32972034138149198</v>
      </c>
      <c r="J213" s="54">
        <v>6.4893357258419904E-3</v>
      </c>
      <c r="K213" s="54">
        <v>34.759185211521597</v>
      </c>
      <c r="L213" s="54">
        <v>0.66085402264427895</v>
      </c>
      <c r="M213" s="54">
        <v>0.76051897312129302</v>
      </c>
      <c r="N213" s="54">
        <v>5.4261868818001298E-3</v>
      </c>
      <c r="O213" s="54">
        <v>0.37527423099434598</v>
      </c>
      <c r="P213" s="54">
        <v>0.19563786056927199</v>
      </c>
      <c r="Q213" s="54">
        <v>3.88298808223075E-3</v>
      </c>
      <c r="R213" s="54">
        <v>3.460718631312</v>
      </c>
      <c r="S213" s="52">
        <v>3615.74</v>
      </c>
      <c r="T213" s="67">
        <v>29.29</v>
      </c>
      <c r="U213" s="52">
        <v>3631.8293802437202</v>
      </c>
      <c r="V213" s="67">
        <v>18.9267845893912</v>
      </c>
      <c r="W213" s="52">
        <v>3646.14753699125</v>
      </c>
      <c r="X213" s="67">
        <v>19.966145270454401</v>
      </c>
      <c r="Y213" s="52">
        <v>3611.51728168723</v>
      </c>
      <c r="Z213" s="67">
        <v>65.641817287463795</v>
      </c>
      <c r="AA213" s="71">
        <f t="shared" si="7"/>
        <v>0.99606534702971561</v>
      </c>
      <c r="AB213" s="48">
        <v>32.731290000000001</v>
      </c>
      <c r="AC213" s="52">
        <v>453.897630831828</v>
      </c>
      <c r="AD213" s="53">
        <v>1.8818248074133701</v>
      </c>
      <c r="AE213" s="52">
        <v>349.79197188389702</v>
      </c>
      <c r="AF213" s="53">
        <v>0.442622496884439</v>
      </c>
      <c r="AG213" s="53">
        <v>9.8618342081219501E-3</v>
      </c>
      <c r="AH213" s="53">
        <v>0</v>
      </c>
      <c r="AI213" s="53">
        <v>1.1182653501350801</v>
      </c>
      <c r="AJ213" s="55">
        <v>8.1369583977669198E-3</v>
      </c>
      <c r="AK213" s="53">
        <v>0.192539541905481</v>
      </c>
      <c r="AL213" s="53">
        <v>0.75366861786575401</v>
      </c>
      <c r="AM213" s="53">
        <v>0.28089200238696999</v>
      </c>
      <c r="AN213" s="53">
        <v>5.0524519958916896</v>
      </c>
      <c r="AO213" s="53">
        <v>1.7535995741582999</v>
      </c>
      <c r="AP213" s="48">
        <v>24.090373025457001</v>
      </c>
      <c r="AQ213" s="48">
        <v>10.2495908587894</v>
      </c>
      <c r="AR213" s="48">
        <v>52.090334776701802</v>
      </c>
      <c r="AS213" s="48">
        <v>12.1024847159439</v>
      </c>
      <c r="AT213" s="52">
        <v>126.455899838699</v>
      </c>
      <c r="AU213" s="48">
        <v>29.882934485230798</v>
      </c>
      <c r="AV213" s="52">
        <v>7993.2864881017904</v>
      </c>
      <c r="AW213" s="53">
        <v>0.321204684694676</v>
      </c>
      <c r="AX213" s="64">
        <v>2.3623515746097501E-2</v>
      </c>
      <c r="AY213" s="64">
        <v>0</v>
      </c>
      <c r="AZ213" s="53">
        <v>0.16345458432788801</v>
      </c>
      <c r="BA213" s="64">
        <v>0</v>
      </c>
      <c r="BB213" s="48">
        <v>251.875495841017</v>
      </c>
      <c r="BC213" s="48">
        <v>50.136251272664303</v>
      </c>
      <c r="BD213" s="52">
        <v>237.80089867301101</v>
      </c>
    </row>
    <row r="214" spans="1:56" s="39" customFormat="1" ht="12" customHeight="1">
      <c r="A214" s="47" t="s">
        <v>38</v>
      </c>
      <c r="B214" s="39" t="s">
        <v>325</v>
      </c>
      <c r="D214" s="48">
        <v>276.629140246068</v>
      </c>
      <c r="E214" s="48">
        <v>58.346238720575599</v>
      </c>
      <c r="F214" s="52">
        <v>258.38725460302101</v>
      </c>
      <c r="G214" s="122">
        <f t="shared" si="6"/>
        <v>0.22580927534609685</v>
      </c>
      <c r="H214" s="53">
        <v>0.156998660212293</v>
      </c>
      <c r="I214" s="54">
        <v>0.32951430530720799</v>
      </c>
      <c r="J214" s="54">
        <v>6.1956114045809696E-3</v>
      </c>
      <c r="K214" s="54">
        <v>35.3295453277915</v>
      </c>
      <c r="L214" s="54">
        <v>0.64488942617394596</v>
      </c>
      <c r="M214" s="54">
        <v>0.77370301641264605</v>
      </c>
      <c r="N214" s="54">
        <v>5.8837857568675598E-3</v>
      </c>
      <c r="O214" s="54">
        <v>0.41661543199345902</v>
      </c>
      <c r="P214" s="54">
        <v>0.20495611137745301</v>
      </c>
      <c r="Q214" s="54">
        <v>5.0087914410933097E-3</v>
      </c>
      <c r="R214" s="54">
        <v>3.2277392877073199</v>
      </c>
      <c r="S214" s="52">
        <v>3616.665</v>
      </c>
      <c r="T214" s="67">
        <v>28.930000000000302</v>
      </c>
      <c r="U214" s="52">
        <v>3647.89697019102</v>
      </c>
      <c r="V214" s="67">
        <v>18.1940601774855</v>
      </c>
      <c r="W214" s="52">
        <v>3694.2430998285099</v>
      </c>
      <c r="X214" s="67">
        <v>21.477104308171398</v>
      </c>
      <c r="Y214" s="52">
        <v>3768.4314135607501</v>
      </c>
      <c r="Z214" s="67">
        <v>84.018692175020306</v>
      </c>
      <c r="AA214" s="71">
        <f t="shared" si="7"/>
        <v>0.98737530769080883</v>
      </c>
      <c r="AB214" s="48">
        <v>32.731290000000001</v>
      </c>
      <c r="AC214" s="52">
        <v>474.90714870372</v>
      </c>
      <c r="AD214" s="53">
        <v>2.43036314505069</v>
      </c>
      <c r="AE214" s="52">
        <v>319.21683178459</v>
      </c>
      <c r="AF214" s="53">
        <v>0.40077538264896401</v>
      </c>
      <c r="AG214" s="53">
        <v>0</v>
      </c>
      <c r="AH214" s="53">
        <v>0</v>
      </c>
      <c r="AI214" s="53">
        <v>1.24926314622956</v>
      </c>
      <c r="AJ214" s="64">
        <v>1.1658835778888699E-2</v>
      </c>
      <c r="AK214" s="53">
        <v>0.19649041565361899</v>
      </c>
      <c r="AL214" s="53">
        <v>0.67930362360692997</v>
      </c>
      <c r="AM214" s="53">
        <v>0.27497356589559901</v>
      </c>
      <c r="AN214" s="53">
        <v>4.3247274052804503</v>
      </c>
      <c r="AO214" s="53">
        <v>1.73266309693006</v>
      </c>
      <c r="AP214" s="48">
        <v>21.949677748908499</v>
      </c>
      <c r="AQ214" s="53">
        <v>9.4392326520616692</v>
      </c>
      <c r="AR214" s="48">
        <v>45.660855372511101</v>
      </c>
      <c r="AS214" s="48">
        <v>10.7988498123234</v>
      </c>
      <c r="AT214" s="52">
        <v>108.926925244388</v>
      </c>
      <c r="AU214" s="48">
        <v>24.945134156989901</v>
      </c>
      <c r="AV214" s="52">
        <v>8155.3694680357703</v>
      </c>
      <c r="AW214" s="53">
        <v>0.24443266820648499</v>
      </c>
      <c r="AX214" s="64">
        <v>1.1799490485120001E-2</v>
      </c>
      <c r="AY214" s="64">
        <v>0</v>
      </c>
      <c r="AZ214" s="53">
        <v>0.156998660212293</v>
      </c>
      <c r="BA214" s="64">
        <v>1.0863851198311301E-3</v>
      </c>
      <c r="BB214" s="48">
        <v>276.629140246068</v>
      </c>
      <c r="BC214" s="48">
        <v>58.346238720575599</v>
      </c>
      <c r="BD214" s="52">
        <v>258.38725460302101</v>
      </c>
    </row>
    <row r="215" spans="1:56" s="39" customFormat="1" ht="12" customHeight="1">
      <c r="A215" s="47" t="s">
        <v>38</v>
      </c>
      <c r="B215" s="39" t="s">
        <v>326</v>
      </c>
      <c r="D215" s="48">
        <v>165.85096588838201</v>
      </c>
      <c r="E215" s="48">
        <v>29.1588738373575</v>
      </c>
      <c r="F215" s="52">
        <v>161.31707682413301</v>
      </c>
      <c r="G215" s="122">
        <f t="shared" si="6"/>
        <v>0.18075503481349556</v>
      </c>
      <c r="H215" s="55">
        <v>0</v>
      </c>
      <c r="I215" s="54">
        <v>0.32508659280312402</v>
      </c>
      <c r="J215" s="54">
        <v>6.2589053079309303E-3</v>
      </c>
      <c r="K215" s="54">
        <v>33.880927359376599</v>
      </c>
      <c r="L215" s="54">
        <v>0.64265489626451699</v>
      </c>
      <c r="M215" s="54">
        <v>0.752135385491007</v>
      </c>
      <c r="N215" s="54">
        <v>6.33977921971787E-3</v>
      </c>
      <c r="O215" s="54">
        <v>0.444381101362196</v>
      </c>
      <c r="P215" s="54">
        <v>0.20107663679943599</v>
      </c>
      <c r="Q215" s="54">
        <v>4.2058047594231898E-3</v>
      </c>
      <c r="R215" s="54">
        <v>4.0723735850148</v>
      </c>
      <c r="S215" s="52">
        <v>3594.1350000000002</v>
      </c>
      <c r="T215" s="67">
        <v>29.575000000000301</v>
      </c>
      <c r="U215" s="52">
        <v>3606.5798708691</v>
      </c>
      <c r="V215" s="67">
        <v>18.867738612870799</v>
      </c>
      <c r="W215" s="52">
        <v>3615.3764019486798</v>
      </c>
      <c r="X215" s="67">
        <v>23.4067232995809</v>
      </c>
      <c r="Y215" s="52">
        <v>3703.2511750554099</v>
      </c>
      <c r="Z215" s="67">
        <v>70.777070997021795</v>
      </c>
      <c r="AA215" s="71">
        <f t="shared" si="7"/>
        <v>0.99756394784258429</v>
      </c>
      <c r="AB215" s="48">
        <v>32.731290000000001</v>
      </c>
      <c r="AC215" s="52">
        <v>437.51529650278002</v>
      </c>
      <c r="AD215" s="53">
        <v>2.3561418886647001</v>
      </c>
      <c r="AE215" s="52">
        <v>175.71441737608501</v>
      </c>
      <c r="AF215" s="53">
        <v>0.57911259580508101</v>
      </c>
      <c r="AG215" s="53">
        <v>0.12738933890107601</v>
      </c>
      <c r="AH215" s="53">
        <v>2.0376960389404699E-2</v>
      </c>
      <c r="AI215" s="53">
        <v>1.3921437301826101</v>
      </c>
      <c r="AJ215" s="64">
        <v>2.1956206431143498E-2</v>
      </c>
      <c r="AK215" s="53">
        <v>0.25823478820679202</v>
      </c>
      <c r="AL215" s="53">
        <v>0.42859035675752999</v>
      </c>
      <c r="AM215" s="53">
        <v>0.281477572878642</v>
      </c>
      <c r="AN215" s="53">
        <v>2.3411578685274099</v>
      </c>
      <c r="AO215" s="53">
        <v>0.88958523598113304</v>
      </c>
      <c r="AP215" s="48">
        <v>12.007089826193999</v>
      </c>
      <c r="AQ215" s="53">
        <v>4.99645701191832</v>
      </c>
      <c r="AR215" s="48">
        <v>25.797132813821701</v>
      </c>
      <c r="AS215" s="53">
        <v>6.2109150001092202</v>
      </c>
      <c r="AT215" s="48">
        <v>64.481622571630197</v>
      </c>
      <c r="AU215" s="48">
        <v>15.436454084725399</v>
      </c>
      <c r="AV215" s="52">
        <v>9045.0131965892506</v>
      </c>
      <c r="AW215" s="53">
        <v>0.27475731859265101</v>
      </c>
      <c r="AX215" s="64">
        <v>0</v>
      </c>
      <c r="AY215" s="64">
        <v>0</v>
      </c>
      <c r="AZ215" s="55">
        <v>0</v>
      </c>
      <c r="BA215" s="64">
        <v>6.2598633466705803E-3</v>
      </c>
      <c r="BB215" s="48">
        <v>165.85096588838201</v>
      </c>
      <c r="BC215" s="48">
        <v>29.1588738373575</v>
      </c>
      <c r="BD215" s="52">
        <v>161.31707682413301</v>
      </c>
    </row>
    <row r="216" spans="1:56" s="39" customFormat="1" ht="12" customHeight="1">
      <c r="A216" s="47" t="s">
        <v>38</v>
      </c>
      <c r="B216" s="39" t="s">
        <v>327</v>
      </c>
      <c r="D216" s="48">
        <v>68.016860759290196</v>
      </c>
      <c r="E216" s="48">
        <v>25.473775536607199</v>
      </c>
      <c r="F216" s="48">
        <v>56.781112883834098</v>
      </c>
      <c r="G216" s="122">
        <f t="shared" si="6"/>
        <v>0.44863114234345569</v>
      </c>
      <c r="H216" s="53">
        <v>0.100890611569776</v>
      </c>
      <c r="I216" s="54">
        <v>0.34004972965630897</v>
      </c>
      <c r="J216" s="54">
        <v>7.1684357584420504E-3</v>
      </c>
      <c r="K216" s="54">
        <v>39.376347578890403</v>
      </c>
      <c r="L216" s="54">
        <v>0.84506665684267401</v>
      </c>
      <c r="M216" s="54">
        <v>0.83539837963018004</v>
      </c>
      <c r="N216" s="54">
        <v>8.4735680473651907E-3</v>
      </c>
      <c r="O216" s="54">
        <v>0.472625507153344</v>
      </c>
      <c r="P216" s="54">
        <v>0.210559640722386</v>
      </c>
      <c r="Q216" s="54">
        <v>4.6558507965197204E-3</v>
      </c>
      <c r="R216" s="54">
        <v>1.64112782498786</v>
      </c>
      <c r="S216" s="52">
        <v>3664.81</v>
      </c>
      <c r="T216" s="67">
        <v>32.097499999999897</v>
      </c>
      <c r="U216" s="52">
        <v>3755.1344443852199</v>
      </c>
      <c r="V216" s="67">
        <v>21.4045655268255</v>
      </c>
      <c r="W216" s="52">
        <v>3914.6595233489602</v>
      </c>
      <c r="X216" s="67">
        <v>29.836436458417399</v>
      </c>
      <c r="Y216" s="52">
        <v>3862.2085028032602</v>
      </c>
      <c r="Z216" s="67">
        <v>77.736871874361398</v>
      </c>
      <c r="AA216" s="71">
        <f t="shared" si="7"/>
        <v>0.95840173031118137</v>
      </c>
      <c r="AB216" s="48">
        <v>32.731290000000001</v>
      </c>
      <c r="AC216" s="52">
        <v>489.93707389984002</v>
      </c>
      <c r="AD216" s="53">
        <v>6.9955283225517997</v>
      </c>
      <c r="AE216" s="52">
        <v>374.35834443377701</v>
      </c>
      <c r="AF216" s="53">
        <v>0.46692579466918299</v>
      </c>
      <c r="AG216" s="53">
        <v>0</v>
      </c>
      <c r="AH216" s="53">
        <v>2.0045694566955198E-3</v>
      </c>
      <c r="AI216" s="53">
        <v>3.7117135722132599</v>
      </c>
      <c r="AJ216" s="64">
        <v>5.5662012930477102E-2</v>
      </c>
      <c r="AK216" s="53">
        <v>0.95920761815074296</v>
      </c>
      <c r="AL216" s="53">
        <v>1.7541768180656301</v>
      </c>
      <c r="AM216" s="53">
        <v>0.88118459068520205</v>
      </c>
      <c r="AN216" s="48">
        <v>10.3541472953296</v>
      </c>
      <c r="AO216" s="53">
        <v>3.2168244152429799</v>
      </c>
      <c r="AP216" s="48">
        <v>35.350771895241699</v>
      </c>
      <c r="AQ216" s="48">
        <v>12.5563063318679</v>
      </c>
      <c r="AR216" s="48">
        <v>50.245395556639899</v>
      </c>
      <c r="AS216" s="53">
        <v>9.9554386871555405</v>
      </c>
      <c r="AT216" s="48">
        <v>86.6095652253221</v>
      </c>
      <c r="AU216" s="48">
        <v>16.481867878891599</v>
      </c>
      <c r="AV216" s="52">
        <v>7322.0732532462998</v>
      </c>
      <c r="AW216" s="53">
        <v>0.161314047176706</v>
      </c>
      <c r="AX216" s="64">
        <v>1.17740785804872E-2</v>
      </c>
      <c r="AY216" s="64">
        <v>0</v>
      </c>
      <c r="AZ216" s="53">
        <v>0.100890611569776</v>
      </c>
      <c r="BA216" s="64">
        <v>2.09364150942082E-3</v>
      </c>
      <c r="BB216" s="48">
        <v>68.016860759290196</v>
      </c>
      <c r="BC216" s="48">
        <v>25.473775536607199</v>
      </c>
      <c r="BD216" s="48">
        <v>56.781112883834098</v>
      </c>
    </row>
    <row r="217" spans="1:56" s="39" customFormat="1" ht="12" customHeight="1">
      <c r="A217" s="47" t="s">
        <v>38</v>
      </c>
      <c r="B217" s="39" t="s">
        <v>328</v>
      </c>
      <c r="D217" s="48">
        <v>307.30673083171502</v>
      </c>
      <c r="E217" s="48">
        <v>75.386411421811502</v>
      </c>
      <c r="F217" s="52">
        <v>286.59853032486302</v>
      </c>
      <c r="G217" s="122">
        <f t="shared" si="6"/>
        <v>0.26303837405013925</v>
      </c>
      <c r="H217" s="53">
        <v>0.210440971150368</v>
      </c>
      <c r="I217" s="54">
        <v>0.32608762678192998</v>
      </c>
      <c r="J217" s="54">
        <v>6.9219195567926601E-3</v>
      </c>
      <c r="K217" s="54">
        <v>35.021317395325298</v>
      </c>
      <c r="L217" s="54">
        <v>0.72822424538405195</v>
      </c>
      <c r="M217" s="54">
        <v>0.77491299363166199</v>
      </c>
      <c r="N217" s="54">
        <v>6.82025966609477E-3</v>
      </c>
      <c r="O217" s="54">
        <v>0.42326787841571001</v>
      </c>
      <c r="P217" s="54">
        <v>0.20662593350284</v>
      </c>
      <c r="Q217" s="54">
        <v>4.3867081522493299E-3</v>
      </c>
      <c r="R217" s="54">
        <v>2.7715641368595301</v>
      </c>
      <c r="S217" s="52">
        <v>3599.0749999999998</v>
      </c>
      <c r="T217" s="67">
        <v>32.712500000000098</v>
      </c>
      <c r="U217" s="52">
        <v>3639.2454821289598</v>
      </c>
      <c r="V217" s="67">
        <v>20.6761009827534</v>
      </c>
      <c r="W217" s="52">
        <v>3698.6391880977899</v>
      </c>
      <c r="X217" s="67">
        <v>24.851303597277099</v>
      </c>
      <c r="Y217" s="52">
        <v>3796.42202797767</v>
      </c>
      <c r="Z217" s="67">
        <v>73.481884176009899</v>
      </c>
      <c r="AA217" s="71">
        <f t="shared" si="7"/>
        <v>0.98381176357000588</v>
      </c>
      <c r="AB217" s="48">
        <v>32.731290000000001</v>
      </c>
      <c r="AC217" s="52">
        <v>502.589199784078</v>
      </c>
      <c r="AD217" s="53">
        <v>4.0142398898188896</v>
      </c>
      <c r="AE217" s="52">
        <v>523.87607505344897</v>
      </c>
      <c r="AF217" s="53">
        <v>0.55691410554536902</v>
      </c>
      <c r="AG217" s="53">
        <v>6.5875866575682299E-2</v>
      </c>
      <c r="AH217" s="53">
        <v>5.3895467912552703E-2</v>
      </c>
      <c r="AI217" s="53">
        <v>1.3334562712768601</v>
      </c>
      <c r="AJ217" s="64">
        <v>3.8809974303269199E-2</v>
      </c>
      <c r="AK217" s="53">
        <v>0.33765105884243102</v>
      </c>
      <c r="AL217" s="53">
        <v>0.83095400307286205</v>
      </c>
      <c r="AM217" s="53">
        <v>0.44300457096033902</v>
      </c>
      <c r="AN217" s="53">
        <v>6.9050005869443796</v>
      </c>
      <c r="AO217" s="53">
        <v>2.5717524763843298</v>
      </c>
      <c r="AP217" s="48">
        <v>34.7583044236276</v>
      </c>
      <c r="AQ217" s="48">
        <v>15.019161011910301</v>
      </c>
      <c r="AR217" s="48">
        <v>74.336412367243398</v>
      </c>
      <c r="AS217" s="48">
        <v>17.690988806892399</v>
      </c>
      <c r="AT217" s="52">
        <v>180.25565906921301</v>
      </c>
      <c r="AU217" s="48">
        <v>42.325645193339298</v>
      </c>
      <c r="AV217" s="52">
        <v>7675.8787087228502</v>
      </c>
      <c r="AW217" s="53">
        <v>0.20938284373987801</v>
      </c>
      <c r="AX217" s="64">
        <v>5.7838729345205099E-2</v>
      </c>
      <c r="AY217" s="64">
        <v>0</v>
      </c>
      <c r="AZ217" s="53">
        <v>0.210440971150368</v>
      </c>
      <c r="BA217" s="64">
        <v>2.0607393449813701E-3</v>
      </c>
      <c r="BB217" s="48">
        <v>307.30673083171502</v>
      </c>
      <c r="BC217" s="48">
        <v>75.386411421811502</v>
      </c>
      <c r="BD217" s="52">
        <v>286.59853032486302</v>
      </c>
    </row>
    <row r="218" spans="1:56" s="39" customFormat="1" ht="12" customHeight="1">
      <c r="A218" s="47" t="s">
        <v>38</v>
      </c>
      <c r="B218" s="39" t="s">
        <v>329</v>
      </c>
      <c r="D218" s="48">
        <v>278.05806853365601</v>
      </c>
      <c r="E218" s="48">
        <v>62.615991438496998</v>
      </c>
      <c r="F218" s="52">
        <v>273.08951497744101</v>
      </c>
      <c r="G218" s="122">
        <f t="shared" si="6"/>
        <v>0.2292874241022014</v>
      </c>
      <c r="H218" s="53">
        <v>0.21005690242338701</v>
      </c>
      <c r="I218" s="54">
        <v>0.32938171642916197</v>
      </c>
      <c r="J218" s="54">
        <v>7.3814406231227699E-3</v>
      </c>
      <c r="K218" s="54">
        <v>33.791339415556997</v>
      </c>
      <c r="L218" s="54">
        <v>0.73955669575702598</v>
      </c>
      <c r="M218" s="54">
        <v>0.74039065270763904</v>
      </c>
      <c r="N218" s="54">
        <v>6.9070960587038002E-3</v>
      </c>
      <c r="O218" s="54">
        <v>0.426254033749151</v>
      </c>
      <c r="P218" s="54">
        <v>0.198742469894338</v>
      </c>
      <c r="Q218" s="54">
        <v>4.4386409991359101E-3</v>
      </c>
      <c r="R218" s="54">
        <v>3.3059521303864199</v>
      </c>
      <c r="S218" s="52">
        <v>3614.5</v>
      </c>
      <c r="T218" s="67">
        <v>35.337499999999899</v>
      </c>
      <c r="U218" s="52">
        <v>3603.9686129245601</v>
      </c>
      <c r="V218" s="67">
        <v>21.722599735407201</v>
      </c>
      <c r="W218" s="52">
        <v>3572.0199908301202</v>
      </c>
      <c r="X218" s="67">
        <v>25.656523396393101</v>
      </c>
      <c r="Y218" s="52">
        <v>3663.9326036253401</v>
      </c>
      <c r="Z218" s="67">
        <v>74.840783492031306</v>
      </c>
      <c r="AA218" s="71">
        <f t="shared" si="7"/>
        <v>0.99109568761641464</v>
      </c>
      <c r="AB218" s="48">
        <v>32.731290000000001</v>
      </c>
      <c r="AC218" s="52">
        <v>543.47845593000795</v>
      </c>
      <c r="AD218" s="53">
        <v>8.6673200991474602</v>
      </c>
      <c r="AE218" s="52">
        <v>560.52823023243002</v>
      </c>
      <c r="AF218" s="53">
        <v>0.66939231711756297</v>
      </c>
      <c r="AG218" s="53">
        <v>0.87803353581732801</v>
      </c>
      <c r="AH218" s="53">
        <v>0.46558350662962</v>
      </c>
      <c r="AI218" s="53">
        <v>2.7371611615233902</v>
      </c>
      <c r="AJ218" s="53">
        <v>0.24722961647726899</v>
      </c>
      <c r="AK218" s="53">
        <v>1.7202370182468401</v>
      </c>
      <c r="AL218" s="53">
        <v>2.2018935876647601</v>
      </c>
      <c r="AM218" s="53">
        <v>1.06065243858275</v>
      </c>
      <c r="AN218" s="48">
        <v>10.6494044750043</v>
      </c>
      <c r="AO218" s="53">
        <v>3.9175598325981298</v>
      </c>
      <c r="AP218" s="48">
        <v>46.906329025326301</v>
      </c>
      <c r="AQ218" s="48">
        <v>17.873456494458601</v>
      </c>
      <c r="AR218" s="48">
        <v>81.989280429256198</v>
      </c>
      <c r="AS218" s="48">
        <v>16.815449715216602</v>
      </c>
      <c r="AT218" s="52">
        <v>149.47984908323201</v>
      </c>
      <c r="AU218" s="48">
        <v>28.8710444681453</v>
      </c>
      <c r="AV218" s="52">
        <v>10353.769291770501</v>
      </c>
      <c r="AW218" s="53">
        <v>0.59408898173833802</v>
      </c>
      <c r="AX218" s="64">
        <v>8.7140289834342799E-2</v>
      </c>
      <c r="AY218" s="64">
        <v>0</v>
      </c>
      <c r="AZ218" s="53">
        <v>0.21005690242338701</v>
      </c>
      <c r="BA218" s="64">
        <v>9.2792033340687603E-3</v>
      </c>
      <c r="BB218" s="48">
        <v>278.05806853365601</v>
      </c>
      <c r="BC218" s="48">
        <v>62.615991438496998</v>
      </c>
      <c r="BD218" s="52">
        <v>273.08951497744101</v>
      </c>
    </row>
    <row r="219" spans="1:56" s="39" customFormat="1" ht="12" customHeight="1">
      <c r="A219" s="47" t="s">
        <v>38</v>
      </c>
      <c r="B219" s="39" t="s">
        <v>330</v>
      </c>
      <c r="D219" s="48">
        <v>145.48010524760801</v>
      </c>
      <c r="E219" s="48">
        <v>61.495453135294099</v>
      </c>
      <c r="F219" s="52">
        <v>156.12751299003901</v>
      </c>
      <c r="G219" s="122">
        <f t="shared" si="6"/>
        <v>0.39387966898068461</v>
      </c>
      <c r="H219" s="53">
        <v>1.0819194619600301</v>
      </c>
      <c r="I219" s="54">
        <v>0.32312470052485098</v>
      </c>
      <c r="J219" s="54">
        <v>7.7071729011700899E-3</v>
      </c>
      <c r="K219" s="54">
        <v>29.478752131977998</v>
      </c>
      <c r="L219" s="54">
        <v>0.70051625231144299</v>
      </c>
      <c r="M219" s="54">
        <v>0.65812028519810595</v>
      </c>
      <c r="N219" s="54">
        <v>6.8902350672266997E-3</v>
      </c>
      <c r="O219" s="54">
        <v>0.440574788232583</v>
      </c>
      <c r="P219" s="54">
        <v>0.19957524004600899</v>
      </c>
      <c r="Q219" s="54">
        <v>4.62334739311382E-3</v>
      </c>
      <c r="R219" s="54">
        <v>1.87150659358018</v>
      </c>
      <c r="S219" s="52">
        <v>3584.88</v>
      </c>
      <c r="T219" s="67">
        <v>36.549999999999699</v>
      </c>
      <c r="U219" s="52">
        <v>3469.5941406594502</v>
      </c>
      <c r="V219" s="67">
        <v>23.4562746783077</v>
      </c>
      <c r="W219" s="52">
        <v>3259.8523929217599</v>
      </c>
      <c r="X219" s="67">
        <v>26.845524634113001</v>
      </c>
      <c r="Y219" s="52">
        <v>3677.96922697634</v>
      </c>
      <c r="Z219" s="67">
        <v>77.901035595038294</v>
      </c>
      <c r="AA219" s="71">
        <f t="shared" si="7"/>
        <v>0.93766448795126334</v>
      </c>
      <c r="AB219" s="48">
        <v>32.731290000000001</v>
      </c>
      <c r="AC219" s="52">
        <v>530.30274841936603</v>
      </c>
      <c r="AD219" s="53">
        <v>7.8586401314479302</v>
      </c>
      <c r="AE219" s="52">
        <v>536.421870958559</v>
      </c>
      <c r="AF219" s="53">
        <v>1.7295340794727201</v>
      </c>
      <c r="AG219" s="53">
        <v>3.12933010852228</v>
      </c>
      <c r="AH219" s="53">
        <v>0.58794849820364603</v>
      </c>
      <c r="AI219" s="53">
        <v>6.5385097323706001</v>
      </c>
      <c r="AJ219" s="53">
        <v>0.36340379292844199</v>
      </c>
      <c r="AK219" s="53">
        <v>3.2434528800408602</v>
      </c>
      <c r="AL219" s="53">
        <v>3.7472252282578098</v>
      </c>
      <c r="AM219" s="53">
        <v>2.4463152053503201</v>
      </c>
      <c r="AN219" s="48">
        <v>14.7213860553678</v>
      </c>
      <c r="AO219" s="53">
        <v>4.0544036875713703</v>
      </c>
      <c r="AP219" s="48">
        <v>45.101128138577998</v>
      </c>
      <c r="AQ219" s="48">
        <v>16.511859119832099</v>
      </c>
      <c r="AR219" s="48">
        <v>75.687018226943394</v>
      </c>
      <c r="AS219" s="48">
        <v>15.8248024436866</v>
      </c>
      <c r="AT219" s="52">
        <v>150.04760348205201</v>
      </c>
      <c r="AU219" s="48">
        <v>32.474651497370402</v>
      </c>
      <c r="AV219" s="52">
        <v>8406.2672784525294</v>
      </c>
      <c r="AW219" s="53">
        <v>0.32956106922786599</v>
      </c>
      <c r="AX219" s="64">
        <v>9.6266398609090198E-2</v>
      </c>
      <c r="AY219" s="64">
        <v>0</v>
      </c>
      <c r="AZ219" s="53">
        <v>1.0819194619600301</v>
      </c>
      <c r="BA219" s="64">
        <v>2.0822082298600501E-2</v>
      </c>
      <c r="BB219" s="48">
        <v>145.48010524760801</v>
      </c>
      <c r="BC219" s="48">
        <v>61.495453135294099</v>
      </c>
      <c r="BD219" s="52">
        <v>156.12751299003901</v>
      </c>
    </row>
    <row r="220" spans="1:56" s="39" customFormat="1" ht="12" customHeight="1">
      <c r="A220" s="47" t="s">
        <v>38</v>
      </c>
      <c r="B220" s="39" t="s">
        <v>331</v>
      </c>
      <c r="D220" s="48">
        <v>241.88398704382101</v>
      </c>
      <c r="E220" s="48">
        <v>50.919127256509697</v>
      </c>
      <c r="F220" s="52">
        <v>219.91248688022199</v>
      </c>
      <c r="G220" s="122">
        <f t="shared" si="6"/>
        <v>0.23154268308667447</v>
      </c>
      <c r="H220" s="53">
        <v>0.26826405899667999</v>
      </c>
      <c r="I220" s="54">
        <v>0.33542464577921399</v>
      </c>
      <c r="J220" s="54">
        <v>7.5686695469370704E-3</v>
      </c>
      <c r="K220" s="54">
        <v>37.2081344323202</v>
      </c>
      <c r="L220" s="54">
        <v>0.82683942624270701</v>
      </c>
      <c r="M220" s="54">
        <v>0.80042206169086805</v>
      </c>
      <c r="N220" s="54">
        <v>7.69492493540607E-3</v>
      </c>
      <c r="O220" s="54">
        <v>0.43261548040909398</v>
      </c>
      <c r="P220" s="54">
        <v>0.202544726577636</v>
      </c>
      <c r="Q220" s="54">
        <v>4.6453395962913896E-3</v>
      </c>
      <c r="R220" s="54">
        <v>3.1496691358709499</v>
      </c>
      <c r="S220" s="52">
        <v>3642.28</v>
      </c>
      <c r="T220" s="67">
        <v>34.565000000000097</v>
      </c>
      <c r="U220" s="52">
        <v>3699.0896443090701</v>
      </c>
      <c r="V220" s="67">
        <v>22.1168032538984</v>
      </c>
      <c r="W220" s="52">
        <v>3790.6276624234001</v>
      </c>
      <c r="X220" s="67">
        <v>27.627625012387199</v>
      </c>
      <c r="Y220" s="52">
        <v>3727.9417274427901</v>
      </c>
      <c r="Z220" s="67">
        <v>78.0783141218933</v>
      </c>
      <c r="AA220" s="71">
        <f t="shared" si="7"/>
        <v>0.9755563489607153</v>
      </c>
      <c r="AB220" s="48">
        <v>32.731290000000001</v>
      </c>
      <c r="AC220" s="52">
        <v>490.32439558578898</v>
      </c>
      <c r="AD220" s="53">
        <v>3.3108409009089899</v>
      </c>
      <c r="AE220" s="52">
        <v>465.03175135077998</v>
      </c>
      <c r="AF220" s="53">
        <v>0.46120908171985298</v>
      </c>
      <c r="AG220" s="53">
        <v>0</v>
      </c>
      <c r="AH220" s="53">
        <v>1.0273998868505E-2</v>
      </c>
      <c r="AI220" s="53">
        <v>1.10620332438363</v>
      </c>
      <c r="AJ220" s="64">
        <v>2.0702477482053699E-2</v>
      </c>
      <c r="AK220" s="53">
        <v>0.48836142291683499</v>
      </c>
      <c r="AL220" s="53">
        <v>0.74262617431912603</v>
      </c>
      <c r="AM220" s="53">
        <v>0.39731269416057802</v>
      </c>
      <c r="AN220" s="53">
        <v>6.5351800815740297</v>
      </c>
      <c r="AO220" s="53">
        <v>2.3149989043523802</v>
      </c>
      <c r="AP220" s="48">
        <v>31.179140309352899</v>
      </c>
      <c r="AQ220" s="48">
        <v>13.1770762138525</v>
      </c>
      <c r="AR220" s="48">
        <v>67.985017283116306</v>
      </c>
      <c r="AS220" s="48">
        <v>16.038475083767299</v>
      </c>
      <c r="AT220" s="52">
        <v>166.616118642592</v>
      </c>
      <c r="AU220" s="48">
        <v>39.442177960814298</v>
      </c>
      <c r="AV220" s="52">
        <v>7920.4030676882103</v>
      </c>
      <c r="AW220" s="53">
        <v>0.25101454835460002</v>
      </c>
      <c r="AX220" s="64">
        <v>4.0494687719538999E-2</v>
      </c>
      <c r="AY220" s="64">
        <v>0</v>
      </c>
      <c r="AZ220" s="53">
        <v>0.26826405899667999</v>
      </c>
      <c r="BA220" s="64">
        <v>4.1159067748267599E-3</v>
      </c>
      <c r="BB220" s="48">
        <v>241.88398704382101</v>
      </c>
      <c r="BC220" s="48">
        <v>50.919127256509697</v>
      </c>
      <c r="BD220" s="52">
        <v>219.91248688022199</v>
      </c>
    </row>
    <row r="221" spans="1:56" s="39" customFormat="1" ht="12" customHeight="1">
      <c r="A221" s="47" t="s">
        <v>38</v>
      </c>
      <c r="B221" s="39" t="s">
        <v>332</v>
      </c>
      <c r="D221" s="48">
        <v>308.12220751362901</v>
      </c>
      <c r="E221" s="48">
        <v>54.934441074553497</v>
      </c>
      <c r="F221" s="52">
        <v>430.51828605625502</v>
      </c>
      <c r="G221" s="122">
        <f t="shared" si="6"/>
        <v>0.12760071489129574</v>
      </c>
      <c r="H221" s="53">
        <v>0.78089680975373998</v>
      </c>
      <c r="I221" s="54">
        <v>0.28394283925404701</v>
      </c>
      <c r="J221" s="54">
        <v>6.1332053628072297E-3</v>
      </c>
      <c r="K221" s="54">
        <v>22.095808694878802</v>
      </c>
      <c r="L221" s="54">
        <v>0.50488640072856705</v>
      </c>
      <c r="M221" s="54">
        <v>0.56157339529285</v>
      </c>
      <c r="N221" s="54">
        <v>7.0046114331798201E-3</v>
      </c>
      <c r="O221" s="54">
        <v>0.54587568766816996</v>
      </c>
      <c r="P221" s="54">
        <v>0.121442836606931</v>
      </c>
      <c r="Q221" s="54">
        <v>3.0450904457581598E-3</v>
      </c>
      <c r="R221" s="54">
        <v>5.7207271241283202</v>
      </c>
      <c r="S221" s="52">
        <v>3384.88</v>
      </c>
      <c r="T221" s="67">
        <v>33.645000000000003</v>
      </c>
      <c r="U221" s="52">
        <v>3187.9485802762401</v>
      </c>
      <c r="V221" s="67">
        <v>22.302407996540001</v>
      </c>
      <c r="W221" s="52">
        <v>2873.1274759437501</v>
      </c>
      <c r="X221" s="67">
        <v>28.957701499492899</v>
      </c>
      <c r="Y221" s="52">
        <v>2316.6468559739301</v>
      </c>
      <c r="Z221" s="67">
        <v>54.882925436488598</v>
      </c>
      <c r="AA221" s="71">
        <f t="shared" si="7"/>
        <v>0.89611709161464337</v>
      </c>
      <c r="AB221" s="48">
        <v>32.731290000000001</v>
      </c>
      <c r="AC221" s="52">
        <v>515.89743169834503</v>
      </c>
      <c r="AD221" s="53">
        <v>9.9053909975654193</v>
      </c>
      <c r="AE221" s="52">
        <v>715.30303537892405</v>
      </c>
      <c r="AF221" s="53">
        <v>1.7693899282005201</v>
      </c>
      <c r="AG221" s="53">
        <v>4.3009190058588196</v>
      </c>
      <c r="AH221" s="53">
        <v>143.35239386242901</v>
      </c>
      <c r="AI221" s="52">
        <v>270.68178181162699</v>
      </c>
      <c r="AJ221" s="48">
        <v>28.0081713211326</v>
      </c>
      <c r="AK221" s="52">
        <v>105.05522430205799</v>
      </c>
      <c r="AL221" s="48">
        <v>14.810904217605399</v>
      </c>
      <c r="AM221" s="53">
        <v>5.0806097401927799</v>
      </c>
      <c r="AN221" s="48">
        <v>20.338766835737101</v>
      </c>
      <c r="AO221" s="53">
        <v>5.0798321770530297</v>
      </c>
      <c r="AP221" s="48">
        <v>55.779114290794098</v>
      </c>
      <c r="AQ221" s="48">
        <v>21.361723659700001</v>
      </c>
      <c r="AR221" s="52">
        <v>102.44911944567301</v>
      </c>
      <c r="AS221" s="48">
        <v>22.943281611557001</v>
      </c>
      <c r="AT221" s="52">
        <v>223.76078576744999</v>
      </c>
      <c r="AU221" s="48">
        <v>47.582897110303001</v>
      </c>
      <c r="AV221" s="52">
        <v>9509.9042973267606</v>
      </c>
      <c r="AW221" s="53">
        <v>0.94763654890923399</v>
      </c>
      <c r="AX221" s="64">
        <v>0.210098672795967</v>
      </c>
      <c r="AY221" s="64">
        <v>0</v>
      </c>
      <c r="AZ221" s="53">
        <v>0.78089680975373998</v>
      </c>
      <c r="BA221" s="64">
        <v>8.1919773565789205E-3</v>
      </c>
      <c r="BB221" s="48">
        <v>308.12220751362901</v>
      </c>
      <c r="BC221" s="48">
        <v>54.934441074553497</v>
      </c>
      <c r="BD221" s="52">
        <v>430.51828605625502</v>
      </c>
    </row>
    <row r="222" spans="1:56" s="39" customFormat="1" ht="12" customHeight="1">
      <c r="A222" s="47" t="s">
        <v>38</v>
      </c>
      <c r="B222" s="39" t="s">
        <v>333</v>
      </c>
      <c r="D222" s="53">
        <v>121.41725813786699</v>
      </c>
      <c r="E222" s="48">
        <v>19.528133923093801</v>
      </c>
      <c r="F222" s="52">
        <v>124.652252180115</v>
      </c>
      <c r="G222" s="122">
        <f t="shared" si="6"/>
        <v>0.15666089927422108</v>
      </c>
      <c r="H222" s="55">
        <v>0</v>
      </c>
      <c r="I222" s="54">
        <v>0.31329854073164998</v>
      </c>
      <c r="J222" s="54">
        <v>6.5183621445563597E-3</v>
      </c>
      <c r="K222" s="54">
        <v>31.8894368674429</v>
      </c>
      <c r="L222" s="54">
        <v>0.65414853012923002</v>
      </c>
      <c r="M222" s="54">
        <v>0.73528151457983504</v>
      </c>
      <c r="N222" s="54">
        <v>7.44317800699177E-3</v>
      </c>
      <c r="O222" s="54">
        <v>0.49348645637709898</v>
      </c>
      <c r="P222" s="54">
        <v>0.18339274189079699</v>
      </c>
      <c r="Q222" s="54">
        <v>4.41172853622461E-3</v>
      </c>
      <c r="R222" s="54">
        <v>4.6288771866143703</v>
      </c>
      <c r="S222" s="52">
        <v>3538.895</v>
      </c>
      <c r="T222" s="67">
        <v>32.099999999999902</v>
      </c>
      <c r="U222" s="52">
        <v>3546.8868745079199</v>
      </c>
      <c r="V222" s="67">
        <v>20.338791678284998</v>
      </c>
      <c r="W222" s="52">
        <v>3553.0678902735399</v>
      </c>
      <c r="X222" s="67">
        <v>27.7172212858455</v>
      </c>
      <c r="Y222" s="52">
        <v>3403.4465482318901</v>
      </c>
      <c r="Z222" s="67">
        <v>75.351877401638504</v>
      </c>
      <c r="AA222" s="71">
        <f t="shared" si="7"/>
        <v>0.99825885770532508</v>
      </c>
      <c r="AB222" s="48">
        <v>32.731290000000001</v>
      </c>
      <c r="AC222" s="52">
        <v>431.39471957340999</v>
      </c>
      <c r="AD222" s="53">
        <v>1.30360845193185</v>
      </c>
      <c r="AE222" s="48">
        <v>77.976143158740399</v>
      </c>
      <c r="AF222" s="53">
        <v>0.491929877265813</v>
      </c>
      <c r="AG222" s="53">
        <v>3.83657065793237E-2</v>
      </c>
      <c r="AH222" s="53">
        <v>1.5311549630860201E-3</v>
      </c>
      <c r="AI222" s="53">
        <v>2.3590633452715402</v>
      </c>
      <c r="AJ222" s="64">
        <v>1.8804408294805699E-2</v>
      </c>
      <c r="AK222" s="53">
        <v>0.30800027848264799</v>
      </c>
      <c r="AL222" s="53">
        <v>0.86921357148273104</v>
      </c>
      <c r="AM222" s="53">
        <v>0.433324942579629</v>
      </c>
      <c r="AN222" s="53">
        <v>5.55353724360344</v>
      </c>
      <c r="AO222" s="53">
        <v>1.39344025634681</v>
      </c>
      <c r="AP222" s="53">
        <v>9.6404947875521003</v>
      </c>
      <c r="AQ222" s="53">
        <v>2.24899769605467</v>
      </c>
      <c r="AR222" s="53">
        <v>7.5531822533805997</v>
      </c>
      <c r="AS222" s="53">
        <v>1.45042303036144</v>
      </c>
      <c r="AT222" s="48">
        <v>12.8824208348731</v>
      </c>
      <c r="AU222" s="53">
        <v>3.1339442418761601</v>
      </c>
      <c r="AV222" s="52">
        <v>11526.6312701721</v>
      </c>
      <c r="AW222" s="53">
        <v>0.26342236139591602</v>
      </c>
      <c r="AX222" s="64">
        <v>0</v>
      </c>
      <c r="AY222" s="64">
        <v>0</v>
      </c>
      <c r="AZ222" s="55">
        <v>0</v>
      </c>
      <c r="BA222" s="64">
        <v>0</v>
      </c>
      <c r="BB222" s="53">
        <v>121.41725813786699</v>
      </c>
      <c r="BC222" s="48">
        <v>19.528133923093801</v>
      </c>
      <c r="BD222" s="52">
        <v>124.652252180115</v>
      </c>
    </row>
    <row r="223" spans="1:56" s="39" customFormat="1" ht="12" customHeight="1">
      <c r="A223" s="47" t="s">
        <v>38</v>
      </c>
      <c r="B223" s="39" t="s">
        <v>334</v>
      </c>
      <c r="D223" s="48">
        <v>289.36312078276501</v>
      </c>
      <c r="E223" s="48">
        <v>59.204254451985797</v>
      </c>
      <c r="F223" s="52">
        <v>269.71804923559802</v>
      </c>
      <c r="G223" s="122">
        <f t="shared" si="6"/>
        <v>0.21950423644162959</v>
      </c>
      <c r="H223" s="55">
        <v>0</v>
      </c>
      <c r="I223" s="54">
        <v>0.332908654973539</v>
      </c>
      <c r="J223" s="54">
        <v>6.2812797331111801E-3</v>
      </c>
      <c r="K223" s="54">
        <v>36.033414280725097</v>
      </c>
      <c r="L223" s="54">
        <v>0.65495789205188804</v>
      </c>
      <c r="M223" s="54">
        <v>0.78131808243417999</v>
      </c>
      <c r="N223" s="54">
        <v>5.8034526628481598E-3</v>
      </c>
      <c r="O223" s="54">
        <v>0.40864915580282402</v>
      </c>
      <c r="P223" s="54">
        <v>0.19716793448645301</v>
      </c>
      <c r="Q223" s="54">
        <v>3.81834030312989E-3</v>
      </c>
      <c r="R223" s="54">
        <v>3.3183440468062799</v>
      </c>
      <c r="S223" s="52">
        <v>3630.5549999999998</v>
      </c>
      <c r="T223" s="67">
        <v>28.777500000000099</v>
      </c>
      <c r="U223" s="52">
        <v>3667.3814223214099</v>
      </c>
      <c r="V223" s="67">
        <v>18.129985636005198</v>
      </c>
      <c r="W223" s="52">
        <v>3721.8603450238602</v>
      </c>
      <c r="X223" s="67">
        <v>21.098067196603399</v>
      </c>
      <c r="Y223" s="52">
        <v>3637.3666069933001</v>
      </c>
      <c r="Z223" s="67">
        <v>64.466449597939899</v>
      </c>
      <c r="AA223" s="71">
        <f t="shared" si="7"/>
        <v>0.98525452964789839</v>
      </c>
      <c r="AB223" s="48">
        <v>32.731290000000001</v>
      </c>
      <c r="AC223" s="52">
        <v>484.07247457143802</v>
      </c>
      <c r="AD223" s="53">
        <v>3.5083884020173</v>
      </c>
      <c r="AE223" s="52">
        <v>505.68361295859899</v>
      </c>
      <c r="AF223" s="53">
        <v>0.72713843773713505</v>
      </c>
      <c r="AG223" s="53">
        <v>9.2285512032981507E-2</v>
      </c>
      <c r="AH223" s="53">
        <v>1.5790431364358199</v>
      </c>
      <c r="AI223" s="53">
        <v>2.0240575249486401</v>
      </c>
      <c r="AJ223" s="53">
        <v>0.63176925205881296</v>
      </c>
      <c r="AK223" s="53">
        <v>3.8538604198501201</v>
      </c>
      <c r="AL223" s="53">
        <v>2.7965142312850202</v>
      </c>
      <c r="AM223" s="53">
        <v>1.39325636820843</v>
      </c>
      <c r="AN223" s="48">
        <v>10.5948241571985</v>
      </c>
      <c r="AO223" s="53">
        <v>3.0949877742208498</v>
      </c>
      <c r="AP223" s="48">
        <v>36.499503316138799</v>
      </c>
      <c r="AQ223" s="48">
        <v>14.1112338701054</v>
      </c>
      <c r="AR223" s="48">
        <v>69.032193529802697</v>
      </c>
      <c r="AS223" s="48">
        <v>15.853487453204499</v>
      </c>
      <c r="AT223" s="52">
        <v>162.03134897402401</v>
      </c>
      <c r="AU223" s="48">
        <v>37.992162448179897</v>
      </c>
      <c r="AV223" s="52">
        <v>7914.3135788067302</v>
      </c>
      <c r="AW223" s="53">
        <v>0.32835013357891601</v>
      </c>
      <c r="AX223" s="64">
        <v>2.5425148512382399E-2</v>
      </c>
      <c r="AY223" s="64">
        <v>0</v>
      </c>
      <c r="AZ223" s="55">
        <v>0</v>
      </c>
      <c r="BA223" s="64">
        <v>1.1712136909051501E-3</v>
      </c>
      <c r="BB223" s="48">
        <v>289.36312078276501</v>
      </c>
      <c r="BC223" s="48">
        <v>59.204254451985797</v>
      </c>
      <c r="BD223" s="52">
        <v>269.71804923559802</v>
      </c>
    </row>
    <row r="224" spans="1:56" s="39" customFormat="1" ht="12" customHeight="1">
      <c r="A224" s="47" t="s">
        <v>38</v>
      </c>
      <c r="B224" s="39" t="s">
        <v>335</v>
      </c>
      <c r="D224" s="53">
        <v>146.93030030318499</v>
      </c>
      <c r="E224" s="48">
        <v>20.006809365085701</v>
      </c>
      <c r="F224" s="52">
        <v>164.53707087165</v>
      </c>
      <c r="G224" s="122">
        <f t="shared" si="6"/>
        <v>0.12159453951074867</v>
      </c>
      <c r="H224" s="53">
        <v>0.251761534626393</v>
      </c>
      <c r="I224" s="54">
        <v>0.30793306632351503</v>
      </c>
      <c r="J224" s="54">
        <v>5.26440496358168E-3</v>
      </c>
      <c r="K224" s="54">
        <v>28.917012416587301</v>
      </c>
      <c r="L224" s="54">
        <v>0.48148505497659499</v>
      </c>
      <c r="M224" s="54">
        <v>0.67783680923867795</v>
      </c>
      <c r="N224" s="54">
        <v>4.6058869706439003E-3</v>
      </c>
      <c r="O224" s="54">
        <v>0.40809261631308202</v>
      </c>
      <c r="P224" s="54">
        <v>0.128696247596924</v>
      </c>
      <c r="Q224" s="54">
        <v>3.1103202943362201E-3</v>
      </c>
      <c r="R224" s="54">
        <v>9.5910791796617403</v>
      </c>
      <c r="S224" s="52">
        <v>3510.8</v>
      </c>
      <c r="T224" s="67">
        <v>26.415000000000202</v>
      </c>
      <c r="U224" s="52">
        <v>3450.7054838136801</v>
      </c>
      <c r="V224" s="67">
        <v>16.509202430765001</v>
      </c>
      <c r="W224" s="52">
        <v>3336.0538287197401</v>
      </c>
      <c r="X224" s="67">
        <v>17.7877289856924</v>
      </c>
      <c r="Y224" s="52">
        <v>2446.9571185152799</v>
      </c>
      <c r="Z224" s="67">
        <v>55.698337187235602</v>
      </c>
      <c r="AA224" s="71">
        <f t="shared" si="7"/>
        <v>0.96621313654597785</v>
      </c>
      <c r="AB224" s="48">
        <v>32.731290000000001</v>
      </c>
      <c r="AC224" s="52">
        <v>434.45411476757698</v>
      </c>
      <c r="AD224" s="53">
        <v>3.49182890280249</v>
      </c>
      <c r="AE224" s="52">
        <v>264.99011211116402</v>
      </c>
      <c r="AF224" s="53">
        <v>1.83335994352212</v>
      </c>
      <c r="AG224" s="53">
        <v>0.829834178640383</v>
      </c>
      <c r="AH224" s="53">
        <v>0.166013745949636</v>
      </c>
      <c r="AI224" s="53">
        <v>3.24457694809721</v>
      </c>
      <c r="AJ224" s="53">
        <v>0.17624739960484401</v>
      </c>
      <c r="AK224" s="53">
        <v>1.26250120283033</v>
      </c>
      <c r="AL224" s="53">
        <v>1.1640833310176599</v>
      </c>
      <c r="AM224" s="53">
        <v>0.85036118649246295</v>
      </c>
      <c r="AN224" s="53">
        <v>4.1164325070212398</v>
      </c>
      <c r="AO224" s="53">
        <v>1.63346666201329</v>
      </c>
      <c r="AP224" s="48">
        <v>19.680065440782201</v>
      </c>
      <c r="AQ224" s="53">
        <v>7.9178208724160397</v>
      </c>
      <c r="AR224" s="48">
        <v>38.572102230786001</v>
      </c>
      <c r="AS224" s="53">
        <v>8.7006221247470794</v>
      </c>
      <c r="AT224" s="48">
        <v>86.111410015752796</v>
      </c>
      <c r="AU224" s="48">
        <v>18.965239288570601</v>
      </c>
      <c r="AV224" s="52">
        <v>9412.8984853770999</v>
      </c>
      <c r="AW224" s="53">
        <v>1.0005473506365401</v>
      </c>
      <c r="AX224" s="64">
        <v>8.60929774304076E-2</v>
      </c>
      <c r="AY224" s="64">
        <v>0</v>
      </c>
      <c r="AZ224" s="53">
        <v>0.251761534626393</v>
      </c>
      <c r="BA224" s="64">
        <v>1.31896554419375E-3</v>
      </c>
      <c r="BB224" s="53">
        <v>146.93030030318499</v>
      </c>
      <c r="BC224" s="48">
        <v>20.006809365085701</v>
      </c>
      <c r="BD224" s="52">
        <v>164.53707087165</v>
      </c>
    </row>
    <row r="225" spans="1:56" s="39" customFormat="1" ht="12" customHeight="1">
      <c r="A225" s="47" t="s">
        <v>38</v>
      </c>
      <c r="B225" s="39" t="s">
        <v>336</v>
      </c>
      <c r="D225" s="48">
        <v>240.555942114348</v>
      </c>
      <c r="E225" s="48">
        <v>50.6101401178854</v>
      </c>
      <c r="F225" s="52">
        <v>226.88843145392701</v>
      </c>
      <c r="G225" s="122">
        <f t="shared" si="6"/>
        <v>0.22306179206039653</v>
      </c>
      <c r="H225" s="64">
        <v>4.7300368284415598E-2</v>
      </c>
      <c r="I225" s="54">
        <v>0.32843043933321903</v>
      </c>
      <c r="J225" s="54">
        <v>5.3712234360809097E-3</v>
      </c>
      <c r="K225" s="54">
        <v>35.188076064439997</v>
      </c>
      <c r="L225" s="54">
        <v>0.57387253503922797</v>
      </c>
      <c r="M225" s="54">
        <v>0.77376048545435505</v>
      </c>
      <c r="N225" s="54">
        <v>6.19305228668144E-3</v>
      </c>
      <c r="O225" s="54">
        <v>0.49077030961423301</v>
      </c>
      <c r="P225" s="54">
        <v>0.193581850425393</v>
      </c>
      <c r="Q225" s="54">
        <v>3.3461472076812501E-3</v>
      </c>
      <c r="R225" s="54">
        <v>3.2628478182100999</v>
      </c>
      <c r="S225" s="52">
        <v>3609.7249999999999</v>
      </c>
      <c r="T225" s="67">
        <v>25.227499999999999</v>
      </c>
      <c r="U225" s="52">
        <v>3643.9352937865501</v>
      </c>
      <c r="V225" s="67">
        <v>16.2915411909133</v>
      </c>
      <c r="W225" s="52">
        <v>3694.45196413132</v>
      </c>
      <c r="X225" s="67">
        <v>22.595779942834099</v>
      </c>
      <c r="Y225" s="52">
        <v>3576.7305630914602</v>
      </c>
      <c r="Z225" s="67">
        <v>56.663974566540404</v>
      </c>
      <c r="AA225" s="71">
        <f t="shared" si="7"/>
        <v>0.98623221463537125</v>
      </c>
      <c r="AB225" s="48">
        <v>32.731290000000001</v>
      </c>
      <c r="AC225" s="52">
        <v>474.64927466837901</v>
      </c>
      <c r="AD225" s="53">
        <v>3.17115655909747</v>
      </c>
      <c r="AE225" s="52">
        <v>418.42576593632702</v>
      </c>
      <c r="AF225" s="53">
        <v>0.48215155829853801</v>
      </c>
      <c r="AG225" s="53">
        <v>0</v>
      </c>
      <c r="AH225" s="53">
        <v>8.2290511417013705E-3</v>
      </c>
      <c r="AI225" s="53">
        <v>1.0818917555531899</v>
      </c>
      <c r="AJ225" s="64">
        <v>1.17673752789121E-2</v>
      </c>
      <c r="AK225" s="53">
        <v>0.31123592046159798</v>
      </c>
      <c r="AL225" s="53">
        <v>0.67872102549992996</v>
      </c>
      <c r="AM225" s="53">
        <v>0.33380054930640002</v>
      </c>
      <c r="AN225" s="53">
        <v>5.5943753642676004</v>
      </c>
      <c r="AO225" s="53">
        <v>2.0893205109101398</v>
      </c>
      <c r="AP225" s="48">
        <v>27.283364575958799</v>
      </c>
      <c r="AQ225" s="48">
        <v>12.091666710296099</v>
      </c>
      <c r="AR225" s="48">
        <v>61.587149297211901</v>
      </c>
      <c r="AS225" s="48">
        <v>14.5670601469752</v>
      </c>
      <c r="AT225" s="52">
        <v>150.398885953557</v>
      </c>
      <c r="AU225" s="48">
        <v>35.808454537271302</v>
      </c>
      <c r="AV225" s="52">
        <v>8357.1918933624802</v>
      </c>
      <c r="AW225" s="53">
        <v>0.23433128871966</v>
      </c>
      <c r="AX225" s="64">
        <v>3.3132325837729397E-2</v>
      </c>
      <c r="AY225" s="64">
        <v>0</v>
      </c>
      <c r="AZ225" s="64">
        <v>4.7300368284415598E-2</v>
      </c>
      <c r="BA225" s="64">
        <v>0</v>
      </c>
      <c r="BB225" s="48">
        <v>240.555942114348</v>
      </c>
      <c r="BC225" s="48">
        <v>50.6101401178854</v>
      </c>
      <c r="BD225" s="52">
        <v>226.88843145392701</v>
      </c>
    </row>
    <row r="226" spans="1:56" s="39" customFormat="1" ht="12" customHeight="1">
      <c r="A226" s="47" t="s">
        <v>38</v>
      </c>
      <c r="B226" s="39" t="s">
        <v>337</v>
      </c>
      <c r="D226" s="48">
        <v>163.329195726329</v>
      </c>
      <c r="E226" s="48">
        <v>37.554314391853801</v>
      </c>
      <c r="F226" s="52">
        <v>149.591408149373</v>
      </c>
      <c r="G226" s="122">
        <f t="shared" si="6"/>
        <v>0.25104593142377746</v>
      </c>
      <c r="H226" s="55">
        <v>0</v>
      </c>
      <c r="I226" s="54">
        <v>0.32793413028332002</v>
      </c>
      <c r="J226" s="54">
        <v>5.3820852343339498E-3</v>
      </c>
      <c r="K226" s="54">
        <v>35.868114256933801</v>
      </c>
      <c r="L226" s="54">
        <v>0.56838349220669904</v>
      </c>
      <c r="M226" s="54">
        <v>0.79010280552158896</v>
      </c>
      <c r="N226" s="54">
        <v>5.6615299564016404E-3</v>
      </c>
      <c r="O226" s="54">
        <v>0.45218618952172601</v>
      </c>
      <c r="P226" s="54">
        <v>0.20508117403488299</v>
      </c>
      <c r="Q226" s="54">
        <v>3.6121019142794498E-3</v>
      </c>
      <c r="R226" s="54">
        <v>2.9234513171846701</v>
      </c>
      <c r="S226" s="52">
        <v>3609.26</v>
      </c>
      <c r="T226" s="67">
        <v>25.177499999999799</v>
      </c>
      <c r="U226" s="52">
        <v>3662.83907722804</v>
      </c>
      <c r="V226" s="67">
        <v>15.8507393966471</v>
      </c>
      <c r="W226" s="52">
        <v>3753.5732567653299</v>
      </c>
      <c r="X226" s="67">
        <v>20.4884814241681</v>
      </c>
      <c r="Y226" s="52">
        <v>3770.5291362919502</v>
      </c>
      <c r="Z226" s="67">
        <v>60.583992565806497</v>
      </c>
      <c r="AA226" s="71">
        <f t="shared" si="7"/>
        <v>0.97553151700549146</v>
      </c>
      <c r="AB226" s="48">
        <v>32.731290000000001</v>
      </c>
      <c r="AC226" s="52">
        <v>428.40808424017001</v>
      </c>
      <c r="AD226" s="53">
        <v>1.4813418414388599</v>
      </c>
      <c r="AE226" s="52">
        <v>223.32832370532401</v>
      </c>
      <c r="AF226" s="53">
        <v>0.38912637846612003</v>
      </c>
      <c r="AG226" s="53">
        <v>0</v>
      </c>
      <c r="AH226" s="53">
        <v>1.6361996740847E-3</v>
      </c>
      <c r="AI226" s="53">
        <v>1.2341957452138499</v>
      </c>
      <c r="AJ226" s="64">
        <v>1.1699083553974501E-2</v>
      </c>
      <c r="AK226" s="53">
        <v>0.106229984936384</v>
      </c>
      <c r="AL226" s="53">
        <v>0.43743088066913499</v>
      </c>
      <c r="AM226" s="53">
        <v>0.13376930146183</v>
      </c>
      <c r="AN226" s="53">
        <v>3.4762678978546702</v>
      </c>
      <c r="AO226" s="53">
        <v>1.26098694066508</v>
      </c>
      <c r="AP226" s="48">
        <v>15.7090760797479</v>
      </c>
      <c r="AQ226" s="53">
        <v>6.6451719430002401</v>
      </c>
      <c r="AR226" s="48">
        <v>32.453233069814601</v>
      </c>
      <c r="AS226" s="53">
        <v>7.5608998912005596</v>
      </c>
      <c r="AT226" s="48">
        <v>76.188481352165695</v>
      </c>
      <c r="AU226" s="48">
        <v>17.373513783446398</v>
      </c>
      <c r="AV226" s="52">
        <v>8721.1725992786705</v>
      </c>
      <c r="AW226" s="53">
        <v>0.28061553398980998</v>
      </c>
      <c r="AX226" s="64">
        <v>0</v>
      </c>
      <c r="AY226" s="64">
        <v>0</v>
      </c>
      <c r="AZ226" s="55">
        <v>0</v>
      </c>
      <c r="BA226" s="64">
        <v>7.0336380084324796E-3</v>
      </c>
      <c r="BB226" s="48">
        <v>163.329195726329</v>
      </c>
      <c r="BC226" s="48">
        <v>37.554314391853801</v>
      </c>
      <c r="BD226" s="52">
        <v>149.591408149373</v>
      </c>
    </row>
    <row r="227" spans="1:56" s="39" customFormat="1" ht="12" customHeight="1">
      <c r="A227" s="47" t="s">
        <v>38</v>
      </c>
      <c r="B227" s="39" t="s">
        <v>338</v>
      </c>
      <c r="D227" s="48">
        <v>260.84925245894902</v>
      </c>
      <c r="E227" s="48">
        <v>60.2967405089408</v>
      </c>
      <c r="F227" s="52">
        <v>248.67060285506301</v>
      </c>
      <c r="G227" s="122">
        <f t="shared" si="6"/>
        <v>0.24247635151342997</v>
      </c>
      <c r="H227" s="53">
        <v>0.217573901458013</v>
      </c>
      <c r="I227" s="54">
        <v>0.32731636554063398</v>
      </c>
      <c r="J227" s="54">
        <v>5.2593149079836303E-3</v>
      </c>
      <c r="K227" s="54">
        <v>34.547087925934001</v>
      </c>
      <c r="L227" s="54">
        <v>0.55132958169569801</v>
      </c>
      <c r="M227" s="54">
        <v>0.76206004359808699</v>
      </c>
      <c r="N227" s="54">
        <v>5.4494674994286897E-3</v>
      </c>
      <c r="O227" s="54">
        <v>0.44808976651364002</v>
      </c>
      <c r="P227" s="54">
        <v>0.19280811804376399</v>
      </c>
      <c r="Q227" s="54">
        <v>3.3009717655362101E-3</v>
      </c>
      <c r="R227" s="54">
        <v>3.0033170754563598</v>
      </c>
      <c r="S227" s="52">
        <v>3604.63</v>
      </c>
      <c r="T227" s="67">
        <v>24.51</v>
      </c>
      <c r="U227" s="52">
        <v>3625.7889404596999</v>
      </c>
      <c r="V227" s="67">
        <v>15.940257789833201</v>
      </c>
      <c r="W227" s="52">
        <v>3651.7879380518798</v>
      </c>
      <c r="X227" s="67">
        <v>20.03390960354</v>
      </c>
      <c r="Y227" s="52">
        <v>3563.6238568354001</v>
      </c>
      <c r="Z227" s="67">
        <v>55.935229021065801</v>
      </c>
      <c r="AA227" s="71">
        <f t="shared" si="7"/>
        <v>0.99285504007001368</v>
      </c>
      <c r="AB227" s="48">
        <v>32.731290000000001</v>
      </c>
      <c r="AC227" s="52">
        <v>474.82945096666703</v>
      </c>
      <c r="AD227" s="53">
        <v>2.84067408657714</v>
      </c>
      <c r="AE227" s="52">
        <v>444.36647342876699</v>
      </c>
      <c r="AF227" s="53">
        <v>0.48476107956555597</v>
      </c>
      <c r="AG227" s="53">
        <v>5.2818117970694599E-2</v>
      </c>
      <c r="AH227" s="53">
        <v>2.0531271411011302E-2</v>
      </c>
      <c r="AI227" s="53">
        <v>1.2460584787421001</v>
      </c>
      <c r="AJ227" s="64">
        <v>2.19469215669694E-2</v>
      </c>
      <c r="AK227" s="53">
        <v>0.400460699814078</v>
      </c>
      <c r="AL227" s="53">
        <v>1.2040976612972301</v>
      </c>
      <c r="AM227" s="53">
        <v>0.39729204007663599</v>
      </c>
      <c r="AN227" s="53">
        <v>6.3803095335181998</v>
      </c>
      <c r="AO227" s="53">
        <v>2.38361962900309</v>
      </c>
      <c r="AP227" s="48">
        <v>31.018656685218499</v>
      </c>
      <c r="AQ227" s="48">
        <v>12.8622546565073</v>
      </c>
      <c r="AR227" s="48">
        <v>65.4472218166961</v>
      </c>
      <c r="AS227" s="48">
        <v>15.562585789084199</v>
      </c>
      <c r="AT227" s="52">
        <v>155.70869594209401</v>
      </c>
      <c r="AU227" s="48">
        <v>36.932445124401902</v>
      </c>
      <c r="AV227" s="52">
        <v>8123.6909695075501</v>
      </c>
      <c r="AW227" s="53">
        <v>0.299510200199059</v>
      </c>
      <c r="AX227" s="64">
        <v>6.357806273116E-3</v>
      </c>
      <c r="AY227" s="64">
        <v>0</v>
      </c>
      <c r="AZ227" s="53">
        <v>0.217573901458013</v>
      </c>
      <c r="BA227" s="64">
        <v>1.11092381913757E-3</v>
      </c>
      <c r="BB227" s="48">
        <v>260.84925245894902</v>
      </c>
      <c r="BC227" s="48">
        <v>60.2967405089408</v>
      </c>
      <c r="BD227" s="52">
        <v>248.67060285506301</v>
      </c>
    </row>
    <row r="228" spans="1:56" s="41" customFormat="1" ht="12" customHeight="1">
      <c r="A228" s="47" t="s">
        <v>38</v>
      </c>
      <c r="B228" s="41" t="s">
        <v>339</v>
      </c>
      <c r="C228" s="41" t="s">
        <v>135</v>
      </c>
      <c r="D228" s="50">
        <v>341.90978891866399</v>
      </c>
      <c r="E228" s="60">
        <v>122.915634385278</v>
      </c>
      <c r="F228" s="60">
        <v>393.59525456545299</v>
      </c>
      <c r="G228" s="122">
        <f t="shared" si="6"/>
        <v>0.31228942158101586</v>
      </c>
      <c r="H228" s="61">
        <v>0.26252727622262401</v>
      </c>
      <c r="I228" s="62">
        <v>0.26510836822774297</v>
      </c>
      <c r="J228" s="62">
        <v>5.2184456330585799E-3</v>
      </c>
      <c r="K228" s="62">
        <v>23.796727198694001</v>
      </c>
      <c r="L228" s="62">
        <v>0.45912931342578001</v>
      </c>
      <c r="M228" s="62">
        <v>0.64767900957744395</v>
      </c>
      <c r="N228" s="62">
        <v>5.3049903934806004E-3</v>
      </c>
      <c r="O228" s="62">
        <v>0.42452863560680398</v>
      </c>
      <c r="P228" s="62">
        <v>0.169826653398605</v>
      </c>
      <c r="Q228" s="62">
        <v>3.2599729307603701E-3</v>
      </c>
      <c r="R228" s="62">
        <v>2.3363369548620301</v>
      </c>
      <c r="S228" s="60">
        <v>3277.46</v>
      </c>
      <c r="T228" s="69">
        <v>31.6400000000001</v>
      </c>
      <c r="U228" s="60">
        <v>3260.1022253823699</v>
      </c>
      <c r="V228" s="69">
        <v>18.930800638055398</v>
      </c>
      <c r="W228" s="60">
        <v>3219.1306157884201</v>
      </c>
      <c r="X228" s="69">
        <v>20.828024820900399</v>
      </c>
      <c r="Y228" s="60">
        <v>3170.40077502965</v>
      </c>
      <c r="Z228" s="69">
        <v>56.325710528980402</v>
      </c>
      <c r="AA228" s="71">
        <f t="shared" si="7"/>
        <v>0.98735294421475173</v>
      </c>
      <c r="AB228" s="50">
        <v>32.731290000000001</v>
      </c>
      <c r="AC228" s="60">
        <v>519.36868541608703</v>
      </c>
      <c r="AD228" s="61">
        <v>2.9821298733574899</v>
      </c>
      <c r="AE228" s="60">
        <v>753.58738274805899</v>
      </c>
      <c r="AF228" s="61">
        <v>1.61226645608418</v>
      </c>
      <c r="AG228" s="61">
        <v>0.53624635863397896</v>
      </c>
      <c r="AH228" s="61">
        <v>0.25279547969433902</v>
      </c>
      <c r="AI228" s="61">
        <v>4.4693062748878196</v>
      </c>
      <c r="AJ228" s="61">
        <v>0.10604650428741801</v>
      </c>
      <c r="AK228" s="61">
        <v>0.95867710430284203</v>
      </c>
      <c r="AL228" s="61">
        <v>1.3956117967882999</v>
      </c>
      <c r="AM228" s="61">
        <v>0.26946477250404399</v>
      </c>
      <c r="AN228" s="50">
        <v>10.3000832995815</v>
      </c>
      <c r="AO228" s="61">
        <v>4.0687430287202204</v>
      </c>
      <c r="AP228" s="50">
        <v>55.522017708601702</v>
      </c>
      <c r="AQ228" s="50">
        <v>24.026730348370901</v>
      </c>
      <c r="AR228" s="60">
        <v>119.33251860713099</v>
      </c>
      <c r="AS228" s="50">
        <v>26.5486059729208</v>
      </c>
      <c r="AT228" s="60">
        <v>256.10107191829701</v>
      </c>
      <c r="AU228" s="50">
        <v>55.706023780676098</v>
      </c>
      <c r="AV228" s="60">
        <v>10155.1003205448</v>
      </c>
      <c r="AW228" s="61">
        <v>0.98268622290752095</v>
      </c>
      <c r="AX228" s="65">
        <v>6.9089510671734397E-2</v>
      </c>
      <c r="AY228" s="65">
        <v>0</v>
      </c>
      <c r="AZ228" s="61">
        <v>0.26252727622262401</v>
      </c>
      <c r="BA228" s="65">
        <v>0</v>
      </c>
      <c r="BB228" s="50">
        <v>341.90978891866399</v>
      </c>
      <c r="BC228" s="60">
        <v>122.915634385278</v>
      </c>
      <c r="BD228" s="60">
        <v>393.59525456545299</v>
      </c>
    </row>
    <row r="229" spans="1:56" s="41" customFormat="1" ht="12" customHeight="1">
      <c r="A229" s="47" t="s">
        <v>38</v>
      </c>
      <c r="B229" s="41" t="s">
        <v>340</v>
      </c>
      <c r="C229" s="41" t="s">
        <v>126</v>
      </c>
      <c r="D229" s="50">
        <v>337.18437524324702</v>
      </c>
      <c r="E229" s="60">
        <v>265.01858457789899</v>
      </c>
      <c r="F229" s="60">
        <v>1050.6703661636</v>
      </c>
      <c r="G229" s="122">
        <f t="shared" si="6"/>
        <v>0.25223761239748616</v>
      </c>
      <c r="H229" s="61">
        <v>8.9675397518272497</v>
      </c>
      <c r="I229" s="62">
        <v>0.17490851728833501</v>
      </c>
      <c r="J229" s="62">
        <v>4.99203561087998E-3</v>
      </c>
      <c r="K229" s="62">
        <v>6.2577014372265802</v>
      </c>
      <c r="L229" s="62">
        <v>0.24440220931572701</v>
      </c>
      <c r="M229" s="62">
        <v>0.25271761002973703</v>
      </c>
      <c r="N229" s="62">
        <v>3.86904916791428E-3</v>
      </c>
      <c r="O229" s="62">
        <v>0.39199312855301599</v>
      </c>
      <c r="P229" s="62">
        <v>7.2513365121935597E-2</v>
      </c>
      <c r="Q229" s="62">
        <v>1.8318782434727E-3</v>
      </c>
      <c r="R229" s="62">
        <v>2.9464770340719402</v>
      </c>
      <c r="S229" s="60">
        <v>2605.2449999999999</v>
      </c>
      <c r="T229" s="69">
        <v>48.305000000000099</v>
      </c>
      <c r="U229" s="60">
        <v>2012.55335560104</v>
      </c>
      <c r="V229" s="69">
        <v>34.220276463189101</v>
      </c>
      <c r="W229" s="60">
        <v>1452.4756127538899</v>
      </c>
      <c r="X229" s="69">
        <v>19.925352055401401</v>
      </c>
      <c r="Y229" s="60">
        <v>1414.9536815471199</v>
      </c>
      <c r="Z229" s="69">
        <v>34.522965082602099</v>
      </c>
      <c r="AA229" s="71">
        <f t="shared" si="7"/>
        <v>0.67672550621528871</v>
      </c>
      <c r="AB229" s="50">
        <v>32.731290000000001</v>
      </c>
      <c r="AC229" s="60">
        <v>624.88942032052603</v>
      </c>
      <c r="AD229" s="50">
        <v>16.4691705358332</v>
      </c>
      <c r="AE229" s="60">
        <v>1805.1143017873701</v>
      </c>
      <c r="AF229" s="61">
        <v>4.6211860978749</v>
      </c>
      <c r="AG229" s="61">
        <v>26.440576652005898</v>
      </c>
      <c r="AH229" s="61">
        <v>3.0039639326770402</v>
      </c>
      <c r="AI229" s="50">
        <v>18.853253973771999</v>
      </c>
      <c r="AJ229" s="61">
        <v>1.2285567199049201</v>
      </c>
      <c r="AK229" s="61">
        <v>7.1621582001363304</v>
      </c>
      <c r="AL229" s="61">
        <v>7.3392437514448403</v>
      </c>
      <c r="AM229" s="61">
        <v>4.1962719854559003</v>
      </c>
      <c r="AN229" s="50">
        <v>31.841559669878901</v>
      </c>
      <c r="AO229" s="50">
        <v>11.314223946999</v>
      </c>
      <c r="AP229" s="60">
        <v>142.06275486615399</v>
      </c>
      <c r="AQ229" s="50">
        <v>57.278079279526899</v>
      </c>
      <c r="AR229" s="60">
        <v>277.14452445596601</v>
      </c>
      <c r="AS229" s="50">
        <v>61.120796890475198</v>
      </c>
      <c r="AT229" s="60">
        <v>588.68406328739195</v>
      </c>
      <c r="AU229" s="60">
        <v>122.43925685751201</v>
      </c>
      <c r="AV229" s="60">
        <v>8504.5490467047402</v>
      </c>
      <c r="AW229" s="61">
        <v>1.9800801306802001</v>
      </c>
      <c r="AX229" s="65">
        <v>0.53962475738577098</v>
      </c>
      <c r="AY229" s="65">
        <v>0</v>
      </c>
      <c r="AZ229" s="61">
        <v>8.9675397518272497</v>
      </c>
      <c r="BA229" s="65">
        <v>8.5089240833073301E-2</v>
      </c>
      <c r="BB229" s="50">
        <v>337.18437524324702</v>
      </c>
      <c r="BC229" s="60">
        <v>265.01858457789899</v>
      </c>
      <c r="BD229" s="60">
        <v>1050.6703661636</v>
      </c>
    </row>
    <row r="230" spans="1:56" s="41" customFormat="1" ht="12" customHeight="1">
      <c r="A230" s="47" t="s">
        <v>38</v>
      </c>
      <c r="B230" s="41" t="s">
        <v>341</v>
      </c>
      <c r="C230" s="41" t="s">
        <v>135</v>
      </c>
      <c r="D230" s="50">
        <v>89.7072207386679</v>
      </c>
      <c r="E230" s="50">
        <v>28.713903670167099</v>
      </c>
      <c r="F230" s="50">
        <v>77.911750900214798</v>
      </c>
      <c r="G230" s="122">
        <f t="shared" si="6"/>
        <v>0.36854394027086274</v>
      </c>
      <c r="H230" s="63">
        <v>0</v>
      </c>
      <c r="I230" s="62">
        <v>0.363035733700449</v>
      </c>
      <c r="J230" s="62">
        <v>6.2312407078669099E-3</v>
      </c>
      <c r="K230" s="62">
        <v>40.108846794216397</v>
      </c>
      <c r="L230" s="62">
        <v>0.68240489785496805</v>
      </c>
      <c r="M230" s="62">
        <v>0.79783075289056804</v>
      </c>
      <c r="N230" s="62">
        <v>6.2836387913733803E-3</v>
      </c>
      <c r="O230" s="62">
        <v>0.46291204336983599</v>
      </c>
      <c r="P230" s="62">
        <v>0.203559386990742</v>
      </c>
      <c r="Q230" s="62">
        <v>3.7850930897226501E-3</v>
      </c>
      <c r="R230" s="62">
        <v>1.98191247420112</v>
      </c>
      <c r="S230" s="60">
        <v>3762.65</v>
      </c>
      <c r="T230" s="69">
        <v>26.159999999999901</v>
      </c>
      <c r="U230" s="60">
        <v>3773.3902104956901</v>
      </c>
      <c r="V230" s="69">
        <v>17.049497219775699</v>
      </c>
      <c r="W230" s="60">
        <v>3781.3427936000598</v>
      </c>
      <c r="X230" s="69">
        <v>22.623345417186801</v>
      </c>
      <c r="Y230" s="60">
        <v>3744.9888278706899</v>
      </c>
      <c r="Z230" s="69">
        <v>63.565759084922398</v>
      </c>
      <c r="AA230" s="71">
        <f t="shared" si="7"/>
        <v>0.99789467527176456</v>
      </c>
      <c r="AB230" s="50">
        <v>32.731290000000001</v>
      </c>
      <c r="AC230" s="60">
        <v>471.533007854635</v>
      </c>
      <c r="AD230" s="61">
        <v>3.5576270958517102</v>
      </c>
      <c r="AE230" s="60">
        <v>682.29340475639401</v>
      </c>
      <c r="AF230" s="61">
        <v>0.79921045134954305</v>
      </c>
      <c r="AG230" s="61">
        <v>0.18924559446441699</v>
      </c>
      <c r="AH230" s="61">
        <v>8.0866160402361994E-3</v>
      </c>
      <c r="AI230" s="61">
        <v>2.7210204433845702</v>
      </c>
      <c r="AJ230" s="65">
        <v>5.01075399003372E-2</v>
      </c>
      <c r="AK230" s="61">
        <v>0.89789188344789395</v>
      </c>
      <c r="AL230" s="61">
        <v>1.7605208530518599</v>
      </c>
      <c r="AM230" s="61">
        <v>0.64041586332649902</v>
      </c>
      <c r="AN230" s="50">
        <v>11.216181302300299</v>
      </c>
      <c r="AO230" s="61">
        <v>3.8884130296454602</v>
      </c>
      <c r="AP230" s="50">
        <v>51.715740814807198</v>
      </c>
      <c r="AQ230" s="50">
        <v>22.097760469018301</v>
      </c>
      <c r="AR230" s="60">
        <v>108.58019591407199</v>
      </c>
      <c r="AS230" s="50">
        <v>24.1339560185537</v>
      </c>
      <c r="AT230" s="60">
        <v>235.250251499668</v>
      </c>
      <c r="AU230" s="50">
        <v>52.2426085829863</v>
      </c>
      <c r="AV230" s="60">
        <v>7323.4649342912599</v>
      </c>
      <c r="AW230" s="61">
        <v>0.31175214990061501</v>
      </c>
      <c r="AX230" s="65">
        <v>1.3024546621898199E-2</v>
      </c>
      <c r="AY230" s="65">
        <v>0</v>
      </c>
      <c r="AZ230" s="63">
        <v>0</v>
      </c>
      <c r="BA230" s="65">
        <v>0</v>
      </c>
      <c r="BB230" s="50">
        <v>89.7072207386679</v>
      </c>
      <c r="BC230" s="50">
        <v>28.713903670167099</v>
      </c>
      <c r="BD230" s="50">
        <v>77.911750900214798</v>
      </c>
    </row>
    <row r="231" spans="1:56" s="41" customFormat="1" ht="12" customHeight="1">
      <c r="A231" s="47" t="s">
        <v>38</v>
      </c>
      <c r="B231" s="41" t="s">
        <v>342</v>
      </c>
      <c r="D231" s="50">
        <v>332.25475781549301</v>
      </c>
      <c r="E231" s="50">
        <v>80.362463800788404</v>
      </c>
      <c r="F231" s="60">
        <v>344.91465459807603</v>
      </c>
      <c r="G231" s="122">
        <f t="shared" si="6"/>
        <v>0.23299231485085375</v>
      </c>
      <c r="H231" s="63">
        <v>0</v>
      </c>
      <c r="I231" s="62">
        <v>0.30250090738188501</v>
      </c>
      <c r="J231" s="62">
        <v>5.08717202968387E-3</v>
      </c>
      <c r="K231" s="62">
        <v>30.260581373996601</v>
      </c>
      <c r="L231" s="62">
        <v>0.60000658724238298</v>
      </c>
      <c r="M231" s="62">
        <v>0.72013934679581804</v>
      </c>
      <c r="N231" s="62">
        <v>7.0742452451794001E-3</v>
      </c>
      <c r="O231" s="62">
        <v>0.49543287386634499</v>
      </c>
      <c r="P231" s="62">
        <v>0.18437635853298401</v>
      </c>
      <c r="Q231" s="62">
        <v>3.0297517972232898E-3</v>
      </c>
      <c r="R231" s="62">
        <v>3.1142956212617299</v>
      </c>
      <c r="S231" s="60">
        <v>3483.03</v>
      </c>
      <c r="T231" s="69">
        <v>25.925000000000001</v>
      </c>
      <c r="U231" s="60">
        <v>3495.3118980930299</v>
      </c>
      <c r="V231" s="69">
        <v>19.633368847563801</v>
      </c>
      <c r="W231" s="60">
        <v>3496.5692385027601</v>
      </c>
      <c r="X231" s="69">
        <v>26.578675353017999</v>
      </c>
      <c r="Y231" s="60">
        <v>3420.2396429371502</v>
      </c>
      <c r="Z231" s="69">
        <v>51.704878161472301</v>
      </c>
      <c r="AA231" s="71">
        <f t="shared" si="7"/>
        <v>0.99964034273890923</v>
      </c>
      <c r="AB231" s="50">
        <v>32.731290000000001</v>
      </c>
      <c r="AC231" s="60">
        <v>479.52218298620397</v>
      </c>
      <c r="AD231" s="61">
        <v>0.93261391442396302</v>
      </c>
      <c r="AE231" s="60">
        <v>574.25418192782195</v>
      </c>
      <c r="AF231" s="61">
        <v>1.29900281405261</v>
      </c>
      <c r="AG231" s="61">
        <v>0.26289008967327998</v>
      </c>
      <c r="AH231" s="61">
        <v>6.45211003331333E-3</v>
      </c>
      <c r="AI231" s="61">
        <v>3.01944870120187</v>
      </c>
      <c r="AJ231" s="65">
        <v>1.7942140961068699E-2</v>
      </c>
      <c r="AK231" s="61">
        <v>0.30864604696174203</v>
      </c>
      <c r="AL231" s="61">
        <v>0.80782555763437003</v>
      </c>
      <c r="AM231" s="61">
        <v>0.10775898232913</v>
      </c>
      <c r="AN231" s="61">
        <v>7.7677224857339899</v>
      </c>
      <c r="AO231" s="61">
        <v>3.0338322794964201</v>
      </c>
      <c r="AP231" s="50">
        <v>40.984543392043904</v>
      </c>
      <c r="AQ231" s="50">
        <v>17.9745208300249</v>
      </c>
      <c r="AR231" s="50">
        <v>91.067518289021095</v>
      </c>
      <c r="AS231" s="50">
        <v>20.6256646607393</v>
      </c>
      <c r="AT231" s="60">
        <v>211.925621401104</v>
      </c>
      <c r="AU231" s="50">
        <v>46.738451173169501</v>
      </c>
      <c r="AV231" s="60">
        <v>10277.254260493801</v>
      </c>
      <c r="AW231" s="61">
        <v>1.00656379613641</v>
      </c>
      <c r="AX231" s="65">
        <v>5.1943694280838199E-2</v>
      </c>
      <c r="AY231" s="65">
        <v>0</v>
      </c>
      <c r="AZ231" s="63">
        <v>0</v>
      </c>
      <c r="BA231" s="65">
        <v>0</v>
      </c>
      <c r="BB231" s="50">
        <v>332.25475781549301</v>
      </c>
      <c r="BC231" s="50">
        <v>80.362463800788404</v>
      </c>
      <c r="BD231" s="60">
        <v>344.91465459807603</v>
      </c>
    </row>
    <row r="232" spans="1:56" s="41" customFormat="1" ht="12" customHeight="1">
      <c r="A232" s="47"/>
      <c r="D232" s="50"/>
      <c r="E232" s="50"/>
      <c r="F232" s="60"/>
      <c r="G232" s="122"/>
      <c r="H232" s="63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0"/>
      <c r="T232" s="69"/>
      <c r="U232" s="60"/>
      <c r="V232" s="69"/>
      <c r="W232" s="60"/>
      <c r="X232" s="69"/>
      <c r="Y232" s="60"/>
      <c r="Z232" s="69"/>
      <c r="AA232" s="71"/>
      <c r="AB232" s="50"/>
      <c r="AC232" s="60"/>
      <c r="AD232" s="61"/>
      <c r="AE232" s="60"/>
      <c r="AF232" s="61"/>
      <c r="AG232" s="61"/>
      <c r="AH232" s="61"/>
      <c r="AI232" s="61"/>
      <c r="AJ232" s="65"/>
      <c r="AK232" s="61"/>
      <c r="AL232" s="61"/>
      <c r="AM232" s="61"/>
      <c r="AN232" s="61"/>
      <c r="AO232" s="61"/>
      <c r="AP232" s="50"/>
      <c r="AQ232" s="50"/>
      <c r="AR232" s="50"/>
      <c r="AS232" s="50"/>
      <c r="AT232" s="60"/>
      <c r="AU232" s="50"/>
      <c r="AV232" s="60"/>
      <c r="AW232" s="61"/>
      <c r="AX232" s="65"/>
      <c r="AY232" s="65"/>
      <c r="AZ232" s="63"/>
      <c r="BA232" s="65"/>
      <c r="BB232" s="50"/>
      <c r="BC232" s="50"/>
      <c r="BD232" s="60"/>
    </row>
    <row r="233" spans="1:56" s="39" customFormat="1" ht="12" customHeight="1">
      <c r="A233" s="47" t="s">
        <v>39</v>
      </c>
      <c r="B233" s="39" t="s">
        <v>343</v>
      </c>
      <c r="C233" s="39" t="s">
        <v>135</v>
      </c>
      <c r="D233" s="48">
        <v>242.67332240567299</v>
      </c>
      <c r="E233" s="48">
        <v>54.354077327085101</v>
      </c>
      <c r="F233" s="52">
        <v>225.74597418504899</v>
      </c>
      <c r="G233" s="122">
        <f t="shared" si="6"/>
        <v>0.240775400417683</v>
      </c>
      <c r="H233" s="55">
        <v>0</v>
      </c>
      <c r="I233" s="54">
        <v>0.34477167971101702</v>
      </c>
      <c r="J233" s="54">
        <v>5.5717597608118397E-3</v>
      </c>
      <c r="K233" s="54">
        <v>36.796156458403999</v>
      </c>
      <c r="L233" s="54">
        <v>0.59770398039100703</v>
      </c>
      <c r="M233" s="54">
        <v>0.7710049171126</v>
      </c>
      <c r="N233" s="54">
        <v>5.2707593147586999E-3</v>
      </c>
      <c r="O233" s="54">
        <v>0.42085485924252403</v>
      </c>
      <c r="P233" s="54">
        <v>0.199680276204108</v>
      </c>
      <c r="Q233" s="54">
        <v>3.7582158856056401E-3</v>
      </c>
      <c r="R233" s="54">
        <v>3.0097016425168701</v>
      </c>
      <c r="S233" s="52">
        <v>3684.2550000000001</v>
      </c>
      <c r="T233" s="67">
        <v>24.645</v>
      </c>
      <c r="U233" s="52">
        <v>3688.0818565883901</v>
      </c>
      <c r="V233" s="67">
        <v>16.251816968987502</v>
      </c>
      <c r="W233" s="52">
        <v>3684.4295584718002</v>
      </c>
      <c r="X233" s="67">
        <v>19.288321491775999</v>
      </c>
      <c r="Y233" s="52">
        <v>3679.73895496451</v>
      </c>
      <c r="Z233" s="67">
        <v>63.318468558875402</v>
      </c>
      <c r="AA233" s="71">
        <f t="shared" si="7"/>
        <v>0.99900921194665659</v>
      </c>
      <c r="AB233" s="48">
        <v>32.731290000000001</v>
      </c>
      <c r="AC233" s="52">
        <v>470.52484550217298</v>
      </c>
      <c r="AD233" s="53">
        <v>2.7262691151585798</v>
      </c>
      <c r="AE233" s="52">
        <v>448.95551973657399</v>
      </c>
      <c r="AF233" s="53">
        <v>0.58233033469639905</v>
      </c>
      <c r="AG233" s="53">
        <v>0</v>
      </c>
      <c r="AH233" s="53">
        <v>1.47702390558312E-3</v>
      </c>
      <c r="AI233" s="53">
        <v>1.3533983299737</v>
      </c>
      <c r="AJ233" s="64">
        <v>1.2831339621826299E-2</v>
      </c>
      <c r="AK233" s="53">
        <v>0.36235106509304799</v>
      </c>
      <c r="AL233" s="53">
        <v>0.89565300865296404</v>
      </c>
      <c r="AM233" s="53">
        <v>0.39018042014129001</v>
      </c>
      <c r="AN233" s="53">
        <v>6.3596102662209599</v>
      </c>
      <c r="AO233" s="53">
        <v>2.40151282666737</v>
      </c>
      <c r="AP233" s="48">
        <v>31.0056472562799</v>
      </c>
      <c r="AQ233" s="48">
        <v>13.289369491656601</v>
      </c>
      <c r="AR233" s="48">
        <v>66.8226887078999</v>
      </c>
      <c r="AS233" s="48">
        <v>16.100381056977302</v>
      </c>
      <c r="AT233" s="52">
        <v>168.209535392661</v>
      </c>
      <c r="AU233" s="48">
        <v>40.043721574716002</v>
      </c>
      <c r="AV233" s="52">
        <v>8003.5070668532899</v>
      </c>
      <c r="AW233" s="53">
        <v>0.35172937000472598</v>
      </c>
      <c r="AX233" s="64">
        <v>1.1869340762941501E-2</v>
      </c>
      <c r="AY233" s="64">
        <v>0</v>
      </c>
      <c r="AZ233" s="55">
        <v>0</v>
      </c>
      <c r="BA233" s="64">
        <v>8.5819068617153603E-4</v>
      </c>
      <c r="BB233" s="48">
        <v>242.67332240567299</v>
      </c>
      <c r="BC233" s="48">
        <v>54.354077327085101</v>
      </c>
      <c r="BD233" s="52">
        <v>225.74597418504899</v>
      </c>
    </row>
    <row r="234" spans="1:56" s="39" customFormat="1" ht="12" customHeight="1">
      <c r="A234" s="47" t="s">
        <v>39</v>
      </c>
      <c r="B234" s="39" t="s">
        <v>344</v>
      </c>
      <c r="D234" s="48">
        <v>296.02378255655901</v>
      </c>
      <c r="E234" s="48">
        <v>69.339728100707902</v>
      </c>
      <c r="F234" s="52">
        <v>349.61253053121601</v>
      </c>
      <c r="G234" s="122">
        <f t="shared" si="6"/>
        <v>0.19833307460504976</v>
      </c>
      <c r="H234" s="53">
        <v>0.15608099119103799</v>
      </c>
      <c r="I234" s="54">
        <v>0.32925136240078201</v>
      </c>
      <c r="J234" s="54">
        <v>5.10944906167193E-3</v>
      </c>
      <c r="K234" s="54">
        <v>29.150121317215199</v>
      </c>
      <c r="L234" s="54">
        <v>0.68754872140206302</v>
      </c>
      <c r="M234" s="54">
        <v>0.63663536323314995</v>
      </c>
      <c r="N234" s="54">
        <v>1.0093506520718099E-2</v>
      </c>
      <c r="O234" s="54">
        <v>0.67218404057601</v>
      </c>
      <c r="P234" s="54">
        <v>0.179245783167571</v>
      </c>
      <c r="Q234" s="54">
        <v>3.70305053952244E-3</v>
      </c>
      <c r="R234" s="54">
        <v>4.0901557786729503</v>
      </c>
      <c r="S234" s="52">
        <v>3613.8850000000002</v>
      </c>
      <c r="T234" s="67">
        <v>24.5350000000001</v>
      </c>
      <c r="U234" s="52">
        <v>3458.5865329271801</v>
      </c>
      <c r="V234" s="67">
        <v>23.2741065490202</v>
      </c>
      <c r="W234" s="52">
        <v>3175.7777703225402</v>
      </c>
      <c r="X234" s="67">
        <v>39.793488018094898</v>
      </c>
      <c r="Y234" s="52">
        <v>3332.49251776139</v>
      </c>
      <c r="Z234" s="67">
        <v>63.470147057713802</v>
      </c>
      <c r="AA234" s="71">
        <f t="shared" si="7"/>
        <v>0.91474427701653005</v>
      </c>
      <c r="AB234" s="48">
        <v>32.731290000000001</v>
      </c>
      <c r="AC234" s="52">
        <v>458.52860510248303</v>
      </c>
      <c r="AD234" s="53">
        <v>4.9321903750534499</v>
      </c>
      <c r="AE234" s="52">
        <v>558.19448121954701</v>
      </c>
      <c r="AF234" s="53">
        <v>1.0542786505336399</v>
      </c>
      <c r="AG234" s="53">
        <v>1.3706078535628501</v>
      </c>
      <c r="AH234" s="53">
        <v>1.1851658639110501</v>
      </c>
      <c r="AI234" s="53">
        <v>5.2268759887528002</v>
      </c>
      <c r="AJ234" s="53">
        <v>0.249559811628697</v>
      </c>
      <c r="AK234" s="53">
        <v>1.58830947657374</v>
      </c>
      <c r="AL234" s="53">
        <v>1.80895736024078</v>
      </c>
      <c r="AM234" s="53">
        <v>1.21996430436964</v>
      </c>
      <c r="AN234" s="53">
        <v>9.0058034864768608</v>
      </c>
      <c r="AO234" s="53">
        <v>3.4183186645421499</v>
      </c>
      <c r="AP234" s="48">
        <v>43.357259737507597</v>
      </c>
      <c r="AQ234" s="48">
        <v>18.004344777015401</v>
      </c>
      <c r="AR234" s="48">
        <v>83.085651179267202</v>
      </c>
      <c r="AS234" s="48">
        <v>18.5993243380663</v>
      </c>
      <c r="AT234" s="52">
        <v>179.79482508903999</v>
      </c>
      <c r="AU234" s="48">
        <v>38.482510529812501</v>
      </c>
      <c r="AV234" s="52">
        <v>10633.367761310799</v>
      </c>
      <c r="AW234" s="53">
        <v>0.82692020884846995</v>
      </c>
      <c r="AX234" s="64">
        <v>0.14232448123229499</v>
      </c>
      <c r="AY234" s="64">
        <v>0</v>
      </c>
      <c r="AZ234" s="53">
        <v>0.15608099119103799</v>
      </c>
      <c r="BA234" s="64">
        <v>2.9363700336457001E-2</v>
      </c>
      <c r="BB234" s="48">
        <v>296.02378255655901</v>
      </c>
      <c r="BC234" s="48">
        <v>69.339728100707902</v>
      </c>
      <c r="BD234" s="52">
        <v>349.61253053121601</v>
      </c>
    </row>
    <row r="235" spans="1:56" s="39" customFormat="1" ht="12" customHeight="1">
      <c r="A235" s="47" t="s">
        <v>39</v>
      </c>
      <c r="B235" s="39" t="s">
        <v>345</v>
      </c>
      <c r="D235" s="48">
        <v>228.42948237716001</v>
      </c>
      <c r="E235" s="48">
        <v>45.276566208831497</v>
      </c>
      <c r="F235" s="52">
        <v>234.036310141954</v>
      </c>
      <c r="G235" s="122">
        <f t="shared" si="6"/>
        <v>0.1934595797608035</v>
      </c>
      <c r="H235" s="55">
        <v>0</v>
      </c>
      <c r="I235" s="54">
        <v>0.33406715433010797</v>
      </c>
      <c r="J235" s="54">
        <v>6.8707917897036699E-3</v>
      </c>
      <c r="K235" s="54">
        <v>34.417523055807301</v>
      </c>
      <c r="L235" s="54">
        <v>0.84862103620934604</v>
      </c>
      <c r="M235" s="54">
        <v>0.74119780364411503</v>
      </c>
      <c r="N235" s="54">
        <v>9.2951177258453303E-3</v>
      </c>
      <c r="O235" s="54">
        <v>0.50861198503432803</v>
      </c>
      <c r="P235" s="54">
        <v>0.2144626835242</v>
      </c>
      <c r="Q235" s="54">
        <v>4.9259183910170196E-3</v>
      </c>
      <c r="R235" s="54">
        <v>3.7146486871795501</v>
      </c>
      <c r="S235" s="52">
        <v>3636.105</v>
      </c>
      <c r="T235" s="67">
        <v>36.1099999999999</v>
      </c>
      <c r="U235" s="52">
        <v>3622.0812298759602</v>
      </c>
      <c r="V235" s="67">
        <v>24.453427574332299</v>
      </c>
      <c r="W235" s="52">
        <v>3575.0089881814401</v>
      </c>
      <c r="X235" s="67">
        <v>34.4673005393716</v>
      </c>
      <c r="Y235" s="52">
        <v>3927.2712116195598</v>
      </c>
      <c r="Z235" s="67">
        <v>81.981759456878194</v>
      </c>
      <c r="AA235" s="71">
        <f t="shared" si="7"/>
        <v>0.9869190908357891</v>
      </c>
      <c r="AB235" s="48">
        <v>32.731290000000001</v>
      </c>
      <c r="AC235" s="52">
        <v>489.417001506585</v>
      </c>
      <c r="AD235" s="53">
        <v>2.5613614718211402</v>
      </c>
      <c r="AE235" s="52">
        <v>465.24570695881698</v>
      </c>
      <c r="AF235" s="53">
        <v>0.67446854169280701</v>
      </c>
      <c r="AG235" s="53">
        <v>0.345010106364118</v>
      </c>
      <c r="AH235" s="53">
        <v>7.1824700662979496E-3</v>
      </c>
      <c r="AI235" s="53">
        <v>1.38603956131282</v>
      </c>
      <c r="AJ235" s="64">
        <v>1.3616998106490001E-2</v>
      </c>
      <c r="AK235" s="53">
        <v>0.30578037226060001</v>
      </c>
      <c r="AL235" s="53">
        <v>0.87091772262218303</v>
      </c>
      <c r="AM235" s="53">
        <v>0.311552654032897</v>
      </c>
      <c r="AN235" s="53">
        <v>5.86777687438705</v>
      </c>
      <c r="AO235" s="53">
        <v>2.4789366515189402</v>
      </c>
      <c r="AP235" s="48">
        <v>32.623164752934102</v>
      </c>
      <c r="AQ235" s="48">
        <v>14.0645892117155</v>
      </c>
      <c r="AR235" s="48">
        <v>69.005381603336801</v>
      </c>
      <c r="AS235" s="48">
        <v>16.511685393287902</v>
      </c>
      <c r="AT235" s="52">
        <v>168.11282327600199</v>
      </c>
      <c r="AU235" s="48">
        <v>39.3429024212573</v>
      </c>
      <c r="AV235" s="52">
        <v>8304.3461560645101</v>
      </c>
      <c r="AW235" s="53">
        <v>0.30766871812569302</v>
      </c>
      <c r="AX235" s="64">
        <v>3.5981696557624197E-2</v>
      </c>
      <c r="AY235" s="64">
        <v>0</v>
      </c>
      <c r="AZ235" s="55">
        <v>0</v>
      </c>
      <c r="BA235" s="64">
        <v>0</v>
      </c>
      <c r="BB235" s="48">
        <v>228.42948237716001</v>
      </c>
      <c r="BC235" s="48">
        <v>45.276566208831497</v>
      </c>
      <c r="BD235" s="52">
        <v>234.036310141954</v>
      </c>
    </row>
    <row r="236" spans="1:56" s="39" customFormat="1" ht="12" customHeight="1">
      <c r="A236" s="47" t="s">
        <v>39</v>
      </c>
      <c r="B236" s="39" t="s">
        <v>346</v>
      </c>
      <c r="C236" s="39" t="s">
        <v>126</v>
      </c>
      <c r="D236" s="48">
        <v>363.13154058356099</v>
      </c>
      <c r="E236" s="52">
        <v>280.567820931852</v>
      </c>
      <c r="F236" s="52">
        <v>868.60360580515305</v>
      </c>
      <c r="G236" s="122">
        <f t="shared" si="6"/>
        <v>0.32301019597055364</v>
      </c>
      <c r="H236" s="53">
        <v>1.9341030724085799</v>
      </c>
      <c r="I236" s="54">
        <v>0.21348470685019499</v>
      </c>
      <c r="J236" s="54">
        <v>5.2016409473043899E-3</v>
      </c>
      <c r="K236" s="54">
        <v>9.6201595995205302</v>
      </c>
      <c r="L236" s="54">
        <v>0.240606256108718</v>
      </c>
      <c r="M236" s="54">
        <v>0.32552276735778901</v>
      </c>
      <c r="N236" s="54">
        <v>3.2527649820116001E-3</v>
      </c>
      <c r="O236" s="54">
        <v>0.39952750081218202</v>
      </c>
      <c r="P236" s="54">
        <v>8.6912335826239806E-2</v>
      </c>
      <c r="Q236" s="54">
        <v>2.2836552967005598E-3</v>
      </c>
      <c r="R236" s="54">
        <v>2.2857512202827599</v>
      </c>
      <c r="S236" s="52">
        <v>2932.4050000000002</v>
      </c>
      <c r="T236" s="67">
        <v>39.972500000000103</v>
      </c>
      <c r="U236" s="52">
        <v>2399.1004151945099</v>
      </c>
      <c r="V236" s="67">
        <v>23.061902582769601</v>
      </c>
      <c r="W236" s="52">
        <v>1816.6441452331801</v>
      </c>
      <c r="X236" s="67">
        <v>15.849557851306001</v>
      </c>
      <c r="Y236" s="52">
        <v>1684.5064592807601</v>
      </c>
      <c r="Z236" s="67">
        <v>42.466867766791403</v>
      </c>
      <c r="AA236" s="71">
        <f t="shared" si="7"/>
        <v>0.72367572958346449</v>
      </c>
      <c r="AB236" s="48">
        <v>32.731290000000001</v>
      </c>
      <c r="AC236" s="52">
        <v>565.54872575051604</v>
      </c>
      <c r="AD236" s="53">
        <v>8.1961513580980796</v>
      </c>
      <c r="AE236" s="52">
        <v>1683.8408415736501</v>
      </c>
      <c r="AF236" s="53">
        <v>5.7180151667814902</v>
      </c>
      <c r="AG236" s="53">
        <v>4.25659379389724</v>
      </c>
      <c r="AH236" s="53">
        <v>0.58920327876117795</v>
      </c>
      <c r="AI236" s="48">
        <v>10.3566989677203</v>
      </c>
      <c r="AJ236" s="53">
        <v>0.23795807041917999</v>
      </c>
      <c r="AK236" s="53">
        <v>2.1747334752147398</v>
      </c>
      <c r="AL236" s="53">
        <v>3.42625632783583</v>
      </c>
      <c r="AM236" s="53">
        <v>1.7528781510178399</v>
      </c>
      <c r="AN236" s="48">
        <v>22.058787652001602</v>
      </c>
      <c r="AO236" s="53">
        <v>9.1790682675669704</v>
      </c>
      <c r="AP236" s="52">
        <v>123.6279987783</v>
      </c>
      <c r="AQ236" s="48">
        <v>54.274081958460997</v>
      </c>
      <c r="AR236" s="52">
        <v>268.52999603458602</v>
      </c>
      <c r="AS236" s="48">
        <v>61.868100686346303</v>
      </c>
      <c r="AT236" s="52">
        <v>601.26926540668501</v>
      </c>
      <c r="AU236" s="52">
        <v>132.66088728902</v>
      </c>
      <c r="AV236" s="52">
        <v>9500.9588593815206</v>
      </c>
      <c r="AW236" s="53">
        <v>2.4651500999109701</v>
      </c>
      <c r="AX236" s="64">
        <v>0.211475950484353</v>
      </c>
      <c r="AY236" s="64">
        <v>0</v>
      </c>
      <c r="AZ236" s="53">
        <v>1.9341030724085799</v>
      </c>
      <c r="BA236" s="64">
        <v>8.4907637631679005E-3</v>
      </c>
      <c r="BB236" s="48">
        <v>363.13154058356099</v>
      </c>
      <c r="BC236" s="52">
        <v>280.567820931852</v>
      </c>
      <c r="BD236" s="52">
        <v>868.60360580515305</v>
      </c>
    </row>
    <row r="237" spans="1:56" s="39" customFormat="1" ht="12" customHeight="1">
      <c r="A237" s="47" t="s">
        <v>39</v>
      </c>
      <c r="B237" s="39" t="s">
        <v>347</v>
      </c>
      <c r="D237" s="48">
        <v>420.66019178801002</v>
      </c>
      <c r="E237" s="52">
        <v>121.93831276412899</v>
      </c>
      <c r="F237" s="52">
        <v>494.68832103930799</v>
      </c>
      <c r="G237" s="122">
        <f t="shared" si="6"/>
        <v>0.24649523261019085</v>
      </c>
      <c r="H237" s="53">
        <v>0.48034252620333601</v>
      </c>
      <c r="I237" s="54">
        <v>0.30872264131987598</v>
      </c>
      <c r="J237" s="54">
        <v>6.3045091965385604E-3</v>
      </c>
      <c r="K237" s="54">
        <v>28.239567580027</v>
      </c>
      <c r="L237" s="54">
        <v>0.868226075158813</v>
      </c>
      <c r="M237" s="54">
        <v>0.65689803053013296</v>
      </c>
      <c r="N237" s="54">
        <v>1.39673320546807E-2</v>
      </c>
      <c r="O237" s="54">
        <v>0.69157727774897304</v>
      </c>
      <c r="P237" s="54">
        <v>0.172630596874908</v>
      </c>
      <c r="Q237" s="54">
        <v>5.2508209353554604E-3</v>
      </c>
      <c r="R237" s="54">
        <v>3.09945883599051</v>
      </c>
      <c r="S237" s="52">
        <v>3514.51</v>
      </c>
      <c r="T237" s="67">
        <v>31.659999999999901</v>
      </c>
      <c r="U237" s="52">
        <v>3427.4486938391201</v>
      </c>
      <c r="V237" s="67">
        <v>30.240258374389999</v>
      </c>
      <c r="W237" s="52">
        <v>3255.09877805005</v>
      </c>
      <c r="X237" s="67">
        <v>54.3704538011051</v>
      </c>
      <c r="Y237" s="52">
        <v>3218.7892551354098</v>
      </c>
      <c r="Z237" s="67">
        <v>90.506586052074596</v>
      </c>
      <c r="AA237" s="71">
        <f t="shared" si="7"/>
        <v>0.94841790005560667</v>
      </c>
      <c r="AB237" s="48">
        <v>32.731290000000001</v>
      </c>
      <c r="AC237" s="52">
        <v>522.05589848613795</v>
      </c>
      <c r="AD237" s="48">
        <v>18.696964529697201</v>
      </c>
      <c r="AE237" s="52">
        <v>738.57720342030495</v>
      </c>
      <c r="AF237" s="53">
        <v>0.478438234642941</v>
      </c>
      <c r="AG237" s="53">
        <v>0.45648781276922201</v>
      </c>
      <c r="AH237" s="53">
        <v>0.33831716696790398</v>
      </c>
      <c r="AI237" s="53">
        <v>9.0496806803263592</v>
      </c>
      <c r="AJ237" s="53">
        <v>0.291590662817522</v>
      </c>
      <c r="AK237" s="53">
        <v>3.2547126872704002</v>
      </c>
      <c r="AL237" s="53">
        <v>8.2125888822959094</v>
      </c>
      <c r="AM237" s="53">
        <v>6.4827231044152098</v>
      </c>
      <c r="AN237" s="48">
        <v>49.902237490449799</v>
      </c>
      <c r="AO237" s="48">
        <v>12.766109964275</v>
      </c>
      <c r="AP237" s="48">
        <v>99.603492074381407</v>
      </c>
      <c r="AQ237" s="48">
        <v>24.992173437029798</v>
      </c>
      <c r="AR237" s="48">
        <v>75.668547115197299</v>
      </c>
      <c r="AS237" s="48">
        <v>11.389940072573401</v>
      </c>
      <c r="AT237" s="48">
        <v>83.887951714534097</v>
      </c>
      <c r="AU237" s="48">
        <v>14.9221150619375</v>
      </c>
      <c r="AV237" s="52">
        <v>7494.3310766115501</v>
      </c>
      <c r="AW237" s="53">
        <v>0.107517328652891</v>
      </c>
      <c r="AX237" s="64">
        <v>0.19564007183943399</v>
      </c>
      <c r="AY237" s="64">
        <v>0</v>
      </c>
      <c r="AZ237" s="53">
        <v>0.48034252620333601</v>
      </c>
      <c r="BA237" s="64">
        <v>0</v>
      </c>
      <c r="BB237" s="48">
        <v>420.66019178801002</v>
      </c>
      <c r="BC237" s="52">
        <v>121.93831276412899</v>
      </c>
      <c r="BD237" s="52">
        <v>494.68832103930799</v>
      </c>
    </row>
    <row r="238" spans="1:56" s="39" customFormat="1" ht="12" customHeight="1">
      <c r="A238" s="47" t="s">
        <v>39</v>
      </c>
      <c r="B238" s="39" t="s">
        <v>348</v>
      </c>
      <c r="C238" s="39" t="s">
        <v>126</v>
      </c>
      <c r="D238" s="48">
        <v>501.42140738802999</v>
      </c>
      <c r="E238" s="52">
        <v>211.12166886651599</v>
      </c>
      <c r="F238" s="52">
        <v>812.47252924301404</v>
      </c>
      <c r="G238" s="122">
        <f t="shared" si="6"/>
        <v>0.2598508395886559</v>
      </c>
      <c r="H238" s="53">
        <v>3.0397684318254301</v>
      </c>
      <c r="I238" s="54">
        <v>0.28243129161678598</v>
      </c>
      <c r="J238" s="54">
        <v>5.7201519611798403E-3</v>
      </c>
      <c r="K238" s="54">
        <v>17.980496169390499</v>
      </c>
      <c r="L238" s="54">
        <v>0.50422272084915398</v>
      </c>
      <c r="M238" s="54">
        <v>0.45673715480384097</v>
      </c>
      <c r="N238" s="54">
        <v>6.77048552403687E-3</v>
      </c>
      <c r="O238" s="54">
        <v>0.52860678340637501</v>
      </c>
      <c r="P238" s="54">
        <v>0.126225849160405</v>
      </c>
      <c r="Q238" s="54">
        <v>2.9982655207537899E-3</v>
      </c>
      <c r="R238" s="54">
        <v>2.9352274122347399</v>
      </c>
      <c r="S238" s="52">
        <v>3376.24</v>
      </c>
      <c r="T238" s="67">
        <v>31.485000000000099</v>
      </c>
      <c r="U238" s="52">
        <v>2988.6905970818998</v>
      </c>
      <c r="V238" s="67">
        <v>27.050415427460202</v>
      </c>
      <c r="W238" s="52">
        <v>2425.1352734514098</v>
      </c>
      <c r="X238" s="67">
        <v>29.989642240378899</v>
      </c>
      <c r="Y238" s="52">
        <v>2402.66975490102</v>
      </c>
      <c r="Z238" s="67">
        <v>53.809480175796402</v>
      </c>
      <c r="AA238" s="71">
        <f t="shared" si="7"/>
        <v>0.79180884752949221</v>
      </c>
      <c r="AB238" s="48">
        <v>32.731290000000001</v>
      </c>
      <c r="AC238" s="52">
        <v>552.615930893072</v>
      </c>
      <c r="AD238" s="53">
        <v>7.5013737335109001</v>
      </c>
      <c r="AE238" s="52">
        <v>1038.19200204749</v>
      </c>
      <c r="AF238" s="53">
        <v>2.3114225685418401</v>
      </c>
      <c r="AG238" s="53">
        <v>7.0616471732412096</v>
      </c>
      <c r="AH238" s="53">
        <v>1.2692796230475001</v>
      </c>
      <c r="AI238" s="53">
        <v>9.3429102891911402</v>
      </c>
      <c r="AJ238" s="53">
        <v>0.372379127320278</v>
      </c>
      <c r="AK238" s="53">
        <v>2.4517433165777902</v>
      </c>
      <c r="AL238" s="53">
        <v>3.1355540402052302</v>
      </c>
      <c r="AM238" s="53">
        <v>0.92373175701738797</v>
      </c>
      <c r="AN238" s="48">
        <v>17.444939577198099</v>
      </c>
      <c r="AO238" s="53">
        <v>6.3832498223364498</v>
      </c>
      <c r="AP238" s="48">
        <v>82.401555971811106</v>
      </c>
      <c r="AQ238" s="48">
        <v>33.437632396495097</v>
      </c>
      <c r="AR238" s="52">
        <v>161.303922299509</v>
      </c>
      <c r="AS238" s="48">
        <v>35.833710022703499</v>
      </c>
      <c r="AT238" s="52">
        <v>341.232733519048</v>
      </c>
      <c r="AU238" s="48">
        <v>72.1082318778369</v>
      </c>
      <c r="AV238" s="52">
        <v>10242.875656452799</v>
      </c>
      <c r="AW238" s="53">
        <v>1.8090082718137701</v>
      </c>
      <c r="AX238" s="64">
        <v>0.138306627896715</v>
      </c>
      <c r="AY238" s="64">
        <v>0</v>
      </c>
      <c r="AZ238" s="53">
        <v>3.0397684318254301</v>
      </c>
      <c r="BA238" s="64">
        <v>5.2973671945690502E-4</v>
      </c>
      <c r="BB238" s="48">
        <v>501.42140738802999</v>
      </c>
      <c r="BC238" s="52">
        <v>211.12166886651599</v>
      </c>
      <c r="BD238" s="52">
        <v>812.47252924301404</v>
      </c>
    </row>
    <row r="239" spans="1:56" s="40" customFormat="1" ht="12" customHeight="1">
      <c r="A239" s="47" t="s">
        <v>39</v>
      </c>
      <c r="B239" s="40" t="s">
        <v>349</v>
      </c>
      <c r="D239" s="49">
        <v>392.14681326390797</v>
      </c>
      <c r="E239" s="56">
        <v>164.17147277032001</v>
      </c>
      <c r="F239" s="56">
        <v>361.142039759363</v>
      </c>
      <c r="G239" s="122">
        <f t="shared" si="6"/>
        <v>0.45458975886526842</v>
      </c>
      <c r="H239" s="59">
        <v>0.58723668517447203</v>
      </c>
      <c r="I239" s="58">
        <v>0.36574998637161998</v>
      </c>
      <c r="J239" s="58">
        <v>5.48847186571127E-3</v>
      </c>
      <c r="K239" s="58">
        <v>37.432601631766701</v>
      </c>
      <c r="L239" s="58">
        <v>0.56913868077760899</v>
      </c>
      <c r="M239" s="58">
        <v>0.73941658346870398</v>
      </c>
      <c r="N239" s="58">
        <v>4.9344682102290399E-3</v>
      </c>
      <c r="O239" s="58">
        <v>0.43891768340191101</v>
      </c>
      <c r="P239" s="58">
        <v>0.18616231514458401</v>
      </c>
      <c r="Q239" s="58">
        <v>3.1459809993567402E-3</v>
      </c>
      <c r="R239" s="58">
        <v>1.6112733418762299</v>
      </c>
      <c r="S239" s="56">
        <v>3773.9250000000002</v>
      </c>
      <c r="T239" s="68">
        <v>23.614999999999998</v>
      </c>
      <c r="U239" s="56">
        <v>3705.0374170925502</v>
      </c>
      <c r="V239" s="68">
        <v>15.2461591254712</v>
      </c>
      <c r="W239" s="56">
        <v>3568.4110243017699</v>
      </c>
      <c r="X239" s="68">
        <v>18.388765841895101</v>
      </c>
      <c r="Y239" s="56">
        <v>3450.6953112403799</v>
      </c>
      <c r="Z239" s="68">
        <v>53.607576031940397</v>
      </c>
      <c r="AA239" s="71">
        <f t="shared" si="7"/>
        <v>0.96243146730422435</v>
      </c>
      <c r="AB239" s="49">
        <v>32.731290000000001</v>
      </c>
      <c r="AC239" s="56">
        <v>982.78120127710099</v>
      </c>
      <c r="AD239" s="59">
        <v>8.2319768033403395</v>
      </c>
      <c r="AE239" s="56">
        <v>867.44917528431495</v>
      </c>
      <c r="AF239" s="59">
        <v>1.7811637481335501</v>
      </c>
      <c r="AG239" s="59">
        <v>0.68808050840942303</v>
      </c>
      <c r="AH239" s="59">
        <v>1.1431861225928599</v>
      </c>
      <c r="AI239" s="49">
        <v>12.1964852411911</v>
      </c>
      <c r="AJ239" s="59">
        <v>0.64572934321763398</v>
      </c>
      <c r="AK239" s="59">
        <v>4.5284964679831701</v>
      </c>
      <c r="AL239" s="59">
        <v>4.0775397139450398</v>
      </c>
      <c r="AM239" s="59">
        <v>1.87800071778356</v>
      </c>
      <c r="AN239" s="49">
        <v>17.413639961067599</v>
      </c>
      <c r="AO239" s="59">
        <v>5.6259538589523199</v>
      </c>
      <c r="AP239" s="49">
        <v>68.340089299132799</v>
      </c>
      <c r="AQ239" s="49">
        <v>28.198154204285299</v>
      </c>
      <c r="AR239" s="56">
        <v>132.20888558760601</v>
      </c>
      <c r="AS239" s="49">
        <v>29.7194678744298</v>
      </c>
      <c r="AT239" s="56">
        <v>287.70427357373899</v>
      </c>
      <c r="AU239" s="49">
        <v>62.3883996503139</v>
      </c>
      <c r="AV239" s="56">
        <v>8471.6016957767606</v>
      </c>
      <c r="AW239" s="59">
        <v>0.70286973591774304</v>
      </c>
      <c r="AX239" s="72">
        <v>0.17403695507757699</v>
      </c>
      <c r="AY239" s="72">
        <v>0</v>
      </c>
      <c r="AZ239" s="59">
        <v>0.58723668517447203</v>
      </c>
      <c r="BA239" s="72">
        <v>2.1194311349747902E-3</v>
      </c>
      <c r="BB239" s="49">
        <v>392.14681326390797</v>
      </c>
      <c r="BC239" s="56">
        <v>164.17147277032001</v>
      </c>
      <c r="BD239" s="56">
        <v>361.142039759363</v>
      </c>
    </row>
    <row r="240" spans="1:56" s="40" customFormat="1" ht="12" customHeight="1">
      <c r="A240" s="47" t="s">
        <v>39</v>
      </c>
      <c r="B240" s="40" t="s">
        <v>350</v>
      </c>
      <c r="C240" s="40" t="s">
        <v>126</v>
      </c>
      <c r="D240" s="49">
        <v>393.124103799777</v>
      </c>
      <c r="E240" s="56">
        <v>123.91789653428</v>
      </c>
      <c r="F240" s="56">
        <v>602.68795483546501</v>
      </c>
      <c r="G240" s="122">
        <f t="shared" si="6"/>
        <v>0.20560871598655034</v>
      </c>
      <c r="H240" s="59">
        <v>3.1105893736508898</v>
      </c>
      <c r="I240" s="58">
        <v>0.312409471672837</v>
      </c>
      <c r="J240" s="58">
        <v>5.6233253025179597E-3</v>
      </c>
      <c r="K240" s="58">
        <v>20.7721409831566</v>
      </c>
      <c r="L240" s="58">
        <v>0.47609644553250402</v>
      </c>
      <c r="M240" s="58">
        <v>0.47852740930450099</v>
      </c>
      <c r="N240" s="58">
        <v>5.9894995472600304E-3</v>
      </c>
      <c r="O240" s="58">
        <v>0.54609731384475702</v>
      </c>
      <c r="P240" s="58">
        <v>0.18835739077349101</v>
      </c>
      <c r="Q240" s="58">
        <v>3.70777936223956E-3</v>
      </c>
      <c r="R240" s="58">
        <v>3.7899304085285701</v>
      </c>
      <c r="S240" s="56">
        <v>3533.03</v>
      </c>
      <c r="T240" s="68">
        <v>27.7025000000001</v>
      </c>
      <c r="U240" s="56">
        <v>3128.0207300455299</v>
      </c>
      <c r="V240" s="68">
        <v>22.305266911564502</v>
      </c>
      <c r="W240" s="56">
        <v>2520.8483399065699</v>
      </c>
      <c r="X240" s="68">
        <v>26.149813452085699</v>
      </c>
      <c r="Y240" s="56">
        <v>3488.0648748540402</v>
      </c>
      <c r="Z240" s="68">
        <v>63.063926644886003</v>
      </c>
      <c r="AA240" s="71">
        <f t="shared" si="7"/>
        <v>0.78502869065644365</v>
      </c>
      <c r="AB240" s="49">
        <v>32.731290000000001</v>
      </c>
      <c r="AC240" s="56">
        <v>516.29502626475698</v>
      </c>
      <c r="AD240" s="59">
        <v>7.1521632207118699</v>
      </c>
      <c r="AE240" s="56">
        <v>1041.44924203144</v>
      </c>
      <c r="AF240" s="59">
        <v>1.68733670381858</v>
      </c>
      <c r="AG240" s="59">
        <v>3.0460416883583998</v>
      </c>
      <c r="AH240" s="59">
        <v>0.76590995401952799</v>
      </c>
      <c r="AI240" s="49">
        <v>10.278137738628899</v>
      </c>
      <c r="AJ240" s="59">
        <v>0.57023418162593797</v>
      </c>
      <c r="AK240" s="59">
        <v>5.0736226718777804</v>
      </c>
      <c r="AL240" s="59">
        <v>5.5710738965819599</v>
      </c>
      <c r="AM240" s="59">
        <v>2.5024416519302002</v>
      </c>
      <c r="AN240" s="49">
        <v>27.723014694987</v>
      </c>
      <c r="AO240" s="59">
        <v>8.0388836841881108</v>
      </c>
      <c r="AP240" s="49">
        <v>89.836764628230895</v>
      </c>
      <c r="AQ240" s="49">
        <v>33.998940204527898</v>
      </c>
      <c r="AR240" s="56">
        <v>151.215019477552</v>
      </c>
      <c r="AS240" s="49">
        <v>32.817543124864599</v>
      </c>
      <c r="AT240" s="56">
        <v>314.63877100690598</v>
      </c>
      <c r="AU240" s="49">
        <v>63.676282499363602</v>
      </c>
      <c r="AV240" s="56">
        <v>9673.9370929906199</v>
      </c>
      <c r="AW240" s="59">
        <v>1.70756127068671</v>
      </c>
      <c r="AX240" s="72">
        <v>0.14193295862086</v>
      </c>
      <c r="AY240" s="72">
        <v>0</v>
      </c>
      <c r="AZ240" s="59">
        <v>3.1105893736508898</v>
      </c>
      <c r="BA240" s="72">
        <v>4.3582468120635598E-2</v>
      </c>
      <c r="BB240" s="49">
        <v>393.124103799777</v>
      </c>
      <c r="BC240" s="56">
        <v>123.91789653428</v>
      </c>
      <c r="BD240" s="56">
        <v>602.68795483546501</v>
      </c>
    </row>
    <row r="241" spans="1:56" s="40" customFormat="1" ht="12" customHeight="1">
      <c r="A241" s="47" t="s">
        <v>39</v>
      </c>
      <c r="B241" s="40" t="s">
        <v>351</v>
      </c>
      <c r="D241" s="49">
        <v>203.11180563429701</v>
      </c>
      <c r="E241" s="49">
        <v>70.036047121691098</v>
      </c>
      <c r="F241" s="56">
        <v>172.13336093195201</v>
      </c>
      <c r="G241" s="122">
        <f t="shared" si="6"/>
        <v>0.40687085142883977</v>
      </c>
      <c r="H241" s="59">
        <v>0.22994639551070101</v>
      </c>
      <c r="I241" s="58">
        <v>0.373429776553101</v>
      </c>
      <c r="J241" s="58">
        <v>9.1784446307378101E-3</v>
      </c>
      <c r="K241" s="58">
        <v>42.676972365488702</v>
      </c>
      <c r="L241" s="58">
        <v>1.07278289306453</v>
      </c>
      <c r="M241" s="58">
        <v>0.82660847006224503</v>
      </c>
      <c r="N241" s="58">
        <v>9.6130910774367799E-3</v>
      </c>
      <c r="O241" s="58">
        <v>0.46264190551864998</v>
      </c>
      <c r="P241" s="58">
        <v>0.22547109797066101</v>
      </c>
      <c r="Q241" s="58">
        <v>7.1841816838640301E-3</v>
      </c>
      <c r="R241" s="58">
        <v>1.9106631439164501</v>
      </c>
      <c r="S241" s="56">
        <v>3805.4050000000002</v>
      </c>
      <c r="T241" s="68">
        <v>37.349999999999902</v>
      </c>
      <c r="U241" s="56">
        <v>3834.9200538736</v>
      </c>
      <c r="V241" s="68">
        <v>25.075550691194302</v>
      </c>
      <c r="W241" s="56">
        <v>3883.7128272639202</v>
      </c>
      <c r="X241" s="68">
        <v>33.991004320136298</v>
      </c>
      <c r="Y241" s="56">
        <v>4109.6582079971004</v>
      </c>
      <c r="Z241" s="68">
        <v>118.491836558812</v>
      </c>
      <c r="AA241" s="71">
        <f t="shared" si="7"/>
        <v>0.98735714623516868</v>
      </c>
      <c r="AB241" s="49">
        <v>32.731290000000001</v>
      </c>
      <c r="AC241" s="56">
        <v>506.38001657682997</v>
      </c>
      <c r="AD241" s="59">
        <v>2.9213670047667999</v>
      </c>
      <c r="AE241" s="56">
        <v>662.49112525224302</v>
      </c>
      <c r="AF241" s="59">
        <v>0.48475177839773598</v>
      </c>
      <c r="AG241" s="59">
        <v>1.21228112688516E-2</v>
      </c>
      <c r="AH241" s="59">
        <v>2.9274021842046402E-3</v>
      </c>
      <c r="AI241" s="59">
        <v>3.82309226170984</v>
      </c>
      <c r="AJ241" s="72">
        <v>3.7005085262701999E-2</v>
      </c>
      <c r="AK241" s="59">
        <v>0.76090816640088099</v>
      </c>
      <c r="AL241" s="59">
        <v>2.1690101135872402</v>
      </c>
      <c r="AM241" s="59">
        <v>0.86132706212697496</v>
      </c>
      <c r="AN241" s="49">
        <v>13.793892625862499</v>
      </c>
      <c r="AO241" s="59">
        <v>4.5811614714391</v>
      </c>
      <c r="AP241" s="49">
        <v>53.7328927645204</v>
      </c>
      <c r="AQ241" s="49">
        <v>22.162761979494</v>
      </c>
      <c r="AR241" s="56">
        <v>101.734531723404</v>
      </c>
      <c r="AS241" s="49">
        <v>21.9984610900447</v>
      </c>
      <c r="AT241" s="56">
        <v>212.53829651490699</v>
      </c>
      <c r="AU241" s="49">
        <v>45.990289784045302</v>
      </c>
      <c r="AV241" s="56">
        <v>7620.8162299531195</v>
      </c>
      <c r="AW241" s="59">
        <v>0.21595354367691</v>
      </c>
      <c r="AX241" s="72">
        <v>7.6814592312081202E-3</v>
      </c>
      <c r="AY241" s="72">
        <v>0</v>
      </c>
      <c r="AZ241" s="59">
        <v>0.22994639551070101</v>
      </c>
      <c r="BA241" s="72">
        <v>9.0699174375430507E-3</v>
      </c>
      <c r="BB241" s="49">
        <v>203.11180563429701</v>
      </c>
      <c r="BC241" s="49">
        <v>70.036047121691098</v>
      </c>
      <c r="BD241" s="56">
        <v>172.13336093195201</v>
      </c>
    </row>
    <row r="242" spans="1:56" s="40" customFormat="1" ht="12" customHeight="1">
      <c r="A242" s="47" t="s">
        <v>39</v>
      </c>
      <c r="B242" s="40" t="s">
        <v>352</v>
      </c>
      <c r="D242" s="49">
        <v>250.26888440866</v>
      </c>
      <c r="E242" s="49">
        <v>75.752919014306798</v>
      </c>
      <c r="F242" s="56">
        <v>217.111422190806</v>
      </c>
      <c r="G242" s="122">
        <f t="shared" si="6"/>
        <v>0.34891263780554194</v>
      </c>
      <c r="H242" s="59">
        <v>0.16222656568091401</v>
      </c>
      <c r="I242" s="58">
        <v>0.37544079003560599</v>
      </c>
      <c r="J242" s="58">
        <v>8.4763324590539299E-3</v>
      </c>
      <c r="K242" s="58">
        <v>42.152587847651802</v>
      </c>
      <c r="L242" s="58">
        <v>0.97497256325844395</v>
      </c>
      <c r="M242" s="58">
        <v>0.81173115509672</v>
      </c>
      <c r="N242" s="58">
        <v>8.3652600372550508E-3</v>
      </c>
      <c r="O242" s="58">
        <v>0.44555269870632402</v>
      </c>
      <c r="P242" s="58">
        <v>0.207449126298453</v>
      </c>
      <c r="Q242" s="58">
        <v>5.4473259257730904E-3</v>
      </c>
      <c r="R242" s="58">
        <v>2.11221100076297</v>
      </c>
      <c r="S242" s="56">
        <v>3813.53</v>
      </c>
      <c r="T242" s="68">
        <v>34.132500000000199</v>
      </c>
      <c r="U242" s="56">
        <v>3822.6556216941399</v>
      </c>
      <c r="V242" s="68">
        <v>23.087960953983799</v>
      </c>
      <c r="W242" s="56">
        <v>3830.99324713022</v>
      </c>
      <c r="X242" s="68">
        <v>29.836668420731399</v>
      </c>
      <c r="Y242" s="56">
        <v>3810.2066544150498</v>
      </c>
      <c r="Z242" s="68">
        <v>91.186115731921305</v>
      </c>
      <c r="AA242" s="71">
        <f t="shared" si="7"/>
        <v>0.99782126784779956</v>
      </c>
      <c r="AB242" s="49">
        <v>32.731290000000001</v>
      </c>
      <c r="AC242" s="56">
        <v>490.76235641994401</v>
      </c>
      <c r="AD242" s="59">
        <v>4.2101231507071004</v>
      </c>
      <c r="AE242" s="56">
        <v>742.09535608383999</v>
      </c>
      <c r="AF242" s="59">
        <v>1.50817370721182</v>
      </c>
      <c r="AG242" s="59">
        <v>7.8237552353047599</v>
      </c>
      <c r="AH242" s="59">
        <v>4.4729239839586599E-2</v>
      </c>
      <c r="AI242" s="59">
        <v>5.0588453193919198</v>
      </c>
      <c r="AJ242" s="72">
        <v>8.1900849294658004E-2</v>
      </c>
      <c r="AK242" s="59">
        <v>1.7084885492808499</v>
      </c>
      <c r="AL242" s="59">
        <v>2.5188109205237299</v>
      </c>
      <c r="AM242" s="59">
        <v>0.97555357676402898</v>
      </c>
      <c r="AN242" s="49">
        <v>10.9374683087366</v>
      </c>
      <c r="AO242" s="59">
        <v>3.88156123993828</v>
      </c>
      <c r="AP242" s="49">
        <v>53.475321738642599</v>
      </c>
      <c r="AQ242" s="49">
        <v>23.7339063697918</v>
      </c>
      <c r="AR242" s="56">
        <v>117.688786135112</v>
      </c>
      <c r="AS242" s="49">
        <v>27.4035949477984</v>
      </c>
      <c r="AT242" s="56">
        <v>272.72396882384999</v>
      </c>
      <c r="AU242" s="49">
        <v>60.699196282808998</v>
      </c>
      <c r="AV242" s="56">
        <v>7578.6504206945501</v>
      </c>
      <c r="AW242" s="59">
        <v>0.63936903822394897</v>
      </c>
      <c r="AX242" s="72">
        <v>4.5037176506755101E-2</v>
      </c>
      <c r="AY242" s="72">
        <v>0</v>
      </c>
      <c r="AZ242" s="59">
        <v>0.16222656568091401</v>
      </c>
      <c r="BA242" s="72">
        <v>1.2874123674613601E-2</v>
      </c>
      <c r="BB242" s="49">
        <v>250.26888440866</v>
      </c>
      <c r="BC242" s="49">
        <v>75.752919014306798</v>
      </c>
      <c r="BD242" s="56">
        <v>217.111422190806</v>
      </c>
    </row>
    <row r="243" spans="1:56" s="40" customFormat="1" ht="12" customHeight="1">
      <c r="A243" s="47" t="s">
        <v>39</v>
      </c>
      <c r="B243" s="40" t="s">
        <v>353</v>
      </c>
      <c r="D243" s="49">
        <v>384.61349235788799</v>
      </c>
      <c r="E243" s="56">
        <v>132.354244456511</v>
      </c>
      <c r="F243" s="56">
        <v>325.90620855507302</v>
      </c>
      <c r="G243" s="122">
        <f t="shared" si="6"/>
        <v>0.40611145471365029</v>
      </c>
      <c r="H243" s="57">
        <v>0</v>
      </c>
      <c r="I243" s="58">
        <v>0.37750395791483798</v>
      </c>
      <c r="J243" s="58">
        <v>7.3772115946412397E-3</v>
      </c>
      <c r="K243" s="58">
        <v>42.190235730145602</v>
      </c>
      <c r="L243" s="58">
        <v>0.82458603744831505</v>
      </c>
      <c r="M243" s="58">
        <v>0.80834910088447998</v>
      </c>
      <c r="N243" s="58">
        <v>6.5195159301412097E-3</v>
      </c>
      <c r="O243" s="58">
        <v>0.41265999299983902</v>
      </c>
      <c r="P243" s="58">
        <v>0.212542284924887</v>
      </c>
      <c r="Q243" s="58">
        <v>4.5146443777755799E-3</v>
      </c>
      <c r="R243" s="58">
        <v>1.84366159131145</v>
      </c>
      <c r="S243" s="56">
        <v>3821.91</v>
      </c>
      <c r="T243" s="68">
        <v>29.5825</v>
      </c>
      <c r="U243" s="56">
        <v>3823.5410924886701</v>
      </c>
      <c r="V243" s="68">
        <v>19.559227310956999</v>
      </c>
      <c r="W243" s="56">
        <v>3818.9481392652601</v>
      </c>
      <c r="X243" s="68">
        <v>23.332125996731101</v>
      </c>
      <c r="Y243" s="56">
        <v>3895.2848385298998</v>
      </c>
      <c r="Z243" s="68">
        <v>75.255951429204003</v>
      </c>
      <c r="AA243" s="71">
        <f t="shared" si="7"/>
        <v>0.99879804783909243</v>
      </c>
      <c r="AB243" s="49">
        <v>32.731290000000001</v>
      </c>
      <c r="AC243" s="56">
        <v>626.13610619485803</v>
      </c>
      <c r="AD243" s="59">
        <v>3.9242867139389599</v>
      </c>
      <c r="AE243" s="56">
        <v>1025.7563480787501</v>
      </c>
      <c r="AF243" s="59">
        <v>1.70293552738387</v>
      </c>
      <c r="AG243" s="59">
        <v>0</v>
      </c>
      <c r="AH243" s="59">
        <v>0.28943584752961998</v>
      </c>
      <c r="AI243" s="59">
        <v>7.3908395554046598</v>
      </c>
      <c r="AJ243" s="59">
        <v>0.16784553298088301</v>
      </c>
      <c r="AK243" s="59">
        <v>1.51542326663807</v>
      </c>
      <c r="AL243" s="59">
        <v>1.9991120613068001</v>
      </c>
      <c r="AM243" s="59">
        <v>0.62796513865605197</v>
      </c>
      <c r="AN243" s="49">
        <v>13.968976178422199</v>
      </c>
      <c r="AO243" s="59">
        <v>5.4992015135419097</v>
      </c>
      <c r="AP243" s="49">
        <v>76.6299826801839</v>
      </c>
      <c r="AQ243" s="49">
        <v>33.3794299358144</v>
      </c>
      <c r="AR243" s="56">
        <v>163.658822357704</v>
      </c>
      <c r="AS243" s="49">
        <v>36.313573171466103</v>
      </c>
      <c r="AT243" s="56">
        <v>354.65054069622499</v>
      </c>
      <c r="AU243" s="49">
        <v>77.806138902379502</v>
      </c>
      <c r="AV243" s="56">
        <v>8084.6862655590503</v>
      </c>
      <c r="AW243" s="59">
        <v>0.735611160071034</v>
      </c>
      <c r="AX243" s="72">
        <v>4.4241190015576602E-2</v>
      </c>
      <c r="AY243" s="72">
        <v>0</v>
      </c>
      <c r="AZ243" s="57">
        <v>0</v>
      </c>
      <c r="BA243" s="72">
        <v>0</v>
      </c>
      <c r="BB243" s="49">
        <v>384.61349235788799</v>
      </c>
      <c r="BC243" s="56">
        <v>132.354244456511</v>
      </c>
      <c r="BD243" s="56">
        <v>325.90620855507302</v>
      </c>
    </row>
    <row r="244" spans="1:56" s="40" customFormat="1" ht="12" customHeight="1">
      <c r="A244" s="47" t="s">
        <v>39</v>
      </c>
      <c r="B244" s="40" t="s">
        <v>354</v>
      </c>
      <c r="D244" s="49">
        <v>235.859856846658</v>
      </c>
      <c r="E244" s="56">
        <v>103.802452158625</v>
      </c>
      <c r="F244" s="56">
        <v>215.073233775397</v>
      </c>
      <c r="G244" s="122">
        <f t="shared" si="6"/>
        <v>0.48263770594079075</v>
      </c>
      <c r="H244" s="59">
        <v>0.18699779338851599</v>
      </c>
      <c r="I244" s="58">
        <v>0.36953734294299301</v>
      </c>
      <c r="J244" s="58">
        <v>7.16997580591568E-3</v>
      </c>
      <c r="K244" s="58">
        <v>38.125881589653197</v>
      </c>
      <c r="L244" s="58">
        <v>0.75210343908944899</v>
      </c>
      <c r="M244" s="58">
        <v>0.74664550907984395</v>
      </c>
      <c r="N244" s="58">
        <v>7.0051031011047898E-3</v>
      </c>
      <c r="O244" s="58">
        <v>0.47560060076451099</v>
      </c>
      <c r="P244" s="58">
        <v>0.187418256319519</v>
      </c>
      <c r="Q244" s="58">
        <v>4.0419734781878096E-3</v>
      </c>
      <c r="R244" s="58">
        <v>1.5560137552211699</v>
      </c>
      <c r="S244" s="56">
        <v>3789.8150000000001</v>
      </c>
      <c r="T244" s="68">
        <v>30.27</v>
      </c>
      <c r="U244" s="56">
        <v>3723.1905175908601</v>
      </c>
      <c r="V244" s="68">
        <v>19.681876896451701</v>
      </c>
      <c r="W244" s="56">
        <v>3595.1464720016102</v>
      </c>
      <c r="X244" s="68">
        <v>25.9267998216236</v>
      </c>
      <c r="Y244" s="56">
        <v>3472.0852506060801</v>
      </c>
      <c r="Z244" s="68">
        <v>68.802454978035996</v>
      </c>
      <c r="AA244" s="71">
        <f t="shared" si="7"/>
        <v>0.96500733820502016</v>
      </c>
      <c r="AB244" s="49">
        <v>32.731290000000001</v>
      </c>
      <c r="AC244" s="56">
        <v>582.62305086182596</v>
      </c>
      <c r="AD244" s="59">
        <v>4.30622585318996</v>
      </c>
      <c r="AE244" s="56">
        <v>810.18130461819601</v>
      </c>
      <c r="AF244" s="59">
        <v>0.66411793647019202</v>
      </c>
      <c r="AG244" s="59">
        <v>0.218387133968094</v>
      </c>
      <c r="AH244" s="59">
        <v>0.44571198184285499</v>
      </c>
      <c r="AI244" s="59">
        <v>6.4440778164962902</v>
      </c>
      <c r="AJ244" s="59">
        <v>0.40754589265704699</v>
      </c>
      <c r="AK244" s="59">
        <v>5.37463695904201</v>
      </c>
      <c r="AL244" s="59">
        <v>4.9600858298638597</v>
      </c>
      <c r="AM244" s="59">
        <v>3.68257881146967</v>
      </c>
      <c r="AN244" s="49">
        <v>20.005523644272401</v>
      </c>
      <c r="AO244" s="59">
        <v>6.1472602779830803</v>
      </c>
      <c r="AP244" s="49">
        <v>70.677228127478898</v>
      </c>
      <c r="AQ244" s="49">
        <v>27.651382385261702</v>
      </c>
      <c r="AR244" s="56">
        <v>121.280734266434</v>
      </c>
      <c r="AS244" s="49">
        <v>26.3065376600698</v>
      </c>
      <c r="AT244" s="56">
        <v>246.10105406587999</v>
      </c>
      <c r="AU244" s="49">
        <v>52.732036554112902</v>
      </c>
      <c r="AV244" s="56">
        <v>7803.2662421324103</v>
      </c>
      <c r="AW244" s="59">
        <v>0.274301541368421</v>
      </c>
      <c r="AX244" s="72">
        <v>8.1003924100086805E-2</v>
      </c>
      <c r="AY244" s="72">
        <v>0</v>
      </c>
      <c r="AZ244" s="59">
        <v>0.18699779338851599</v>
      </c>
      <c r="BA244" s="72">
        <v>6.6965096545170497E-3</v>
      </c>
      <c r="BB244" s="49">
        <v>235.859856846658</v>
      </c>
      <c r="BC244" s="56">
        <v>103.802452158625</v>
      </c>
      <c r="BD244" s="56">
        <v>215.073233775397</v>
      </c>
    </row>
    <row r="245" spans="1:56" s="40" customFormat="1" ht="12" customHeight="1">
      <c r="A245" s="47" t="s">
        <v>39</v>
      </c>
      <c r="B245" s="40" t="s">
        <v>355</v>
      </c>
      <c r="D245" s="49">
        <v>205.08548844801999</v>
      </c>
      <c r="E245" s="49">
        <v>88.563231481222203</v>
      </c>
      <c r="F245" s="56">
        <v>178.59784811802101</v>
      </c>
      <c r="G245" s="122">
        <f t="shared" si="6"/>
        <v>0.49588073100801228</v>
      </c>
      <c r="H245" s="59">
        <v>0.179575545761402</v>
      </c>
      <c r="I245" s="58">
        <v>0.36816913211229602</v>
      </c>
      <c r="J245" s="58">
        <v>7.1047169510078502E-3</v>
      </c>
      <c r="K245" s="58">
        <v>41.133380000494199</v>
      </c>
      <c r="L245" s="58">
        <v>0.85728722452974904</v>
      </c>
      <c r="M245" s="58">
        <v>0.80763154439211904</v>
      </c>
      <c r="N245" s="58">
        <v>8.3841975024726793E-3</v>
      </c>
      <c r="O245" s="58">
        <v>0.49809969162664802</v>
      </c>
      <c r="P245" s="58">
        <v>0.205322666677487</v>
      </c>
      <c r="Q245" s="58">
        <v>4.5613496694497796E-3</v>
      </c>
      <c r="R245" s="58">
        <v>1.5365062955431601</v>
      </c>
      <c r="S245" s="56">
        <v>3783.9</v>
      </c>
      <c r="T245" s="68">
        <v>29.090000000000099</v>
      </c>
      <c r="U245" s="56">
        <v>3798.38584622095</v>
      </c>
      <c r="V245" s="68">
        <v>20.820813795604298</v>
      </c>
      <c r="W245" s="56">
        <v>3816.38968176046</v>
      </c>
      <c r="X245" s="68">
        <v>29.97084190875</v>
      </c>
      <c r="Y245" s="56">
        <v>3774.57916673305</v>
      </c>
      <c r="Z245" s="68">
        <v>76.489925786449106</v>
      </c>
      <c r="AA245" s="71">
        <f t="shared" si="7"/>
        <v>0.99527134175568199</v>
      </c>
      <c r="AB245" s="49">
        <v>32.731290000000001</v>
      </c>
      <c r="AC245" s="56">
        <v>448.87182621194</v>
      </c>
      <c r="AD245" s="59">
        <v>3.46751165052072</v>
      </c>
      <c r="AE245" s="56">
        <v>766.87333762418803</v>
      </c>
      <c r="AF245" s="59">
        <v>0.67271518359995597</v>
      </c>
      <c r="AG245" s="59">
        <v>0.120483477251477</v>
      </c>
      <c r="AH245" s="59">
        <v>0.302203595465248</v>
      </c>
      <c r="AI245" s="59">
        <v>8.3521848722665393</v>
      </c>
      <c r="AJ245" s="59">
        <v>0.57929022465458602</v>
      </c>
      <c r="AK245" s="59">
        <v>5.6755019497230697</v>
      </c>
      <c r="AL245" s="59">
        <v>4.1530093291267303</v>
      </c>
      <c r="AM245" s="59">
        <v>2.7962013494514499</v>
      </c>
      <c r="AN245" s="49">
        <v>17.8729371538032</v>
      </c>
      <c r="AO245" s="59">
        <v>5.8164842993477297</v>
      </c>
      <c r="AP245" s="49">
        <v>66.961572840304697</v>
      </c>
      <c r="AQ245" s="49">
        <v>25.801675626371399</v>
      </c>
      <c r="AR245" s="56">
        <v>116.08023984880801</v>
      </c>
      <c r="AS245" s="49">
        <v>24.870506479257799</v>
      </c>
      <c r="AT245" s="56">
        <v>236.97799654634801</v>
      </c>
      <c r="AU245" s="49">
        <v>50.730559743968598</v>
      </c>
      <c r="AV245" s="56">
        <v>7959.1584109793503</v>
      </c>
      <c r="AW245" s="59">
        <v>0.43643930828363497</v>
      </c>
      <c r="AX245" s="72">
        <v>3.5472404138553598E-2</v>
      </c>
      <c r="AY245" s="72">
        <v>0</v>
      </c>
      <c r="AZ245" s="59">
        <v>0.179575545761402</v>
      </c>
      <c r="BA245" s="72">
        <v>1.0769211368351201E-3</v>
      </c>
      <c r="BB245" s="49">
        <v>205.08548844801999</v>
      </c>
      <c r="BC245" s="49">
        <v>88.563231481222203</v>
      </c>
      <c r="BD245" s="56">
        <v>178.59784811802101</v>
      </c>
    </row>
    <row r="246" spans="1:56" s="40" customFormat="1" ht="12" customHeight="1">
      <c r="A246" s="47" t="s">
        <v>39</v>
      </c>
      <c r="B246" s="40" t="s">
        <v>356</v>
      </c>
      <c r="C246" s="40" t="s">
        <v>126</v>
      </c>
      <c r="D246" s="49">
        <v>276.20450055345498</v>
      </c>
      <c r="E246" s="49">
        <v>98.614929574270604</v>
      </c>
      <c r="F246" s="56">
        <v>464.39519881451702</v>
      </c>
      <c r="G246" s="122">
        <f t="shared" si="6"/>
        <v>0.21235131161133766</v>
      </c>
      <c r="H246" s="59">
        <v>7.3936151919528204</v>
      </c>
      <c r="I246" s="58">
        <v>0.31912815885008899</v>
      </c>
      <c r="J246" s="58">
        <v>6.1984428998652598E-3</v>
      </c>
      <c r="K246" s="58">
        <v>21.744739517281001</v>
      </c>
      <c r="L246" s="58">
        <v>0.95476074154652701</v>
      </c>
      <c r="M246" s="58">
        <v>0.48563704348257802</v>
      </c>
      <c r="N246" s="58">
        <v>1.7820202568119298E-2</v>
      </c>
      <c r="O246" s="58">
        <v>0.83571940513105902</v>
      </c>
      <c r="P246" s="58">
        <v>0.123684357871007</v>
      </c>
      <c r="Q246" s="58">
        <v>2.9593540349532399E-3</v>
      </c>
      <c r="R246" s="58">
        <v>3.60790873659617</v>
      </c>
      <c r="S246" s="56">
        <v>3565.7449999999999</v>
      </c>
      <c r="T246" s="68">
        <v>29.934999999999899</v>
      </c>
      <c r="U246" s="56">
        <v>3172.3956832508002</v>
      </c>
      <c r="V246" s="68">
        <v>42.677505025668701</v>
      </c>
      <c r="W246" s="56">
        <v>2551.7722209627</v>
      </c>
      <c r="X246" s="68">
        <v>77.336955270501406</v>
      </c>
      <c r="Y246" s="56">
        <v>2357.006399891</v>
      </c>
      <c r="Z246" s="68">
        <v>53.231264853488</v>
      </c>
      <c r="AA246" s="71">
        <f t="shared" si="7"/>
        <v>0.78315679320613019</v>
      </c>
      <c r="AB246" s="49">
        <v>32.731290000000001</v>
      </c>
      <c r="AC246" s="56">
        <v>679.09270151822602</v>
      </c>
      <c r="AD246" s="49">
        <v>30.697895759454202</v>
      </c>
      <c r="AE246" s="56">
        <v>790.87079927058596</v>
      </c>
      <c r="AF246" s="59">
        <v>2.4728903816415002</v>
      </c>
      <c r="AG246" s="59">
        <v>3.3307542093826901</v>
      </c>
      <c r="AH246" s="59">
        <v>11.8163877371064</v>
      </c>
      <c r="AI246" s="49">
        <v>77.327718897026003</v>
      </c>
      <c r="AJ246" s="49">
        <v>10.9493228829039</v>
      </c>
      <c r="AK246" s="56">
        <v>136.39106770516699</v>
      </c>
      <c r="AL246" s="49">
        <v>63.540031815768501</v>
      </c>
      <c r="AM246" s="49">
        <v>67.698869176689698</v>
      </c>
      <c r="AN246" s="49">
        <v>82.148367209790194</v>
      </c>
      <c r="AO246" s="49">
        <v>12.5688238696036</v>
      </c>
      <c r="AP246" s="49">
        <v>89.924866472561902</v>
      </c>
      <c r="AQ246" s="49">
        <v>26.0668089043577</v>
      </c>
      <c r="AR246" s="56">
        <v>103.850880229238</v>
      </c>
      <c r="AS246" s="49">
        <v>22.185182758640501</v>
      </c>
      <c r="AT246" s="56">
        <v>218.72249096781701</v>
      </c>
      <c r="AU246" s="49">
        <v>44.870391388183997</v>
      </c>
      <c r="AV246" s="56">
        <v>10753.396519276899</v>
      </c>
      <c r="AW246" s="59">
        <v>3.4067804112702</v>
      </c>
      <c r="AX246" s="72">
        <v>1.3003808096354801</v>
      </c>
      <c r="AY246" s="72">
        <v>0</v>
      </c>
      <c r="AZ246" s="59">
        <v>7.3936151919528204</v>
      </c>
      <c r="BA246" s="72">
        <v>4.8743496193916901E-2</v>
      </c>
      <c r="BB246" s="49">
        <v>276.20450055345498</v>
      </c>
      <c r="BC246" s="49">
        <v>98.614929574270604</v>
      </c>
      <c r="BD246" s="56">
        <v>464.39519881451702</v>
      </c>
    </row>
    <row r="247" spans="1:56" s="40" customFormat="1" ht="12" customHeight="1">
      <c r="A247" s="47" t="s">
        <v>39</v>
      </c>
      <c r="B247" s="40" t="s">
        <v>357</v>
      </c>
      <c r="C247" s="40" t="s">
        <v>126</v>
      </c>
      <c r="D247" s="49">
        <v>396.97696185610499</v>
      </c>
      <c r="E247" s="49">
        <v>66.983064233011604</v>
      </c>
      <c r="F247" s="56">
        <v>1498.1747043026401</v>
      </c>
      <c r="G247" s="122">
        <f t="shared" si="6"/>
        <v>4.4709781870326273E-2</v>
      </c>
      <c r="H247" s="59">
        <v>2.1027315092931702</v>
      </c>
      <c r="I247" s="58">
        <v>0.17384098727567501</v>
      </c>
      <c r="J247" s="58">
        <v>3.37181365910967E-3</v>
      </c>
      <c r="K247" s="58">
        <v>5.4160842588392599</v>
      </c>
      <c r="L247" s="58">
        <v>0.12217906994830199</v>
      </c>
      <c r="M247" s="58">
        <v>0.224938655019846</v>
      </c>
      <c r="N247" s="58">
        <v>2.5519219018845002E-3</v>
      </c>
      <c r="O247" s="58">
        <v>0.50291186568803803</v>
      </c>
      <c r="P247" s="58">
        <v>7.0379775433116007E-2</v>
      </c>
      <c r="Q247" s="58">
        <v>2.3184430558662499E-3</v>
      </c>
      <c r="R247" s="58">
        <v>17.204978902914799</v>
      </c>
      <c r="S247" s="56">
        <v>2594.7550000000001</v>
      </c>
      <c r="T247" s="68">
        <v>32.407499999999999</v>
      </c>
      <c r="U247" s="56">
        <v>1887.40214559586</v>
      </c>
      <c r="V247" s="68">
        <v>19.3781044191776</v>
      </c>
      <c r="W247" s="56">
        <v>1307.9179062559101</v>
      </c>
      <c r="X247" s="68">
        <v>13.4484112534153</v>
      </c>
      <c r="Y247" s="56">
        <v>1374.704715761</v>
      </c>
      <c r="Z247" s="68">
        <v>43.779695439764303</v>
      </c>
      <c r="AA247" s="71">
        <f t="shared" si="7"/>
        <v>0.63729189568717914</v>
      </c>
      <c r="AB247" s="49">
        <v>32.731290000000001</v>
      </c>
      <c r="AC247" s="56">
        <v>575.22727472453403</v>
      </c>
      <c r="AD247" s="59">
        <v>9.6035927237877505</v>
      </c>
      <c r="AE247" s="56">
        <v>866.04784688809298</v>
      </c>
      <c r="AF247" s="59">
        <v>2.8626811205045199</v>
      </c>
      <c r="AG247" s="59">
        <v>10.7826576590409</v>
      </c>
      <c r="AH247" s="59">
        <v>0.57112622597574703</v>
      </c>
      <c r="AI247" s="59">
        <v>9.2942072630275092</v>
      </c>
      <c r="AJ247" s="59">
        <v>1.0472223390375801</v>
      </c>
      <c r="AK247" s="59">
        <v>9.0415080750554306</v>
      </c>
      <c r="AL247" s="59">
        <v>2.9600986316855402</v>
      </c>
      <c r="AM247" s="59">
        <v>2.45837090837122</v>
      </c>
      <c r="AN247" s="49">
        <v>12.970084652493099</v>
      </c>
      <c r="AO247" s="59">
        <v>6.5643319665247999</v>
      </c>
      <c r="AP247" s="49">
        <v>78.860543449606197</v>
      </c>
      <c r="AQ247" s="49">
        <v>24.300696789046299</v>
      </c>
      <c r="AR247" s="49">
        <v>85.365004421934202</v>
      </c>
      <c r="AS247" s="49">
        <v>15.559028983520101</v>
      </c>
      <c r="AT247" s="56">
        <v>130.402598701426</v>
      </c>
      <c r="AU247" s="49">
        <v>23.720298813182001</v>
      </c>
      <c r="AV247" s="56">
        <v>17455.883245378202</v>
      </c>
      <c r="AW247" s="59">
        <v>3.5694417960539999</v>
      </c>
      <c r="AX247" s="72">
        <v>0.18786613434499799</v>
      </c>
      <c r="AY247" s="72">
        <v>0</v>
      </c>
      <c r="AZ247" s="59">
        <v>2.1027315092931702</v>
      </c>
      <c r="BA247" s="72">
        <v>4.9871965546228102E-2</v>
      </c>
      <c r="BB247" s="49">
        <v>396.97696185610499</v>
      </c>
      <c r="BC247" s="49">
        <v>66.983064233011604</v>
      </c>
      <c r="BD247" s="56">
        <v>1498.1747043026401</v>
      </c>
    </row>
    <row r="248" spans="1:56" s="41" customFormat="1" ht="12" customHeight="1">
      <c r="A248" s="47" t="s">
        <v>39</v>
      </c>
      <c r="B248" s="41" t="s">
        <v>358</v>
      </c>
      <c r="C248" s="41" t="s">
        <v>135</v>
      </c>
      <c r="D248" s="50">
        <v>93.613199191902495</v>
      </c>
      <c r="E248" s="50">
        <v>46.665442401035001</v>
      </c>
      <c r="F248" s="60">
        <v>103.24934913838401</v>
      </c>
      <c r="G248" s="122">
        <f t="shared" si="6"/>
        <v>0.45196839292894531</v>
      </c>
      <c r="H248" s="61">
        <v>0.49724505162383897</v>
      </c>
      <c r="I248" s="62">
        <v>0.27402780898593099</v>
      </c>
      <c r="J248" s="62">
        <v>4.5643079282489197E-3</v>
      </c>
      <c r="K248" s="62">
        <v>25.729572845087901</v>
      </c>
      <c r="L248" s="62">
        <v>0.49877965102448502</v>
      </c>
      <c r="M248" s="62">
        <v>0.67780219107512896</v>
      </c>
      <c r="N248" s="62">
        <v>7.4144763365628502E-3</v>
      </c>
      <c r="O248" s="62">
        <v>0.56428871395600699</v>
      </c>
      <c r="P248" s="62">
        <v>0.189879319596547</v>
      </c>
      <c r="Q248" s="62">
        <v>4.0433902961911202E-3</v>
      </c>
      <c r="R248" s="62">
        <v>1.6442576437259799</v>
      </c>
      <c r="S248" s="60">
        <v>3329.32</v>
      </c>
      <c r="T248" s="69">
        <v>26.232500000000101</v>
      </c>
      <c r="U248" s="60">
        <v>3336.3157330225699</v>
      </c>
      <c r="V248" s="69">
        <v>19.082609238001499</v>
      </c>
      <c r="W248" s="60">
        <v>3335.92082095552</v>
      </c>
      <c r="X248" s="69">
        <v>28.544633789924699</v>
      </c>
      <c r="Y248" s="60">
        <v>3513.9341056521698</v>
      </c>
      <c r="Z248" s="69">
        <v>68.6842159735275</v>
      </c>
      <c r="AA248" s="71">
        <f t="shared" si="7"/>
        <v>0.99988162527996272</v>
      </c>
      <c r="AB248" s="50">
        <v>32.731290000000001</v>
      </c>
      <c r="AC248" s="60">
        <v>539.97983672130397</v>
      </c>
      <c r="AD248" s="61">
        <v>4.1627489079336799</v>
      </c>
      <c r="AE248" s="60">
        <v>1070.21499520364</v>
      </c>
      <c r="AF248" s="61">
        <v>0.859574027500834</v>
      </c>
      <c r="AG248" s="61">
        <v>0.15848416849930999</v>
      </c>
      <c r="AH248" s="61">
        <v>0.31423480022150801</v>
      </c>
      <c r="AI248" s="61">
        <v>6.2562379969115698</v>
      </c>
      <c r="AJ248" s="61">
        <v>0.276110216153998</v>
      </c>
      <c r="AK248" s="61">
        <v>3.1623252270839299</v>
      </c>
      <c r="AL248" s="61">
        <v>5.4585681792250202</v>
      </c>
      <c r="AM248" s="61">
        <v>2.4789096715649399</v>
      </c>
      <c r="AN248" s="50">
        <v>28.055385972653699</v>
      </c>
      <c r="AO248" s="61">
        <v>8.7378172762337591</v>
      </c>
      <c r="AP248" s="50">
        <v>99.733538237107297</v>
      </c>
      <c r="AQ248" s="50">
        <v>37.745549706781198</v>
      </c>
      <c r="AR248" s="60">
        <v>162.49307858001899</v>
      </c>
      <c r="AS248" s="50">
        <v>34.397530965107002</v>
      </c>
      <c r="AT248" s="60">
        <v>318.580318829634</v>
      </c>
      <c r="AU248" s="50">
        <v>67.3010246716008</v>
      </c>
      <c r="AV248" s="60">
        <v>7846.8521865108996</v>
      </c>
      <c r="AW248" s="61">
        <v>0.38670216588538397</v>
      </c>
      <c r="AX248" s="65">
        <v>7.9629797670640906E-2</v>
      </c>
      <c r="AY248" s="65">
        <v>0</v>
      </c>
      <c r="AZ248" s="61">
        <v>0.49724505162383897</v>
      </c>
      <c r="BA248" s="65">
        <v>0</v>
      </c>
      <c r="BB248" s="50">
        <v>93.613199191902495</v>
      </c>
      <c r="BC248" s="50">
        <v>46.665442401035001</v>
      </c>
      <c r="BD248" s="60">
        <v>103.24934913838401</v>
      </c>
    </row>
    <row r="249" spans="1:56" s="41" customFormat="1" ht="12" customHeight="1">
      <c r="A249" s="47" t="s">
        <v>39</v>
      </c>
      <c r="B249" s="41" t="s">
        <v>359</v>
      </c>
      <c r="C249" s="41" t="s">
        <v>135</v>
      </c>
      <c r="D249" s="60">
        <v>583.21756294119496</v>
      </c>
      <c r="E249" s="60">
        <v>510.33289370572601</v>
      </c>
      <c r="F249" s="60">
        <v>839.28820682260903</v>
      </c>
      <c r="G249" s="122">
        <f t="shared" si="6"/>
        <v>0.60805440795808696</v>
      </c>
      <c r="H249" s="61">
        <v>0.47723415980974199</v>
      </c>
      <c r="I249" s="62">
        <v>0.24775243396527</v>
      </c>
      <c r="J249" s="62">
        <v>5.7246115864272099E-3</v>
      </c>
      <c r="K249" s="62">
        <v>17.216082016119898</v>
      </c>
      <c r="L249" s="62">
        <v>0.40386793076281402</v>
      </c>
      <c r="M249" s="62">
        <v>0.50231508439528105</v>
      </c>
      <c r="N249" s="62">
        <v>4.9666031928128603E-3</v>
      </c>
      <c r="O249" s="62">
        <v>0.42148118940177398</v>
      </c>
      <c r="P249" s="62">
        <v>0.134161082367586</v>
      </c>
      <c r="Q249" s="62">
        <v>3.4611869732599598E-3</v>
      </c>
      <c r="R249" s="62">
        <v>1.23437465054238</v>
      </c>
      <c r="S249" s="60">
        <v>3172.2249999999999</v>
      </c>
      <c r="T249" s="69">
        <v>31.0150000000001</v>
      </c>
      <c r="U249" s="60">
        <v>2946.9511409588699</v>
      </c>
      <c r="V249" s="69">
        <v>22.601026440808699</v>
      </c>
      <c r="W249" s="60">
        <v>2623.7376818910898</v>
      </c>
      <c r="X249" s="69">
        <v>21.358672515866498</v>
      </c>
      <c r="Y249" s="60">
        <v>2544.5829845559201</v>
      </c>
      <c r="Z249" s="69">
        <v>61.682862090717499</v>
      </c>
      <c r="AA249" s="71">
        <f t="shared" si="7"/>
        <v>0.88395924836367923</v>
      </c>
      <c r="AB249" s="50">
        <v>32.731290000000001</v>
      </c>
      <c r="AC249" s="60">
        <v>685.31369667934598</v>
      </c>
      <c r="AD249" s="61">
        <v>7.5505861383514299</v>
      </c>
      <c r="AE249" s="60">
        <v>2142.1873422428298</v>
      </c>
      <c r="AF249" s="61">
        <v>5.6459784852110797</v>
      </c>
      <c r="AG249" s="61">
        <v>0.76223927628766597</v>
      </c>
      <c r="AH249" s="61">
        <v>2.4681762637501801</v>
      </c>
      <c r="AI249" s="50">
        <v>26.818720458241199</v>
      </c>
      <c r="AJ249" s="61">
        <v>0.84601596710873805</v>
      </c>
      <c r="AK249" s="61">
        <v>5.9132765159327896</v>
      </c>
      <c r="AL249" s="61">
        <v>7.3403314539095401</v>
      </c>
      <c r="AM249" s="61">
        <v>0.36327627390603801</v>
      </c>
      <c r="AN249" s="50">
        <v>45.062580311128002</v>
      </c>
      <c r="AO249" s="50">
        <v>16.645077742591699</v>
      </c>
      <c r="AP249" s="60">
        <v>197.62097730581701</v>
      </c>
      <c r="AQ249" s="50">
        <v>78.307250929512193</v>
      </c>
      <c r="AR249" s="60">
        <v>338.14500476097197</v>
      </c>
      <c r="AS249" s="50">
        <v>67.8062277626926</v>
      </c>
      <c r="AT249" s="60">
        <v>577.689123265077</v>
      </c>
      <c r="AU249" s="60">
        <v>107.069550139241</v>
      </c>
      <c r="AV249" s="60">
        <v>9732.9989997499306</v>
      </c>
      <c r="AW249" s="61">
        <v>2.3344260165448598</v>
      </c>
      <c r="AX249" s="65">
        <v>0.103496991520239</v>
      </c>
      <c r="AY249" s="65">
        <v>0</v>
      </c>
      <c r="AZ249" s="61">
        <v>0.47723415980974199</v>
      </c>
      <c r="BA249" s="65">
        <v>4.7665148807615E-2</v>
      </c>
      <c r="BB249" s="60">
        <v>583.21756294119496</v>
      </c>
      <c r="BC249" s="60">
        <v>510.33289370572601</v>
      </c>
      <c r="BD249" s="60">
        <v>839.28820682260903</v>
      </c>
    </row>
    <row r="250" spans="1:56" s="41" customFormat="1" ht="12" customHeight="1">
      <c r="A250" s="47" t="s">
        <v>39</v>
      </c>
      <c r="B250" s="41" t="s">
        <v>360</v>
      </c>
      <c r="C250" s="41" t="s">
        <v>135</v>
      </c>
      <c r="D250" s="50">
        <v>311.55115033312501</v>
      </c>
      <c r="E250" s="60">
        <v>111.058173611097</v>
      </c>
      <c r="F250" s="60">
        <v>342.93887781258002</v>
      </c>
      <c r="G250" s="122">
        <f t="shared" si="6"/>
        <v>0.32384247105337399</v>
      </c>
      <c r="H250" s="61">
        <v>0.25682306132237898</v>
      </c>
      <c r="I250" s="62">
        <v>0.27790709518784101</v>
      </c>
      <c r="J250" s="62">
        <v>6.0947135898236403E-3</v>
      </c>
      <c r="K250" s="62">
        <v>25.977396277231499</v>
      </c>
      <c r="L250" s="62">
        <v>0.56518165878597804</v>
      </c>
      <c r="M250" s="62">
        <v>0.67618103076150804</v>
      </c>
      <c r="N250" s="62">
        <v>6.0798129540077803E-3</v>
      </c>
      <c r="O250" s="62">
        <v>0.41327087045671301</v>
      </c>
      <c r="P250" s="62">
        <v>0.18418595607082899</v>
      </c>
      <c r="Q250" s="62">
        <v>4.4777668479450304E-3</v>
      </c>
      <c r="R250" s="62">
        <v>2.3031777438527001</v>
      </c>
      <c r="S250" s="60">
        <v>3351.18</v>
      </c>
      <c r="T250" s="69">
        <v>34.262500000000003</v>
      </c>
      <c r="U250" s="60">
        <v>3345.6864907959098</v>
      </c>
      <c r="V250" s="69">
        <v>21.3937829487434</v>
      </c>
      <c r="W250" s="60">
        <v>3329.6890237401899</v>
      </c>
      <c r="X250" s="69">
        <v>23.451344577418102</v>
      </c>
      <c r="Y250" s="60">
        <v>3416.9900277277802</v>
      </c>
      <c r="Z250" s="69">
        <v>76.428575917897504</v>
      </c>
      <c r="AA250" s="71">
        <f t="shared" si="7"/>
        <v>0.99520702108191983</v>
      </c>
      <c r="AB250" s="50">
        <v>32.731290000000001</v>
      </c>
      <c r="AC250" s="60">
        <v>497.43308986544503</v>
      </c>
      <c r="AD250" s="61">
        <v>2.3872625872581499</v>
      </c>
      <c r="AE250" s="60">
        <v>821.73424061006904</v>
      </c>
      <c r="AF250" s="61">
        <v>1.7552102700832599</v>
      </c>
      <c r="AG250" s="61">
        <v>0.70801422243558298</v>
      </c>
      <c r="AH250" s="61">
        <v>0.53892936297763405</v>
      </c>
      <c r="AI250" s="61">
        <v>4.3440253009353604</v>
      </c>
      <c r="AJ250" s="61">
        <v>0.130638876689014</v>
      </c>
      <c r="AK250" s="61">
        <v>1.09343065708399</v>
      </c>
      <c r="AL250" s="61">
        <v>1.81557712028714</v>
      </c>
      <c r="AM250" s="61">
        <v>0.44462456310119203</v>
      </c>
      <c r="AN250" s="50">
        <v>11.418517043443099</v>
      </c>
      <c r="AO250" s="61">
        <v>4.6295107946710399</v>
      </c>
      <c r="AP250" s="50">
        <v>63.043281265556899</v>
      </c>
      <c r="AQ250" s="50">
        <v>26.787620760402501</v>
      </c>
      <c r="AR250" s="60">
        <v>128.87833240366001</v>
      </c>
      <c r="AS250" s="50">
        <v>28.9867367336104</v>
      </c>
      <c r="AT250" s="60">
        <v>277.14919476157399</v>
      </c>
      <c r="AU250" s="50">
        <v>60.449981395796001</v>
      </c>
      <c r="AV250" s="60">
        <v>9667.9025718971698</v>
      </c>
      <c r="AW250" s="61">
        <v>1.11752552696465</v>
      </c>
      <c r="AX250" s="65">
        <v>4.8423013740907801E-2</v>
      </c>
      <c r="AY250" s="65">
        <v>0</v>
      </c>
      <c r="AZ250" s="61">
        <v>0.25682306132237898</v>
      </c>
      <c r="BA250" s="65">
        <v>8.67205253051824E-3</v>
      </c>
      <c r="BB250" s="50">
        <v>311.55115033312501</v>
      </c>
      <c r="BC250" s="60">
        <v>111.058173611097</v>
      </c>
      <c r="BD250" s="60">
        <v>342.93887781258002</v>
      </c>
    </row>
    <row r="251" spans="1:56" s="41" customFormat="1" ht="12" customHeight="1">
      <c r="A251" s="47" t="s">
        <v>39</v>
      </c>
      <c r="B251" s="41" t="s">
        <v>361</v>
      </c>
      <c r="C251" s="41" t="s">
        <v>126</v>
      </c>
      <c r="D251" s="50">
        <v>390.45878002949303</v>
      </c>
      <c r="E251" s="50">
        <v>73.047041295755093</v>
      </c>
      <c r="F251" s="60">
        <v>496.13192591860599</v>
      </c>
      <c r="G251" s="122">
        <f t="shared" si="6"/>
        <v>0.14723309966498505</v>
      </c>
      <c r="H251" s="61">
        <v>1.97912916919985</v>
      </c>
      <c r="I251" s="62">
        <v>0.30032122052753901</v>
      </c>
      <c r="J251" s="62">
        <v>6.4900118255299703E-3</v>
      </c>
      <c r="K251" s="62">
        <v>25.3456732679083</v>
      </c>
      <c r="L251" s="62">
        <v>0.62965769737675303</v>
      </c>
      <c r="M251" s="62">
        <v>0.60894064588750196</v>
      </c>
      <c r="N251" s="62">
        <v>8.0113931503872395E-3</v>
      </c>
      <c r="O251" s="62">
        <v>0.52958100136507003</v>
      </c>
      <c r="P251" s="62">
        <v>0.17791963568615199</v>
      </c>
      <c r="Q251" s="62">
        <v>4.4718757109419296E-3</v>
      </c>
      <c r="R251" s="62">
        <v>7.1477665303920102</v>
      </c>
      <c r="S251" s="60">
        <v>3471.915</v>
      </c>
      <c r="T251" s="69">
        <v>33.642499999999899</v>
      </c>
      <c r="U251" s="60">
        <v>3321.6267037094699</v>
      </c>
      <c r="V251" s="69">
        <v>24.372393149057199</v>
      </c>
      <c r="W251" s="60">
        <v>3065.7597325327501</v>
      </c>
      <c r="X251" s="69">
        <v>32.141273817627102</v>
      </c>
      <c r="Y251" s="60">
        <v>3309.7496093530199</v>
      </c>
      <c r="Z251" s="69">
        <v>76.734074634204305</v>
      </c>
      <c r="AA251" s="71">
        <f t="shared" si="7"/>
        <v>0.91988367269438309</v>
      </c>
      <c r="AB251" s="50">
        <v>32.731290000000001</v>
      </c>
      <c r="AC251" s="60">
        <v>476.60700174308403</v>
      </c>
      <c r="AD251" s="50">
        <v>54.043231265400401</v>
      </c>
      <c r="AE251" s="60">
        <v>545.25866281239405</v>
      </c>
      <c r="AF251" s="61">
        <v>1.4538806637102899</v>
      </c>
      <c r="AG251" s="61">
        <v>1.2578687243235001</v>
      </c>
      <c r="AH251" s="61">
        <v>0.407007418543266</v>
      </c>
      <c r="AI251" s="61">
        <v>4.0237222711555303</v>
      </c>
      <c r="AJ251" s="61">
        <v>0.17161277854537199</v>
      </c>
      <c r="AK251" s="61">
        <v>1.60150684287239</v>
      </c>
      <c r="AL251" s="61">
        <v>2.5056879832133099</v>
      </c>
      <c r="AM251" s="61">
        <v>2.0303587298282402</v>
      </c>
      <c r="AN251" s="50">
        <v>11.560045005094</v>
      </c>
      <c r="AO251" s="61">
        <v>3.6308032856797898</v>
      </c>
      <c r="AP251" s="50">
        <v>42.5280240999668</v>
      </c>
      <c r="AQ251" s="50">
        <v>17.526113339467901</v>
      </c>
      <c r="AR251" s="50">
        <v>88.573084082782799</v>
      </c>
      <c r="AS251" s="50">
        <v>21.4111610128279</v>
      </c>
      <c r="AT251" s="60">
        <v>222.17986592548201</v>
      </c>
      <c r="AU251" s="50">
        <v>50.163833434924399</v>
      </c>
      <c r="AV251" s="60">
        <v>9799.3851530718803</v>
      </c>
      <c r="AW251" s="61">
        <v>1.5685348333761899</v>
      </c>
      <c r="AX251" s="65">
        <v>4.5176569229734703E-2</v>
      </c>
      <c r="AY251" s="65">
        <v>0</v>
      </c>
      <c r="AZ251" s="61">
        <v>1.97912916919985</v>
      </c>
      <c r="BA251" s="65">
        <v>4.1526017569293701E-2</v>
      </c>
      <c r="BB251" s="50">
        <v>390.45878002949303</v>
      </c>
      <c r="BC251" s="50">
        <v>73.047041295755093</v>
      </c>
      <c r="BD251" s="60">
        <v>496.13192591860599</v>
      </c>
    </row>
    <row r="252" spans="1:56" s="41" customFormat="1" ht="12" customHeight="1">
      <c r="A252" s="47" t="s">
        <v>39</v>
      </c>
      <c r="B252" s="41" t="s">
        <v>362</v>
      </c>
      <c r="C252" s="41" t="s">
        <v>126</v>
      </c>
      <c r="D252" s="50">
        <v>372.17360659688097</v>
      </c>
      <c r="E252" s="60">
        <v>449.03768097828703</v>
      </c>
      <c r="F252" s="60">
        <v>1420.7838002031599</v>
      </c>
      <c r="G252" s="122">
        <f t="shared" si="6"/>
        <v>0.31604926866007232</v>
      </c>
      <c r="H252" s="61">
        <v>2.8066317829854999</v>
      </c>
      <c r="I252" s="62">
        <v>0.21232123046610399</v>
      </c>
      <c r="J252" s="62">
        <v>4.3036577290248403E-3</v>
      </c>
      <c r="K252" s="62">
        <v>6.09567897475113</v>
      </c>
      <c r="L252" s="62">
        <v>0.13586837482351399</v>
      </c>
      <c r="M252" s="62">
        <v>0.20706523302963101</v>
      </c>
      <c r="N252" s="62">
        <v>1.85271986807355E-3</v>
      </c>
      <c r="O252" s="62">
        <v>0.40142672265285601</v>
      </c>
      <c r="P252" s="62">
        <v>4.2687795100846901E-2</v>
      </c>
      <c r="Q252" s="62">
        <v>1.11400573109133E-3</v>
      </c>
      <c r="R252" s="62">
        <v>2.7728353461016102</v>
      </c>
      <c r="S252" s="60">
        <v>2923.145</v>
      </c>
      <c r="T252" s="69">
        <v>38.117500000000099</v>
      </c>
      <c r="U252" s="60">
        <v>1989.6288812231501</v>
      </c>
      <c r="V252" s="69">
        <v>19.4896163868607</v>
      </c>
      <c r="W252" s="60">
        <v>1213.1634891026999</v>
      </c>
      <c r="X252" s="69">
        <v>9.9162400429830004</v>
      </c>
      <c r="Y252" s="60">
        <v>844.90748162039904</v>
      </c>
      <c r="Z252" s="69">
        <v>21.594707811385401</v>
      </c>
      <c r="AA252" s="71">
        <f t="shared" si="7"/>
        <v>0.51513223316349221</v>
      </c>
      <c r="AB252" s="50">
        <v>32.731290000000001</v>
      </c>
      <c r="AC252" s="60">
        <v>552.00763394830506</v>
      </c>
      <c r="AD252" s="50">
        <v>17.6323602442084</v>
      </c>
      <c r="AE252" s="60">
        <v>1624.7185178239399</v>
      </c>
      <c r="AF252" s="61">
        <v>5.6839151757832198</v>
      </c>
      <c r="AG252" s="61">
        <v>13.438260763317301</v>
      </c>
      <c r="AH252" s="61">
        <v>140.93976939992899</v>
      </c>
      <c r="AI252" s="50">
        <v>81.370834436090504</v>
      </c>
      <c r="AJ252" s="50">
        <v>11.4581927489356</v>
      </c>
      <c r="AK252" s="50">
        <v>38.302778454771897</v>
      </c>
      <c r="AL252" s="61">
        <v>8.0719679488762992</v>
      </c>
      <c r="AM252" s="61">
        <v>3.4194474609066901</v>
      </c>
      <c r="AN252" s="50">
        <v>34.714574500624302</v>
      </c>
      <c r="AO252" s="50">
        <v>12.6243072470689</v>
      </c>
      <c r="AP252" s="60">
        <v>152.37597041110399</v>
      </c>
      <c r="AQ252" s="50">
        <v>57.840456946290402</v>
      </c>
      <c r="AR252" s="60">
        <v>245.08600344597201</v>
      </c>
      <c r="AS252" s="50">
        <v>50.557602918522797</v>
      </c>
      <c r="AT252" s="60">
        <v>448.43761380855602</v>
      </c>
      <c r="AU252" s="50">
        <v>83.652582883103804</v>
      </c>
      <c r="AV252" s="60">
        <v>12401.1480766244</v>
      </c>
      <c r="AW252" s="61">
        <v>5.9762613093866603</v>
      </c>
      <c r="AX252" s="65">
        <v>0.68054993867638303</v>
      </c>
      <c r="AY252" s="65">
        <v>0</v>
      </c>
      <c r="AZ252" s="61">
        <v>2.8066317829854999</v>
      </c>
      <c r="BA252" s="65">
        <v>0.31840079540656602</v>
      </c>
      <c r="BB252" s="50">
        <v>372.17360659688097</v>
      </c>
      <c r="BC252" s="60">
        <v>449.03768097828703</v>
      </c>
      <c r="BD252" s="60">
        <v>1420.7838002031599</v>
      </c>
    </row>
    <row r="253" spans="1:56" s="41" customFormat="1" ht="12" customHeight="1">
      <c r="A253" s="47"/>
      <c r="D253" s="50"/>
      <c r="E253" s="50"/>
      <c r="F253" s="60"/>
      <c r="G253" s="122"/>
      <c r="H253" s="61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0"/>
      <c r="T253" s="69"/>
      <c r="U253" s="60"/>
      <c r="V253" s="69"/>
      <c r="W253" s="60"/>
      <c r="X253" s="69"/>
      <c r="Y253" s="60"/>
      <c r="Z253" s="69"/>
      <c r="AA253" s="71"/>
      <c r="AB253" s="50"/>
      <c r="AC253" s="60"/>
      <c r="AD253" s="61"/>
      <c r="AE253" s="60"/>
      <c r="AF253" s="61"/>
      <c r="AG253" s="61"/>
      <c r="AH253" s="61"/>
      <c r="AI253" s="61"/>
      <c r="AJ253" s="61"/>
      <c r="AK253" s="61"/>
      <c r="AL253" s="61"/>
      <c r="AM253" s="61"/>
      <c r="AN253" s="50"/>
      <c r="AO253" s="61"/>
      <c r="AP253" s="50"/>
      <c r="AQ253" s="50"/>
      <c r="AR253" s="50"/>
      <c r="AS253" s="50"/>
      <c r="AT253" s="60"/>
      <c r="AU253" s="50"/>
      <c r="AV253" s="60"/>
      <c r="AW253" s="61"/>
      <c r="AX253" s="65"/>
      <c r="AY253" s="65"/>
      <c r="AZ253" s="61"/>
      <c r="BA253" s="65"/>
      <c r="BB253" s="50"/>
      <c r="BC253" s="50"/>
      <c r="BD253" s="60"/>
    </row>
    <row r="254" spans="1:56" s="39" customFormat="1" ht="12" customHeight="1">
      <c r="A254" s="47" t="s">
        <v>41</v>
      </c>
      <c r="B254" s="39" t="s">
        <v>363</v>
      </c>
      <c r="D254" s="48">
        <v>255.251029243094</v>
      </c>
      <c r="E254" s="52">
        <v>224.49506273571899</v>
      </c>
      <c r="F254" s="52">
        <v>376.00589725094602</v>
      </c>
      <c r="G254" s="122">
        <f t="shared" si="6"/>
        <v>0.59705197279363731</v>
      </c>
      <c r="H254" s="53">
        <v>0.22071170180924601</v>
      </c>
      <c r="I254" s="54">
        <v>0.23065513230941001</v>
      </c>
      <c r="J254" s="54">
        <v>6.1130178363215703E-3</v>
      </c>
      <c r="K254" s="54">
        <v>15.7007338470346</v>
      </c>
      <c r="L254" s="54">
        <v>0.42388450626638002</v>
      </c>
      <c r="M254" s="54">
        <v>0.49195433967420998</v>
      </c>
      <c r="N254" s="54">
        <v>4.9710257578814499E-3</v>
      </c>
      <c r="O254" s="54">
        <v>0.37427741953753901</v>
      </c>
      <c r="P254" s="54">
        <v>0.127913635874284</v>
      </c>
      <c r="Q254" s="54">
        <v>3.65077046352082E-3</v>
      </c>
      <c r="R254" s="54">
        <v>1.2740477939036301</v>
      </c>
      <c r="S254" s="52">
        <v>3056.4850000000001</v>
      </c>
      <c r="T254" s="67">
        <v>42.594999999999999</v>
      </c>
      <c r="U254" s="52">
        <v>2858.7629196257799</v>
      </c>
      <c r="V254" s="67">
        <v>25.844843234505898</v>
      </c>
      <c r="W254" s="52">
        <v>2579.1258525560602</v>
      </c>
      <c r="X254" s="67">
        <v>21.5238407563672</v>
      </c>
      <c r="Y254" s="52">
        <v>2432.93756853888</v>
      </c>
      <c r="Z254" s="67">
        <v>65.421858634431999</v>
      </c>
      <c r="AA254" s="71">
        <f t="shared" si="7"/>
        <v>0.89715234026108215</v>
      </c>
      <c r="AB254" s="48">
        <v>32.731290000000001</v>
      </c>
      <c r="AC254" s="52">
        <v>604.82578493493702</v>
      </c>
      <c r="AD254" s="48">
        <v>14.2408929946863</v>
      </c>
      <c r="AE254" s="52">
        <v>535.70936011602498</v>
      </c>
      <c r="AF254" s="53">
        <v>0.98109390350832504</v>
      </c>
      <c r="AG254" s="53">
        <v>6.9384973057233896</v>
      </c>
      <c r="AH254" s="53">
        <v>0.164296147558332</v>
      </c>
      <c r="AI254" s="48">
        <v>19.105388732063801</v>
      </c>
      <c r="AJ254" s="53">
        <v>0.47540283286349</v>
      </c>
      <c r="AK254" s="48">
        <v>12.175962440123101</v>
      </c>
      <c r="AL254" s="48">
        <v>19.284045880598899</v>
      </c>
      <c r="AM254" s="48">
        <v>13.4891874727466</v>
      </c>
      <c r="AN254" s="48">
        <v>32.521307521468202</v>
      </c>
      <c r="AO254" s="53">
        <v>6.7875351528771199</v>
      </c>
      <c r="AP254" s="48">
        <v>58.5095018632231</v>
      </c>
      <c r="AQ254" s="48">
        <v>18.022887230711198</v>
      </c>
      <c r="AR254" s="48">
        <v>68.674206474960698</v>
      </c>
      <c r="AS254" s="48">
        <v>12.828536969606001</v>
      </c>
      <c r="AT254" s="52">
        <v>112.197236860245</v>
      </c>
      <c r="AU254" s="48">
        <v>22.4986520845802</v>
      </c>
      <c r="AV254" s="52">
        <v>7447.7776531817899</v>
      </c>
      <c r="AW254" s="53">
        <v>0.37390856557468599</v>
      </c>
      <c r="AX254" s="64">
        <v>0.16365897315502201</v>
      </c>
      <c r="AY254" s="64">
        <v>0</v>
      </c>
      <c r="AZ254" s="53">
        <v>0.22071170180924601</v>
      </c>
      <c r="BA254" s="64">
        <v>1.25356533630603E-2</v>
      </c>
      <c r="BB254" s="48">
        <v>255.251029243094</v>
      </c>
      <c r="BC254" s="52">
        <v>224.49506273571899</v>
      </c>
      <c r="BD254" s="52">
        <v>376.00589725094602</v>
      </c>
    </row>
    <row r="255" spans="1:56" s="39" customFormat="1" ht="12" customHeight="1">
      <c r="A255" s="47" t="s">
        <v>41</v>
      </c>
      <c r="B255" s="39" t="s">
        <v>364</v>
      </c>
      <c r="D255" s="48">
        <v>125.248796967831</v>
      </c>
      <c r="E255" s="52">
        <v>101.478273528202</v>
      </c>
      <c r="F255" s="52">
        <v>140.50440059755701</v>
      </c>
      <c r="G255" s="122">
        <f t="shared" si="6"/>
        <v>0.7222426706681131</v>
      </c>
      <c r="H255" s="55">
        <v>6.2300619115721002E-3</v>
      </c>
      <c r="I255" s="54">
        <v>0.23822645594751199</v>
      </c>
      <c r="J255" s="54">
        <v>5.4038341357185299E-3</v>
      </c>
      <c r="K255" s="54">
        <v>20.496876359154999</v>
      </c>
      <c r="L255" s="54">
        <v>0.432568313092487</v>
      </c>
      <c r="M255" s="54">
        <v>0.615207217818596</v>
      </c>
      <c r="N255" s="54">
        <v>9.0783002695973801E-3</v>
      </c>
      <c r="O255" s="54">
        <v>0.69922363454907799</v>
      </c>
      <c r="P255" s="54">
        <v>0.16460853813581999</v>
      </c>
      <c r="Q255" s="54">
        <v>3.3288559019522901E-3</v>
      </c>
      <c r="R255" s="54">
        <v>1.0422916756913301</v>
      </c>
      <c r="S255" s="52">
        <v>3108.335</v>
      </c>
      <c r="T255" s="67">
        <v>36.419999999999803</v>
      </c>
      <c r="U255" s="52">
        <v>3115.1014255550999</v>
      </c>
      <c r="V255" s="67">
        <v>20.541435286792101</v>
      </c>
      <c r="W255" s="52">
        <v>3090.8187377316999</v>
      </c>
      <c r="X255" s="67">
        <v>36.270605056837198</v>
      </c>
      <c r="Y255" s="52">
        <v>3080.0406626209501</v>
      </c>
      <c r="Z255" s="67">
        <v>57.773572485216697</v>
      </c>
      <c r="AA255" s="71">
        <f t="shared" si="7"/>
        <v>0.99217434733786869</v>
      </c>
      <c r="AB255" s="48">
        <v>32.731290000000001</v>
      </c>
      <c r="AC255" s="52">
        <v>586.76758264009698</v>
      </c>
      <c r="AD255" s="48">
        <v>15.139712339373901</v>
      </c>
      <c r="AE255" s="52">
        <v>504.45107792695097</v>
      </c>
      <c r="AF255" s="53">
        <v>0.86897277100203396</v>
      </c>
      <c r="AG255" s="53">
        <v>0.27503377716426403</v>
      </c>
      <c r="AH255" s="53">
        <v>2.7402274086936299E-2</v>
      </c>
      <c r="AI255" s="48">
        <v>19.798051823162599</v>
      </c>
      <c r="AJ255" s="53">
        <v>0.186591005399495</v>
      </c>
      <c r="AK255" s="53">
        <v>2.7428624840232101</v>
      </c>
      <c r="AL255" s="53">
        <v>4.48460465060041</v>
      </c>
      <c r="AM255" s="53">
        <v>2.5407785121712601</v>
      </c>
      <c r="AN255" s="48">
        <v>22.2995997454852</v>
      </c>
      <c r="AO255" s="53">
        <v>6.24572566614086</v>
      </c>
      <c r="AP255" s="48">
        <v>57.434673626907703</v>
      </c>
      <c r="AQ255" s="48">
        <v>16.741473560544399</v>
      </c>
      <c r="AR255" s="48">
        <v>56.9208151770654</v>
      </c>
      <c r="AS255" s="53">
        <v>9.5099164576617703</v>
      </c>
      <c r="AT255" s="48">
        <v>72.311998897084393</v>
      </c>
      <c r="AU255" s="48">
        <v>12.3232759547975</v>
      </c>
      <c r="AV255" s="52">
        <v>7421.8513751139899</v>
      </c>
      <c r="AW255" s="53">
        <v>0.19398049584166499</v>
      </c>
      <c r="AX255" s="64">
        <v>1.3330899180986001E-2</v>
      </c>
      <c r="AY255" s="64">
        <v>0</v>
      </c>
      <c r="AZ255" s="55">
        <v>6.2300619115721002E-3</v>
      </c>
      <c r="BA255" s="64">
        <v>1.2378462288651E-3</v>
      </c>
      <c r="BB255" s="48">
        <v>125.248796967831</v>
      </c>
      <c r="BC255" s="52">
        <v>101.478273528202</v>
      </c>
      <c r="BD255" s="52">
        <v>140.50440059755701</v>
      </c>
    </row>
    <row r="256" spans="1:56" s="39" customFormat="1" ht="12" customHeight="1">
      <c r="A256" s="47" t="s">
        <v>41</v>
      </c>
      <c r="B256" s="39" t="s">
        <v>365</v>
      </c>
      <c r="C256" s="39" t="s">
        <v>126</v>
      </c>
      <c r="D256" s="48">
        <v>293.01565419021699</v>
      </c>
      <c r="E256" s="52">
        <v>683.37825913703</v>
      </c>
      <c r="F256" s="52">
        <v>1040.28075291595</v>
      </c>
      <c r="G256" s="122">
        <f t="shared" si="6"/>
        <v>0.65691714205178986</v>
      </c>
      <c r="H256" s="48">
        <v>13.5367644298653</v>
      </c>
      <c r="I256" s="54">
        <v>0.174316841255751</v>
      </c>
      <c r="J256" s="54">
        <v>4.3069982667831696E-3</v>
      </c>
      <c r="K256" s="54">
        <v>4.8768986774889598</v>
      </c>
      <c r="L256" s="54">
        <v>0.119422557455694</v>
      </c>
      <c r="M256" s="54">
        <v>0.199084442568049</v>
      </c>
      <c r="N256" s="54">
        <v>3.3832879588087499E-3</v>
      </c>
      <c r="O256" s="54">
        <v>0.69399925614771996</v>
      </c>
      <c r="P256" s="54">
        <v>4.8267950736473199E-2</v>
      </c>
      <c r="Q256" s="54">
        <v>9.6405334909584E-4</v>
      </c>
      <c r="R256" s="54">
        <v>1.1387514258099001</v>
      </c>
      <c r="S256" s="52">
        <v>2599.69</v>
      </c>
      <c r="T256" s="67">
        <v>41.357499999999803</v>
      </c>
      <c r="U256" s="52">
        <v>1798.2730232686699</v>
      </c>
      <c r="V256" s="67">
        <v>20.669474121093099</v>
      </c>
      <c r="W256" s="52">
        <v>1170.40000684458</v>
      </c>
      <c r="X256" s="67">
        <v>18.1999175179749</v>
      </c>
      <c r="Y256" s="52">
        <v>952.78891162024297</v>
      </c>
      <c r="Z256" s="67">
        <v>18.588440547348998</v>
      </c>
      <c r="AA256" s="71">
        <f t="shared" si="7"/>
        <v>0.57700089564923385</v>
      </c>
      <c r="AB256" s="48">
        <v>32.731290000000001</v>
      </c>
      <c r="AC256" s="52">
        <v>631.16042380351496</v>
      </c>
      <c r="AD256" s="48">
        <v>30.691860024547299</v>
      </c>
      <c r="AE256" s="52">
        <v>1229.26570993728</v>
      </c>
      <c r="AF256" s="53">
        <v>6.1797224932535597</v>
      </c>
      <c r="AG256" s="53">
        <v>10.864758625921899</v>
      </c>
      <c r="AH256" s="53">
        <v>29.448871753085701</v>
      </c>
      <c r="AI256" s="52">
        <v>169.92907197744901</v>
      </c>
      <c r="AJ256" s="48">
        <v>22.120673407759401</v>
      </c>
      <c r="AK256" s="52">
        <v>207.73230175652</v>
      </c>
      <c r="AL256" s="52">
        <v>141.734205654726</v>
      </c>
      <c r="AM256" s="48">
        <v>90.488491399219399</v>
      </c>
      <c r="AN256" s="52">
        <v>145.84451133666801</v>
      </c>
      <c r="AO256" s="48">
        <v>22.642693662595299</v>
      </c>
      <c r="AP256" s="52">
        <v>162.71073466551101</v>
      </c>
      <c r="AQ256" s="48">
        <v>42.899312348436503</v>
      </c>
      <c r="AR256" s="52">
        <v>144.20705227267899</v>
      </c>
      <c r="AS256" s="48">
        <v>24.6030941638587</v>
      </c>
      <c r="AT256" s="52">
        <v>193.304708536269</v>
      </c>
      <c r="AU256" s="48">
        <v>33.808921009605697</v>
      </c>
      <c r="AV256" s="52">
        <v>9959.7610216706798</v>
      </c>
      <c r="AW256" s="53">
        <v>0.81988985105926504</v>
      </c>
      <c r="AX256" s="64">
        <v>4.4609134788900802</v>
      </c>
      <c r="AY256" s="64">
        <v>0</v>
      </c>
      <c r="AZ256" s="48">
        <v>13.5367644298653</v>
      </c>
      <c r="BA256" s="64">
        <v>0.101989514522667</v>
      </c>
      <c r="BB256" s="48">
        <v>293.01565419021699</v>
      </c>
      <c r="BC256" s="52">
        <v>683.37825913703</v>
      </c>
      <c r="BD256" s="52">
        <v>1040.28075291595</v>
      </c>
    </row>
    <row r="257" spans="1:56" s="39" customFormat="1" ht="12" customHeight="1">
      <c r="A257" s="47" t="s">
        <v>41</v>
      </c>
      <c r="B257" s="39" t="s">
        <v>366</v>
      </c>
      <c r="C257" s="39" t="s">
        <v>126</v>
      </c>
      <c r="D257" s="48">
        <v>300.95189767061999</v>
      </c>
      <c r="E257" s="52">
        <v>240.48582672266801</v>
      </c>
      <c r="F257" s="52">
        <v>446.42778485003998</v>
      </c>
      <c r="G257" s="122">
        <f t="shared" si="6"/>
        <v>0.53868920099462414</v>
      </c>
      <c r="H257" s="53">
        <v>1.7424424869341</v>
      </c>
      <c r="I257" s="54">
        <v>0.22410851821439101</v>
      </c>
      <c r="J257" s="54">
        <v>6.4445492438088602E-3</v>
      </c>
      <c r="K257" s="54">
        <v>15.4143822736582</v>
      </c>
      <c r="L257" s="54">
        <v>0.396789924025028</v>
      </c>
      <c r="M257" s="54">
        <v>0.48962983625461598</v>
      </c>
      <c r="N257" s="54">
        <v>1.0049810045167E-2</v>
      </c>
      <c r="O257" s="54">
        <v>0.79736187914872203</v>
      </c>
      <c r="P257" s="54">
        <v>0.12503316121414401</v>
      </c>
      <c r="Q257" s="54">
        <v>2.8735930068743299E-3</v>
      </c>
      <c r="R257" s="54">
        <v>1.3563540153279401</v>
      </c>
      <c r="S257" s="52">
        <v>3010.1849999999999</v>
      </c>
      <c r="T257" s="67">
        <v>46.3</v>
      </c>
      <c r="U257" s="52">
        <v>2841.2021307046298</v>
      </c>
      <c r="V257" s="67">
        <v>24.621087419171001</v>
      </c>
      <c r="W257" s="52">
        <v>2569.0743403650799</v>
      </c>
      <c r="X257" s="67">
        <v>43.512950916378898</v>
      </c>
      <c r="Y257" s="52">
        <v>2381.25339781204</v>
      </c>
      <c r="Z257" s="67">
        <v>51.626672155758698</v>
      </c>
      <c r="AA257" s="71">
        <f t="shared" si="7"/>
        <v>0.89940336994063252</v>
      </c>
      <c r="AB257" s="48">
        <v>32.731290000000001</v>
      </c>
      <c r="AC257" s="52">
        <v>984.05920130251695</v>
      </c>
      <c r="AD257" s="48">
        <v>22.216277341254099</v>
      </c>
      <c r="AE257" s="52">
        <v>817.32877226959499</v>
      </c>
      <c r="AF257" s="53">
        <v>1.4304356404382801</v>
      </c>
      <c r="AG257" s="53">
        <v>40.198550303178898</v>
      </c>
      <c r="AH257" s="53">
        <v>4.2689575656014602</v>
      </c>
      <c r="AI257" s="48">
        <v>41.6232671755062</v>
      </c>
      <c r="AJ257" s="53">
        <v>2.24835154410186</v>
      </c>
      <c r="AK257" s="48">
        <v>14.6127252070648</v>
      </c>
      <c r="AL257" s="48">
        <v>13.1347059481927</v>
      </c>
      <c r="AM257" s="53">
        <v>5.9578034015391399</v>
      </c>
      <c r="AN257" s="48">
        <v>43.799140922828698</v>
      </c>
      <c r="AO257" s="48">
        <v>11.058893938971099</v>
      </c>
      <c r="AP257" s="48">
        <v>98.153251573852998</v>
      </c>
      <c r="AQ257" s="48">
        <v>28.424208333275701</v>
      </c>
      <c r="AR257" s="48">
        <v>98.130144358657503</v>
      </c>
      <c r="AS257" s="48">
        <v>17.111977840389802</v>
      </c>
      <c r="AT257" s="52">
        <v>133.97333406204999</v>
      </c>
      <c r="AU257" s="48">
        <v>23.696918486437401</v>
      </c>
      <c r="AV257" s="52">
        <v>9357.1048710754403</v>
      </c>
      <c r="AW257" s="53">
        <v>0.40346457068132402</v>
      </c>
      <c r="AX257" s="64">
        <v>0.43355652766849401</v>
      </c>
      <c r="AY257" s="64">
        <v>0</v>
      </c>
      <c r="AZ257" s="53">
        <v>1.7424424869341</v>
      </c>
      <c r="BA257" s="64">
        <v>7.2109867380319395E-2</v>
      </c>
      <c r="BB257" s="48">
        <v>300.95189767061999</v>
      </c>
      <c r="BC257" s="52">
        <v>240.48582672266801</v>
      </c>
      <c r="BD257" s="52">
        <v>446.42778485003998</v>
      </c>
    </row>
    <row r="258" spans="1:56" s="39" customFormat="1" ht="12" customHeight="1">
      <c r="A258" s="47" t="s">
        <v>41</v>
      </c>
      <c r="B258" s="39" t="s">
        <v>367</v>
      </c>
      <c r="D258" s="48">
        <v>162.58479555191099</v>
      </c>
      <c r="E258" s="52">
        <v>182.28670814457399</v>
      </c>
      <c r="F258" s="52">
        <v>231.87628359721899</v>
      </c>
      <c r="G258" s="122">
        <f t="shared" si="6"/>
        <v>0.78613778570479143</v>
      </c>
      <c r="H258" s="53">
        <v>0.73323063394159405</v>
      </c>
      <c r="I258" s="54">
        <v>0.21760703058984401</v>
      </c>
      <c r="J258" s="54">
        <v>5.9602772789644496E-3</v>
      </c>
      <c r="K258" s="54">
        <v>14.6450238907591</v>
      </c>
      <c r="L258" s="54">
        <v>0.402404183023993</v>
      </c>
      <c r="M258" s="54">
        <v>0.47799187307781699</v>
      </c>
      <c r="N258" s="54">
        <v>1.05392488253814E-2</v>
      </c>
      <c r="O258" s="54">
        <v>0.80244771229621503</v>
      </c>
      <c r="P258" s="54">
        <v>0.141536821069494</v>
      </c>
      <c r="Q258" s="54">
        <v>3.2379754282707198E-3</v>
      </c>
      <c r="R258" s="54">
        <v>0.96829195104961496</v>
      </c>
      <c r="S258" s="52">
        <v>2964.81</v>
      </c>
      <c r="T258" s="67">
        <v>44.134999999999998</v>
      </c>
      <c r="U258" s="52">
        <v>2792.4586527629899</v>
      </c>
      <c r="V258" s="67">
        <v>26.1855118554858</v>
      </c>
      <c r="W258" s="52">
        <v>2518.51296642529</v>
      </c>
      <c r="X258" s="67">
        <v>45.988135950500897</v>
      </c>
      <c r="Y258" s="52">
        <v>2675.6026924338098</v>
      </c>
      <c r="Z258" s="67">
        <v>57.332096254756799</v>
      </c>
      <c r="AA258" s="71">
        <f t="shared" si="7"/>
        <v>0.89683782705674886</v>
      </c>
      <c r="AB258" s="48">
        <v>32.731290000000001</v>
      </c>
      <c r="AC258" s="52">
        <v>636.449599595314</v>
      </c>
      <c r="AD258" s="48">
        <v>15.041443094157501</v>
      </c>
      <c r="AE258" s="52">
        <v>660.71168241788098</v>
      </c>
      <c r="AF258" s="53">
        <v>0.94747303041104403</v>
      </c>
      <c r="AG258" s="53">
        <v>5.3549207312413003</v>
      </c>
      <c r="AH258" s="53">
        <v>1.00074721996474</v>
      </c>
      <c r="AI258" s="48">
        <v>42.903944676215403</v>
      </c>
      <c r="AJ258" s="53">
        <v>1.1446710402821301</v>
      </c>
      <c r="AK258" s="48">
        <v>11.068946148226701</v>
      </c>
      <c r="AL258" s="48">
        <v>11.2652035994602</v>
      </c>
      <c r="AM258" s="53">
        <v>5.9683464022181498</v>
      </c>
      <c r="AN258" s="48">
        <v>37.414958473939997</v>
      </c>
      <c r="AO258" s="53">
        <v>8.8475127902538695</v>
      </c>
      <c r="AP258" s="48">
        <v>75.661972188434902</v>
      </c>
      <c r="AQ258" s="48">
        <v>23.044973969374599</v>
      </c>
      <c r="AR258" s="48">
        <v>82.566647659465701</v>
      </c>
      <c r="AS258" s="48">
        <v>15.371940854435</v>
      </c>
      <c r="AT258" s="52">
        <v>127.495955093128</v>
      </c>
      <c r="AU258" s="48">
        <v>23.930400654602</v>
      </c>
      <c r="AV258" s="52">
        <v>7827.4202692895096</v>
      </c>
      <c r="AW258" s="53">
        <v>0.27549519777048598</v>
      </c>
      <c r="AX258" s="64">
        <v>9.6959285864645306E-2</v>
      </c>
      <c r="AY258" s="64">
        <v>0</v>
      </c>
      <c r="AZ258" s="53">
        <v>0.73323063394159405</v>
      </c>
      <c r="BA258" s="64">
        <v>2.1938476484791601E-2</v>
      </c>
      <c r="BB258" s="48">
        <v>162.58479555191099</v>
      </c>
      <c r="BC258" s="52">
        <v>182.28670814457399</v>
      </c>
      <c r="BD258" s="52">
        <v>231.87628359721899</v>
      </c>
    </row>
    <row r="259" spans="1:56" s="39" customFormat="1" ht="12" customHeight="1">
      <c r="A259" s="47" t="s">
        <v>41</v>
      </c>
      <c r="B259" s="39" t="s">
        <v>368</v>
      </c>
      <c r="C259" s="39" t="s">
        <v>126</v>
      </c>
      <c r="D259" s="48">
        <v>302.97587043862802</v>
      </c>
      <c r="E259" s="52">
        <v>836.84210536216995</v>
      </c>
      <c r="F259" s="52">
        <v>1195.5226181281801</v>
      </c>
      <c r="G259" s="122">
        <f t="shared" si="6"/>
        <v>0.69998015317552653</v>
      </c>
      <c r="H259" s="48">
        <v>28.606290357707898</v>
      </c>
      <c r="I259" s="54">
        <v>0.157637810355052</v>
      </c>
      <c r="J259" s="54">
        <v>3.8936188302526901E-3</v>
      </c>
      <c r="K259" s="54">
        <v>3.7924572079815699</v>
      </c>
      <c r="L259" s="54">
        <v>9.1666584154037903E-2</v>
      </c>
      <c r="M259" s="54">
        <v>0.17132909446551201</v>
      </c>
      <c r="N259" s="54">
        <v>2.98651613002592E-3</v>
      </c>
      <c r="O259" s="54">
        <v>0.72117952165268995</v>
      </c>
      <c r="P259" s="54">
        <v>4.1074833055423997E-2</v>
      </c>
      <c r="Q259" s="54">
        <v>1.2437042365897101E-3</v>
      </c>
      <c r="R259" s="54">
        <v>1.02896877087662</v>
      </c>
      <c r="S259" s="52">
        <v>2431.48</v>
      </c>
      <c r="T259" s="67">
        <v>41.972499999999897</v>
      </c>
      <c r="U259" s="52">
        <v>1591.1491769736199</v>
      </c>
      <c r="V259" s="67">
        <v>19.451613103922199</v>
      </c>
      <c r="W259" s="52">
        <v>1019.43002256459</v>
      </c>
      <c r="X259" s="67">
        <v>16.4455191070263</v>
      </c>
      <c r="Y259" s="52">
        <v>813.61642828209301</v>
      </c>
      <c r="Z259" s="67">
        <v>24.1462316555664</v>
      </c>
      <c r="AA259" s="71">
        <f t="shared" si="7"/>
        <v>0.56199823049983522</v>
      </c>
      <c r="AB259" s="48">
        <v>32.731290000000001</v>
      </c>
      <c r="AC259" s="52">
        <v>900.72932315860999</v>
      </c>
      <c r="AD259" s="48">
        <v>58.863011174413799</v>
      </c>
      <c r="AE259" s="52">
        <v>1324.16902007925</v>
      </c>
      <c r="AF259" s="53">
        <v>4.4582866676478501</v>
      </c>
      <c r="AG259" s="53">
        <v>75.984112668912402</v>
      </c>
      <c r="AH259" s="53">
        <v>54.993664037879597</v>
      </c>
      <c r="AI259" s="52">
        <v>341.860276041693</v>
      </c>
      <c r="AJ259" s="48">
        <v>53.627137382245998</v>
      </c>
      <c r="AK259" s="52">
        <v>406.73314020057398</v>
      </c>
      <c r="AL259" s="52">
        <v>258.88077468674902</v>
      </c>
      <c r="AM259" s="52">
        <v>189.372744988557</v>
      </c>
      <c r="AN259" s="52">
        <v>311.30911077910503</v>
      </c>
      <c r="AO259" s="48">
        <v>40.854702953817601</v>
      </c>
      <c r="AP259" s="52">
        <v>231.11539127118101</v>
      </c>
      <c r="AQ259" s="48">
        <v>48.312175246606998</v>
      </c>
      <c r="AR259" s="52">
        <v>140.996999267495</v>
      </c>
      <c r="AS259" s="48">
        <v>22.529128407502601</v>
      </c>
      <c r="AT259" s="52">
        <v>170.60458541783001</v>
      </c>
      <c r="AU259" s="48">
        <v>29.380778632331101</v>
      </c>
      <c r="AV259" s="52">
        <v>10050.3424000136</v>
      </c>
      <c r="AW259" s="53">
        <v>0.76843399446310301</v>
      </c>
      <c r="AX259" s="64">
        <v>2.9954121248446199</v>
      </c>
      <c r="AY259" s="64">
        <v>0</v>
      </c>
      <c r="AZ259" s="48">
        <v>28.606290357707898</v>
      </c>
      <c r="BA259" s="64">
        <v>0.29341045059536403</v>
      </c>
      <c r="BB259" s="48">
        <v>302.97587043862802</v>
      </c>
      <c r="BC259" s="52">
        <v>836.84210536216995</v>
      </c>
      <c r="BD259" s="52">
        <v>1195.5226181281801</v>
      </c>
    </row>
    <row r="260" spans="1:56" s="39" customFormat="1" ht="12" customHeight="1">
      <c r="A260" s="47" t="s">
        <v>41</v>
      </c>
      <c r="B260" s="39" t="s">
        <v>369</v>
      </c>
      <c r="C260" s="39" t="s">
        <v>126</v>
      </c>
      <c r="D260" s="48">
        <v>278.70194698720798</v>
      </c>
      <c r="E260" s="52">
        <v>898.99183054330103</v>
      </c>
      <c r="F260" s="52">
        <v>1190.2337428824601</v>
      </c>
      <c r="G260" s="122">
        <f t="shared" ref="G260:G323" si="8">E260/F260</f>
        <v>0.7553069604346444</v>
      </c>
      <c r="H260" s="48">
        <v>14.369573022864399</v>
      </c>
      <c r="I260" s="54">
        <v>0.16086748920051699</v>
      </c>
      <c r="J260" s="54">
        <v>3.4339771091009301E-3</v>
      </c>
      <c r="K260" s="54">
        <v>3.72997192190393</v>
      </c>
      <c r="L260" s="54">
        <v>9.2069388086175999E-2</v>
      </c>
      <c r="M260" s="54">
        <v>0.16551168922767601</v>
      </c>
      <c r="N260" s="54">
        <v>3.0134187031370602E-3</v>
      </c>
      <c r="O260" s="54">
        <v>0.73760035001826296</v>
      </c>
      <c r="P260" s="54">
        <v>3.8646449651729302E-2</v>
      </c>
      <c r="Q260" s="54">
        <v>7.3906111099722503E-4</v>
      </c>
      <c r="R260" s="54">
        <v>0.97457351795665403</v>
      </c>
      <c r="S260" s="52">
        <v>2464.5</v>
      </c>
      <c r="T260" s="67">
        <v>36.882499999999901</v>
      </c>
      <c r="U260" s="52">
        <v>1577.8232891442301</v>
      </c>
      <c r="V260" s="67">
        <v>19.7936355253334</v>
      </c>
      <c r="W260" s="52">
        <v>987.33414221277201</v>
      </c>
      <c r="X260" s="67">
        <v>16.675664150750201</v>
      </c>
      <c r="Y260" s="52">
        <v>766.41485112016699</v>
      </c>
      <c r="Z260" s="67">
        <v>14.3822491095966</v>
      </c>
      <c r="AA260" s="71">
        <f t="shared" ref="AA260:AA324" si="9">1-2*ABS(U260-W260)/(U260+W260)</f>
        <v>0.53960786990053744</v>
      </c>
      <c r="AB260" s="48">
        <v>32.731290000000001</v>
      </c>
      <c r="AC260" s="52">
        <v>558.06249747331594</v>
      </c>
      <c r="AD260" s="48">
        <v>46.732414549346501</v>
      </c>
      <c r="AE260" s="52">
        <v>1538.77230728892</v>
      </c>
      <c r="AF260" s="53">
        <v>4.1054732677330801</v>
      </c>
      <c r="AG260" s="53">
        <v>103.840878900318</v>
      </c>
      <c r="AH260" s="53">
        <v>54.998154969786299</v>
      </c>
      <c r="AI260" s="52">
        <v>289.99226679338602</v>
      </c>
      <c r="AJ260" s="48">
        <v>41.4736826608708</v>
      </c>
      <c r="AK260" s="52">
        <v>298.54791318160198</v>
      </c>
      <c r="AL260" s="52">
        <v>221.51411352461599</v>
      </c>
      <c r="AM260" s="52">
        <v>135.14707410804101</v>
      </c>
      <c r="AN260" s="52">
        <v>302.32640064887801</v>
      </c>
      <c r="AO260" s="48">
        <v>38.722649931337102</v>
      </c>
      <c r="AP260" s="52">
        <v>233.01350811523801</v>
      </c>
      <c r="AQ260" s="48">
        <v>53.9624139524025</v>
      </c>
      <c r="AR260" s="52">
        <v>160.604922467308</v>
      </c>
      <c r="AS260" s="48">
        <v>24.801248735376099</v>
      </c>
      <c r="AT260" s="52">
        <v>184.320918951751</v>
      </c>
      <c r="AU260" s="48">
        <v>29.721340313382498</v>
      </c>
      <c r="AV260" s="52">
        <v>10810.1696110499</v>
      </c>
      <c r="AW260" s="53">
        <v>0.75825158408933602</v>
      </c>
      <c r="AX260" s="64">
        <v>2.1467620468530901</v>
      </c>
      <c r="AY260" s="64">
        <v>0</v>
      </c>
      <c r="AZ260" s="48">
        <v>14.369573022864399</v>
      </c>
      <c r="BA260" s="64">
        <v>0.21841922166851499</v>
      </c>
      <c r="BB260" s="48">
        <v>278.70194698720798</v>
      </c>
      <c r="BC260" s="52">
        <v>898.99183054330103</v>
      </c>
      <c r="BD260" s="52">
        <v>1190.2337428824601</v>
      </c>
    </row>
    <row r="261" spans="1:56" s="39" customFormat="1" ht="12" customHeight="1">
      <c r="A261" s="47" t="s">
        <v>41</v>
      </c>
      <c r="B261" s="39" t="s">
        <v>370</v>
      </c>
      <c r="C261" s="39" t="s">
        <v>126</v>
      </c>
      <c r="D261" s="48">
        <v>390.30768751327099</v>
      </c>
      <c r="E261" s="52">
        <v>312.61874657760399</v>
      </c>
      <c r="F261" s="52">
        <v>714.84237806873102</v>
      </c>
      <c r="G261" s="122">
        <f t="shared" si="8"/>
        <v>0.43732542469319879</v>
      </c>
      <c r="H261" s="48">
        <v>21.4557629532523</v>
      </c>
      <c r="I261" s="54">
        <v>0.211223770744079</v>
      </c>
      <c r="J261" s="54">
        <v>4.8893145933917798E-3</v>
      </c>
      <c r="K261" s="54">
        <v>12.034923149092201</v>
      </c>
      <c r="L261" s="54">
        <v>0.41357677594019199</v>
      </c>
      <c r="M261" s="54">
        <v>0.40773226404509899</v>
      </c>
      <c r="N261" s="54">
        <v>9.3986376307798603E-3</v>
      </c>
      <c r="O261" s="54">
        <v>0.67077521135343599</v>
      </c>
      <c r="P261" s="54">
        <v>8.1183948362943598E-2</v>
      </c>
      <c r="Q261" s="54">
        <v>7.5439826205047703E-3</v>
      </c>
      <c r="R261" s="54">
        <v>3.5362107736730799</v>
      </c>
      <c r="S261" s="52">
        <v>2916.665</v>
      </c>
      <c r="T261" s="67">
        <v>38.427499999999803</v>
      </c>
      <c r="U261" s="52">
        <v>2607.1301737654699</v>
      </c>
      <c r="V261" s="67">
        <v>32.265184739542001</v>
      </c>
      <c r="W261" s="52">
        <v>2204.5452781778899</v>
      </c>
      <c r="X261" s="67">
        <v>43.055547410083697</v>
      </c>
      <c r="Y261" s="52">
        <v>1577.6996296866701</v>
      </c>
      <c r="Z261" s="67">
        <v>141.03122783909799</v>
      </c>
      <c r="AA261" s="71">
        <f t="shared" si="9"/>
        <v>0.83266332087091111</v>
      </c>
      <c r="AB261" s="48">
        <v>32.731290000000001</v>
      </c>
      <c r="AC261" s="52">
        <v>876.86250515803295</v>
      </c>
      <c r="AD261" s="48">
        <v>26.3842035958425</v>
      </c>
      <c r="AE261" s="52">
        <v>832.90580765269794</v>
      </c>
      <c r="AF261" s="53">
        <v>1.76583630293517</v>
      </c>
      <c r="AG261" s="53">
        <v>78.198670912888304</v>
      </c>
      <c r="AH261" s="53">
        <v>8.1783952175653898</v>
      </c>
      <c r="AI261" s="48">
        <v>67.411287695231593</v>
      </c>
      <c r="AJ261" s="53">
        <v>5.1506080347280303</v>
      </c>
      <c r="AK261" s="48">
        <v>42.449830632935402</v>
      </c>
      <c r="AL261" s="48">
        <v>18.983808058099601</v>
      </c>
      <c r="AM261" s="48">
        <v>14.466994282434401</v>
      </c>
      <c r="AN261" s="48">
        <v>42.562584313865699</v>
      </c>
      <c r="AO261" s="48">
        <v>10.11032013989</v>
      </c>
      <c r="AP261" s="48">
        <v>93.336657721020401</v>
      </c>
      <c r="AQ261" s="48">
        <v>28.988519324385202</v>
      </c>
      <c r="AR261" s="52">
        <v>108.300942733764</v>
      </c>
      <c r="AS261" s="48">
        <v>19.845968283813502</v>
      </c>
      <c r="AT261" s="52">
        <v>172.59235919709701</v>
      </c>
      <c r="AU261" s="48">
        <v>33.611469874232299</v>
      </c>
      <c r="AV261" s="52">
        <v>9254.8755731961392</v>
      </c>
      <c r="AW261" s="53">
        <v>0.37124819421531002</v>
      </c>
      <c r="AX261" s="64">
        <v>0.29331984760096902</v>
      </c>
      <c r="AY261" s="64">
        <v>0</v>
      </c>
      <c r="AZ261" s="48">
        <v>21.4557629532523</v>
      </c>
      <c r="BA261" s="64">
        <v>4.9249447673350898E-2</v>
      </c>
      <c r="BB261" s="48">
        <v>390.30768751327099</v>
      </c>
      <c r="BC261" s="52">
        <v>312.61874657760399</v>
      </c>
      <c r="BD261" s="52">
        <v>714.84237806873102</v>
      </c>
    </row>
    <row r="262" spans="1:56" s="39" customFormat="1" ht="12" customHeight="1">
      <c r="A262" s="47" t="s">
        <v>41</v>
      </c>
      <c r="B262" s="39" t="s">
        <v>371</v>
      </c>
      <c r="C262" s="39" t="s">
        <v>126</v>
      </c>
      <c r="D262" s="48">
        <v>190.67066425001701</v>
      </c>
      <c r="E262" s="52">
        <v>121.05339250560201</v>
      </c>
      <c r="F262" s="52">
        <v>263.20397463438502</v>
      </c>
      <c r="G262" s="122">
        <f t="shared" si="8"/>
        <v>0.4599223574558724</v>
      </c>
      <c r="H262" s="53">
        <v>1.11188985953553</v>
      </c>
      <c r="I262" s="54">
        <v>0.23295166687694399</v>
      </c>
      <c r="J262" s="54">
        <v>5.0164636133407502E-3</v>
      </c>
      <c r="K262" s="54">
        <v>17.4979697658327</v>
      </c>
      <c r="L262" s="54">
        <v>0.434812745176755</v>
      </c>
      <c r="M262" s="54">
        <v>0.54350935307348602</v>
      </c>
      <c r="N262" s="54">
        <v>7.4979356505551504E-3</v>
      </c>
      <c r="O262" s="54">
        <v>0.55516244905257495</v>
      </c>
      <c r="P262" s="54">
        <v>0.14775815369964301</v>
      </c>
      <c r="Q262" s="54">
        <v>3.9712913521522597E-3</v>
      </c>
      <c r="R262" s="54">
        <v>1.5542687277728</v>
      </c>
      <c r="S262" s="52">
        <v>3072.53</v>
      </c>
      <c r="T262" s="67">
        <v>33.795000000000101</v>
      </c>
      <c r="U262" s="52">
        <v>2962.5435179719998</v>
      </c>
      <c r="V262" s="67">
        <v>23.952431626737201</v>
      </c>
      <c r="W262" s="52">
        <v>2798.12167345123</v>
      </c>
      <c r="X262" s="67">
        <v>31.3513049519478</v>
      </c>
      <c r="Y262" s="52">
        <v>2785.45948852625</v>
      </c>
      <c r="Z262" s="67">
        <v>69.935158017990901</v>
      </c>
      <c r="AA262" s="71">
        <f t="shared" si="9"/>
        <v>0.94291567412542243</v>
      </c>
      <c r="AB262" s="48">
        <v>32.731290000000001</v>
      </c>
      <c r="AC262" s="52">
        <v>748.34803628003795</v>
      </c>
      <c r="AD262" s="48">
        <v>10.598981820118899</v>
      </c>
      <c r="AE262" s="52">
        <v>595.80989566174105</v>
      </c>
      <c r="AF262" s="53">
        <v>1.1840697016564301</v>
      </c>
      <c r="AG262" s="53">
        <v>2.1590256183671301</v>
      </c>
      <c r="AH262" s="53">
        <v>1.65656047550178</v>
      </c>
      <c r="AI262" s="48">
        <v>24.257485476477999</v>
      </c>
      <c r="AJ262" s="53">
        <v>1.1827550867347201</v>
      </c>
      <c r="AK262" s="53">
        <v>9.3570461413316703</v>
      </c>
      <c r="AL262" s="53">
        <v>5.1171703096604402</v>
      </c>
      <c r="AM262" s="53">
        <v>4.3326534948505699</v>
      </c>
      <c r="AN262" s="48">
        <v>18.463629865125</v>
      </c>
      <c r="AO262" s="53">
        <v>5.69598023936015</v>
      </c>
      <c r="AP262" s="48">
        <v>59.709832702996501</v>
      </c>
      <c r="AQ262" s="48">
        <v>20.252030352400499</v>
      </c>
      <c r="AR262" s="48">
        <v>80.998650574261106</v>
      </c>
      <c r="AS262" s="48">
        <v>15.3919080561068</v>
      </c>
      <c r="AT262" s="52">
        <v>130.903075180624</v>
      </c>
      <c r="AU262" s="48">
        <v>24.879365579934799</v>
      </c>
      <c r="AV262" s="52">
        <v>9425.5137584116601</v>
      </c>
      <c r="AW262" s="53">
        <v>0.28475219376297201</v>
      </c>
      <c r="AX262" s="64">
        <v>6.0980272538233203E-2</v>
      </c>
      <c r="AY262" s="64">
        <v>0</v>
      </c>
      <c r="AZ262" s="53">
        <v>1.11188985953553</v>
      </c>
      <c r="BA262" s="64">
        <v>2.73636254020065E-2</v>
      </c>
      <c r="BB262" s="48">
        <v>190.67066425001701</v>
      </c>
      <c r="BC262" s="52">
        <v>121.05339250560201</v>
      </c>
      <c r="BD262" s="52">
        <v>263.20397463438502</v>
      </c>
    </row>
    <row r="263" spans="1:56" s="39" customFormat="1" ht="12" customHeight="1">
      <c r="A263" s="47" t="s">
        <v>41</v>
      </c>
      <c r="B263" s="39" t="s">
        <v>372</v>
      </c>
      <c r="D263" s="48">
        <v>157.53620279964599</v>
      </c>
      <c r="E263" s="48">
        <v>77.915364848606899</v>
      </c>
      <c r="F263" s="52">
        <v>182.17441061978801</v>
      </c>
      <c r="G263" s="122">
        <f t="shared" si="8"/>
        <v>0.4276965386276026</v>
      </c>
      <c r="H263" s="64">
        <v>6.1455134227320601E-2</v>
      </c>
      <c r="I263" s="54">
        <v>0.242206164245098</v>
      </c>
      <c r="J263" s="54">
        <v>4.8793310913762501E-3</v>
      </c>
      <c r="K263" s="54">
        <v>21.193853781933601</v>
      </c>
      <c r="L263" s="54">
        <v>0.44635221331278802</v>
      </c>
      <c r="M263" s="54">
        <v>0.63301693699027195</v>
      </c>
      <c r="N263" s="54">
        <v>5.5994931157073704E-3</v>
      </c>
      <c r="O263" s="54">
        <v>0.42001579825494201</v>
      </c>
      <c r="P263" s="54">
        <v>0.16681859419364301</v>
      </c>
      <c r="Q263" s="54">
        <v>3.80285127041302E-3</v>
      </c>
      <c r="R263" s="54">
        <v>1.70847053064595</v>
      </c>
      <c r="S263" s="52">
        <v>3134.2649999999999</v>
      </c>
      <c r="T263" s="67">
        <v>32.100000000000101</v>
      </c>
      <c r="U263" s="52">
        <v>3147.5000191670802</v>
      </c>
      <c r="V263" s="67">
        <v>20.532755518334</v>
      </c>
      <c r="W263" s="52">
        <v>3161.5096576122301</v>
      </c>
      <c r="X263" s="67">
        <v>22.170102814591299</v>
      </c>
      <c r="Y263" s="52">
        <v>3118.36068607283</v>
      </c>
      <c r="Z263" s="67">
        <v>65.874934479441606</v>
      </c>
      <c r="AA263" s="71">
        <f t="shared" si="9"/>
        <v>0.99555884705749831</v>
      </c>
      <c r="AB263" s="48">
        <v>32.731290000000001</v>
      </c>
      <c r="AC263" s="52">
        <v>577.78253329064898</v>
      </c>
      <c r="AD263" s="53">
        <v>7.68919188616462</v>
      </c>
      <c r="AE263" s="52">
        <v>336.10253300386699</v>
      </c>
      <c r="AF263" s="53">
        <v>0.66613460623062604</v>
      </c>
      <c r="AG263" s="53">
        <v>1.3024713021577801E-2</v>
      </c>
      <c r="AH263" s="53">
        <v>1.00106272357709E-2</v>
      </c>
      <c r="AI263" s="53">
        <v>9.4336639758778702</v>
      </c>
      <c r="AJ263" s="64">
        <v>9.2602526172060107E-2</v>
      </c>
      <c r="AK263" s="53">
        <v>1.9235834055441099</v>
      </c>
      <c r="AL263" s="53">
        <v>3.3074247529009999</v>
      </c>
      <c r="AM263" s="53">
        <v>1.7014351830741199</v>
      </c>
      <c r="AN263" s="48">
        <v>14.5863572681895</v>
      </c>
      <c r="AO263" s="53">
        <v>3.8317722029947601</v>
      </c>
      <c r="AP263" s="48">
        <v>35.360189339351102</v>
      </c>
      <c r="AQ263" s="48">
        <v>10.8238523937104</v>
      </c>
      <c r="AR263" s="48">
        <v>41.712752530329297</v>
      </c>
      <c r="AS263" s="53">
        <v>7.8949432945817604</v>
      </c>
      <c r="AT263" s="48">
        <v>69.716468863278195</v>
      </c>
      <c r="AU263" s="48">
        <v>14.253474958842901</v>
      </c>
      <c r="AV263" s="52">
        <v>7956.4272633111004</v>
      </c>
      <c r="AW263" s="53">
        <v>0.24398002416696099</v>
      </c>
      <c r="AX263" s="64">
        <v>1.49746596851822E-2</v>
      </c>
      <c r="AY263" s="64">
        <v>0</v>
      </c>
      <c r="AZ263" s="64">
        <v>6.1455134227320601E-2</v>
      </c>
      <c r="BA263" s="64">
        <v>2.2642272022236E-3</v>
      </c>
      <c r="BB263" s="48">
        <v>157.53620279964599</v>
      </c>
      <c r="BC263" s="48">
        <v>77.915364848606899</v>
      </c>
      <c r="BD263" s="52">
        <v>182.17441061978801</v>
      </c>
    </row>
    <row r="264" spans="1:56" s="39" customFormat="1" ht="12" customHeight="1">
      <c r="A264" s="47" t="s">
        <v>41</v>
      </c>
      <c r="B264" s="39" t="s">
        <v>373</v>
      </c>
      <c r="C264" s="39" t="s">
        <v>126</v>
      </c>
      <c r="D264" s="48">
        <v>228.06095348212401</v>
      </c>
      <c r="E264" s="52">
        <v>230.08586713836399</v>
      </c>
      <c r="F264" s="52">
        <v>330.09896614212198</v>
      </c>
      <c r="G264" s="122">
        <f t="shared" si="8"/>
        <v>0.69702086567366595</v>
      </c>
      <c r="H264" s="53">
        <v>2.3154195400345601</v>
      </c>
      <c r="I264" s="54">
        <v>0.228157760607681</v>
      </c>
      <c r="J264" s="54">
        <v>4.3189139154482803E-3</v>
      </c>
      <c r="K264" s="54">
        <v>15.6604795475257</v>
      </c>
      <c r="L264" s="54">
        <v>0.38050314772322902</v>
      </c>
      <c r="M264" s="54">
        <v>0.49535808678891202</v>
      </c>
      <c r="N264" s="54">
        <v>7.5537064101672399E-3</v>
      </c>
      <c r="O264" s="54">
        <v>0.62760680896183796</v>
      </c>
      <c r="P264" s="54">
        <v>0.138738651208129</v>
      </c>
      <c r="Q264" s="54">
        <v>3.6765885457050599E-3</v>
      </c>
      <c r="R264" s="54">
        <v>1.0434906781728199</v>
      </c>
      <c r="S264" s="52">
        <v>3039.2</v>
      </c>
      <c r="T264" s="67">
        <v>30.554999999999801</v>
      </c>
      <c r="U264" s="52">
        <v>2856.3125559117898</v>
      </c>
      <c r="V264" s="67">
        <v>23.271192440793101</v>
      </c>
      <c r="W264" s="52">
        <v>2593.8159619490002</v>
      </c>
      <c r="X264" s="67">
        <v>32.593761241358898</v>
      </c>
      <c r="Y264" s="52">
        <v>2625.9970395986102</v>
      </c>
      <c r="Z264" s="67">
        <v>65.258211208591206</v>
      </c>
      <c r="AA264" s="71">
        <f t="shared" si="9"/>
        <v>0.90367324619867084</v>
      </c>
      <c r="AB264" s="48">
        <v>32.731290000000001</v>
      </c>
      <c r="AC264" s="52">
        <v>609.99559399726797</v>
      </c>
      <c r="AD264" s="48">
        <v>11.664872294971101</v>
      </c>
      <c r="AE264" s="52">
        <v>657.88055240330198</v>
      </c>
      <c r="AF264" s="53">
        <v>1.41163687423092</v>
      </c>
      <c r="AG264" s="53">
        <v>1.9907369759226401</v>
      </c>
      <c r="AH264" s="53">
        <v>3.2660516342635799</v>
      </c>
      <c r="AI264" s="48">
        <v>38.028139643688299</v>
      </c>
      <c r="AJ264" s="53">
        <v>2.0736549573163301</v>
      </c>
      <c r="AK264" s="48">
        <v>16.3677861563459</v>
      </c>
      <c r="AL264" s="48">
        <v>11.490804378050299</v>
      </c>
      <c r="AM264" s="53">
        <v>7.6391974239606899</v>
      </c>
      <c r="AN264" s="48">
        <v>31.498266891800601</v>
      </c>
      <c r="AO264" s="53">
        <v>7.8817758411009899</v>
      </c>
      <c r="AP264" s="48">
        <v>72.819814965626605</v>
      </c>
      <c r="AQ264" s="48">
        <v>22.870621400142699</v>
      </c>
      <c r="AR264" s="48">
        <v>84.0473653221392</v>
      </c>
      <c r="AS264" s="48">
        <v>15.0632406695757</v>
      </c>
      <c r="AT264" s="52">
        <v>123.465466655291</v>
      </c>
      <c r="AU264" s="48">
        <v>22.706763549475198</v>
      </c>
      <c r="AV264" s="52">
        <v>8792.5063432745501</v>
      </c>
      <c r="AW264" s="53">
        <v>0.33013020194843701</v>
      </c>
      <c r="AX264" s="64">
        <v>8.7842354525353106E-2</v>
      </c>
      <c r="AY264" s="64">
        <v>0</v>
      </c>
      <c r="AZ264" s="53">
        <v>2.3154195400345601</v>
      </c>
      <c r="BA264" s="64">
        <v>3.46027682275383E-2</v>
      </c>
      <c r="BB264" s="48">
        <v>228.06095348212401</v>
      </c>
      <c r="BC264" s="52">
        <v>230.08586713836399</v>
      </c>
      <c r="BD264" s="52">
        <v>330.09896614212198</v>
      </c>
    </row>
    <row r="265" spans="1:56" s="39" customFormat="1" ht="12" customHeight="1">
      <c r="A265" s="47" t="s">
        <v>41</v>
      </c>
      <c r="B265" s="39" t="s">
        <v>374</v>
      </c>
      <c r="D265" s="48">
        <v>244.360797999281</v>
      </c>
      <c r="E265" s="52">
        <v>150.954235715896</v>
      </c>
      <c r="F265" s="52">
        <v>375.31754407686901</v>
      </c>
      <c r="G265" s="122">
        <f t="shared" si="8"/>
        <v>0.40220404854023817</v>
      </c>
      <c r="H265" s="53">
        <v>0.369116794368402</v>
      </c>
      <c r="I265" s="54">
        <v>0.2353450996742</v>
      </c>
      <c r="J265" s="54">
        <v>4.1827745546067696E-3</v>
      </c>
      <c r="K265" s="54">
        <v>17.115369535038599</v>
      </c>
      <c r="L265" s="54">
        <v>0.50915607491792203</v>
      </c>
      <c r="M265" s="54">
        <v>0.520527074355291</v>
      </c>
      <c r="N265" s="54">
        <v>1.0636163899372501E-2</v>
      </c>
      <c r="O265" s="54">
        <v>0.68687395333567602</v>
      </c>
      <c r="P265" s="54">
        <v>0.13377352311256399</v>
      </c>
      <c r="Q265" s="54">
        <v>3.88897866914422E-3</v>
      </c>
      <c r="R265" s="54">
        <v>1.99615863173912</v>
      </c>
      <c r="S265" s="52">
        <v>3088.58</v>
      </c>
      <c r="T265" s="67">
        <v>28.395</v>
      </c>
      <c r="U265" s="52">
        <v>2941.3217480163198</v>
      </c>
      <c r="V265" s="67">
        <v>28.6086657411301</v>
      </c>
      <c r="W265" s="52">
        <v>2701.4152083499998</v>
      </c>
      <c r="X265" s="67">
        <v>45.116583146921499</v>
      </c>
      <c r="Y265" s="52">
        <v>2537.6749932605298</v>
      </c>
      <c r="Z265" s="67">
        <v>69.330358748016494</v>
      </c>
      <c r="AA265" s="71">
        <f t="shared" si="9"/>
        <v>0.91496802295713975</v>
      </c>
      <c r="AB265" s="48">
        <v>32.731290000000001</v>
      </c>
      <c r="AC265" s="52">
        <v>1060.7793576260499</v>
      </c>
      <c r="AD265" s="53">
        <v>3.8453827473439102</v>
      </c>
      <c r="AE265" s="52">
        <v>509.67407278455403</v>
      </c>
      <c r="AF265" s="53">
        <v>1.75295418383113</v>
      </c>
      <c r="AG265" s="53">
        <v>2.16558137786134</v>
      </c>
      <c r="AH265" s="53">
        <v>3.7356966321301002</v>
      </c>
      <c r="AI265" s="48">
        <v>22.2651763033839</v>
      </c>
      <c r="AJ265" s="53">
        <v>1.5155218892078499</v>
      </c>
      <c r="AK265" s="53">
        <v>7.7654273947936501</v>
      </c>
      <c r="AL265" s="53">
        <v>3.69613201616718</v>
      </c>
      <c r="AM265" s="53">
        <v>1.82598263167708</v>
      </c>
      <c r="AN265" s="48">
        <v>14.0378542668993</v>
      </c>
      <c r="AO265" s="53">
        <v>4.2158041908964501</v>
      </c>
      <c r="AP265" s="48">
        <v>46.400566623478902</v>
      </c>
      <c r="AQ265" s="48">
        <v>16.520646010170601</v>
      </c>
      <c r="AR265" s="48">
        <v>71.630669562082304</v>
      </c>
      <c r="AS265" s="48">
        <v>14.721687275418301</v>
      </c>
      <c r="AT265" s="52">
        <v>140.09601254562699</v>
      </c>
      <c r="AU265" s="48">
        <v>29.5281411869321</v>
      </c>
      <c r="AV265" s="52">
        <v>9537.9882552475592</v>
      </c>
      <c r="AW265" s="53">
        <v>0.81294855524727705</v>
      </c>
      <c r="AX265" s="64">
        <v>4.5064076233279099E-2</v>
      </c>
      <c r="AY265" s="64">
        <v>0</v>
      </c>
      <c r="AZ265" s="53">
        <v>0.369116794368402</v>
      </c>
      <c r="BA265" s="64">
        <v>8.9819073621281097E-4</v>
      </c>
      <c r="BB265" s="48">
        <v>244.360797999281</v>
      </c>
      <c r="BC265" s="52">
        <v>150.954235715896</v>
      </c>
      <c r="BD265" s="52">
        <v>375.31754407686901</v>
      </c>
    </row>
    <row r="266" spans="1:56" s="39" customFormat="1" ht="12" customHeight="1">
      <c r="A266" s="47" t="s">
        <v>41</v>
      </c>
      <c r="B266" s="39" t="s">
        <v>375</v>
      </c>
      <c r="D266" s="48">
        <v>134.100059251678</v>
      </c>
      <c r="E266" s="52">
        <v>107.58630421579799</v>
      </c>
      <c r="F266" s="52">
        <v>156.80507446037601</v>
      </c>
      <c r="G266" s="122">
        <f t="shared" si="8"/>
        <v>0.68611493974950799</v>
      </c>
      <c r="H266" s="53">
        <v>0.289214164915025</v>
      </c>
      <c r="I266" s="54">
        <v>0.24477606482450101</v>
      </c>
      <c r="J266" s="54">
        <v>4.0309408530515099E-3</v>
      </c>
      <c r="K266" s="54">
        <v>20.233347823480202</v>
      </c>
      <c r="L266" s="54">
        <v>0.33181923615478398</v>
      </c>
      <c r="M266" s="54">
        <v>0.59709005408637394</v>
      </c>
      <c r="N266" s="54">
        <v>3.7472102149327699E-3</v>
      </c>
      <c r="O266" s="54">
        <v>0.38267880432978801</v>
      </c>
      <c r="P266" s="54">
        <v>0.15583953925355401</v>
      </c>
      <c r="Q266" s="54">
        <v>2.7700996628634701E-3</v>
      </c>
      <c r="R266" s="54">
        <v>1.0986514444208499</v>
      </c>
      <c r="S266" s="52">
        <v>3151.55</v>
      </c>
      <c r="T266" s="67">
        <v>26.232500000000101</v>
      </c>
      <c r="U266" s="52">
        <v>3102.5769978517301</v>
      </c>
      <c r="V266" s="67">
        <v>16.007305089005399</v>
      </c>
      <c r="W266" s="52">
        <v>3018.1031888954399</v>
      </c>
      <c r="X266" s="67">
        <v>15.212604869967</v>
      </c>
      <c r="Y266" s="52">
        <v>2927.27546723663</v>
      </c>
      <c r="Z266" s="67">
        <v>48.440882293816301</v>
      </c>
      <c r="AA266" s="71">
        <f t="shared" si="9"/>
        <v>0.97239724789437698</v>
      </c>
      <c r="AB266" s="48">
        <v>32.731290000000001</v>
      </c>
      <c r="AC266" s="52">
        <v>609.66683327109899</v>
      </c>
      <c r="AD266" s="48">
        <v>10.177161730559</v>
      </c>
      <c r="AE266" s="52">
        <v>444.87450204690498</v>
      </c>
      <c r="AF266" s="53">
        <v>0.67746685727906297</v>
      </c>
      <c r="AG266" s="53">
        <v>4.4786133009353897</v>
      </c>
      <c r="AH266" s="53">
        <v>1.45878837271466</v>
      </c>
      <c r="AI266" s="48">
        <v>26.6421559445937</v>
      </c>
      <c r="AJ266" s="53">
        <v>0.76171245579958402</v>
      </c>
      <c r="AK266" s="53">
        <v>6.7667135019954099</v>
      </c>
      <c r="AL266" s="53">
        <v>6.6085326818080201</v>
      </c>
      <c r="AM266" s="53">
        <v>2.88999711023442</v>
      </c>
      <c r="AN266" s="48">
        <v>22.000491575012202</v>
      </c>
      <c r="AO266" s="53">
        <v>5.4331629577734404</v>
      </c>
      <c r="AP266" s="48">
        <v>47.025108745170101</v>
      </c>
      <c r="AQ266" s="48">
        <v>14.547270545228001</v>
      </c>
      <c r="AR266" s="48">
        <v>56.635009580331101</v>
      </c>
      <c r="AS266" s="48">
        <v>10.821798598572199</v>
      </c>
      <c r="AT266" s="48">
        <v>92.304098603605894</v>
      </c>
      <c r="AU266" s="48">
        <v>18.1863219087519</v>
      </c>
      <c r="AV266" s="52">
        <v>8078.6933248160203</v>
      </c>
      <c r="AW266" s="53">
        <v>0.19083817692937699</v>
      </c>
      <c r="AX266" s="64">
        <v>2.5757556780109402E-2</v>
      </c>
      <c r="AY266" s="64">
        <v>0</v>
      </c>
      <c r="AZ266" s="53">
        <v>0.289214164915025</v>
      </c>
      <c r="BA266" s="64">
        <v>3.3798653612620499E-3</v>
      </c>
      <c r="BB266" s="48">
        <v>134.100059251678</v>
      </c>
      <c r="BC266" s="52">
        <v>107.58630421579799</v>
      </c>
      <c r="BD266" s="52">
        <v>156.80507446037601</v>
      </c>
    </row>
    <row r="267" spans="1:56" s="41" customFormat="1" ht="12" customHeight="1">
      <c r="A267" s="47" t="s">
        <v>41</v>
      </c>
      <c r="B267" s="41" t="s">
        <v>376</v>
      </c>
      <c r="C267" s="41" t="s">
        <v>126</v>
      </c>
      <c r="D267" s="50">
        <v>210.13299936567799</v>
      </c>
      <c r="E267" s="60">
        <v>189.71377132087099</v>
      </c>
      <c r="F267" s="60">
        <v>375.21897887716301</v>
      </c>
      <c r="G267" s="122">
        <f t="shared" si="8"/>
        <v>0.50560814351285355</v>
      </c>
      <c r="H267" s="61">
        <v>1.78539803402162</v>
      </c>
      <c r="I267" s="62">
        <v>0.209109225524724</v>
      </c>
      <c r="J267" s="62">
        <v>5.9877424500931701E-3</v>
      </c>
      <c r="K267" s="62">
        <v>11.9154241163985</v>
      </c>
      <c r="L267" s="62">
        <v>0.36151782059241899</v>
      </c>
      <c r="M267" s="62">
        <v>0.41147038226337501</v>
      </c>
      <c r="N267" s="62">
        <v>5.30434874319443E-3</v>
      </c>
      <c r="O267" s="62">
        <v>0.42488684467556298</v>
      </c>
      <c r="P267" s="62">
        <v>0.12613341011818399</v>
      </c>
      <c r="Q267" s="62">
        <v>3.9870069542435899E-3</v>
      </c>
      <c r="R267" s="62">
        <v>1.6531870094421299</v>
      </c>
      <c r="S267" s="60">
        <v>2898.46</v>
      </c>
      <c r="T267" s="69">
        <v>46.295000000000101</v>
      </c>
      <c r="U267" s="60">
        <v>2597.7786110208299</v>
      </c>
      <c r="V267" s="69">
        <v>28.476601900686202</v>
      </c>
      <c r="W267" s="60">
        <v>2221.6405178198502</v>
      </c>
      <c r="X267" s="69">
        <v>24.2555077032317</v>
      </c>
      <c r="Y267" s="60">
        <v>2401.0106953814202</v>
      </c>
      <c r="Z267" s="69">
        <v>71.560167259267899</v>
      </c>
      <c r="AA267" s="71">
        <f t="shared" si="9"/>
        <v>0.84390729125422204</v>
      </c>
      <c r="AB267" s="50">
        <v>32.731290000000001</v>
      </c>
      <c r="AC267" s="60">
        <v>655.75271171280997</v>
      </c>
      <c r="AD267" s="61">
        <v>8.9227969802739402</v>
      </c>
      <c r="AE267" s="60">
        <v>635.65296422911797</v>
      </c>
      <c r="AF267" s="61">
        <v>1.02324559152838</v>
      </c>
      <c r="AG267" s="61">
        <v>2.67058564991805</v>
      </c>
      <c r="AH267" s="61">
        <v>2.4401836424310699</v>
      </c>
      <c r="AI267" s="50">
        <v>30.3275009712656</v>
      </c>
      <c r="AJ267" s="61">
        <v>2.0320304695665801</v>
      </c>
      <c r="AK267" s="50">
        <v>19.2577712928408</v>
      </c>
      <c r="AL267" s="50">
        <v>13.791183310093601</v>
      </c>
      <c r="AM267" s="61">
        <v>8.5583358698170002</v>
      </c>
      <c r="AN267" s="50">
        <v>34.401778553940701</v>
      </c>
      <c r="AO267" s="61">
        <v>7.6604629278974903</v>
      </c>
      <c r="AP267" s="50">
        <v>69.403534672939401</v>
      </c>
      <c r="AQ267" s="50">
        <v>21.544350676052499</v>
      </c>
      <c r="AR267" s="50">
        <v>82.870555825466397</v>
      </c>
      <c r="AS267" s="50">
        <v>15.865579623325299</v>
      </c>
      <c r="AT267" s="60">
        <v>136.09206946541499</v>
      </c>
      <c r="AU267" s="50">
        <v>26.4498879778196</v>
      </c>
      <c r="AV267" s="60">
        <v>8069.2959242296301</v>
      </c>
      <c r="AW267" s="61">
        <v>0.24053074190050899</v>
      </c>
      <c r="AX267" s="65">
        <v>0.10720073907460401</v>
      </c>
      <c r="AY267" s="65">
        <v>0</v>
      </c>
      <c r="AZ267" s="61">
        <v>1.78539803402162</v>
      </c>
      <c r="BA267" s="65">
        <v>1.08008444751182E-2</v>
      </c>
      <c r="BB267" s="50">
        <v>210.13299936567799</v>
      </c>
      <c r="BC267" s="60">
        <v>189.71377132087099</v>
      </c>
      <c r="BD267" s="60">
        <v>375.21897887716301</v>
      </c>
    </row>
    <row r="268" spans="1:56" s="41" customFormat="1" ht="12" customHeight="1">
      <c r="A268" s="47" t="s">
        <v>41</v>
      </c>
      <c r="B268" s="41" t="s">
        <v>377</v>
      </c>
      <c r="C268" s="41" t="s">
        <v>126</v>
      </c>
      <c r="D268" s="50">
        <v>265.15596348944098</v>
      </c>
      <c r="E268" s="60">
        <v>350.83247939865799</v>
      </c>
      <c r="F268" s="60">
        <v>732.73913780908902</v>
      </c>
      <c r="G268" s="122">
        <f t="shared" si="8"/>
        <v>0.47879587877297936</v>
      </c>
      <c r="H268" s="50">
        <v>10.9111236416</v>
      </c>
      <c r="I268" s="62">
        <v>0.18552864614629599</v>
      </c>
      <c r="J268" s="62">
        <v>4.3473872538299704E-3</v>
      </c>
      <c r="K268" s="62">
        <v>7.0835753033927498</v>
      </c>
      <c r="L268" s="62">
        <v>0.19525409229901999</v>
      </c>
      <c r="M268" s="62">
        <v>0.27438774073576799</v>
      </c>
      <c r="N268" s="62">
        <v>4.9197953203309001E-3</v>
      </c>
      <c r="O268" s="62">
        <v>0.65048112840797501</v>
      </c>
      <c r="P268" s="62">
        <v>7.1678264944054298E-2</v>
      </c>
      <c r="Q268" s="62">
        <v>1.7384441417100901E-3</v>
      </c>
      <c r="R268" s="62">
        <v>1.5917876308352801</v>
      </c>
      <c r="S268" s="60">
        <v>2702.7750000000001</v>
      </c>
      <c r="T268" s="69">
        <v>38.8900000000001</v>
      </c>
      <c r="U268" s="60">
        <v>2121.9822944688999</v>
      </c>
      <c r="V268" s="69">
        <v>24.568401270364401</v>
      </c>
      <c r="W268" s="60">
        <v>1563.0353581392001</v>
      </c>
      <c r="X268" s="69">
        <v>24.9007993512745</v>
      </c>
      <c r="Y268" s="60">
        <v>1399.2095324258601</v>
      </c>
      <c r="Z268" s="69">
        <v>32.7876669697675</v>
      </c>
      <c r="AA268" s="71">
        <f t="shared" si="9"/>
        <v>0.69663812278668424</v>
      </c>
      <c r="AB268" s="50">
        <v>32.731290000000001</v>
      </c>
      <c r="AC268" s="60">
        <v>702.02121927371002</v>
      </c>
      <c r="AD268" s="50">
        <v>75.958104543695697</v>
      </c>
      <c r="AE268" s="60">
        <v>1967.48351048428</v>
      </c>
      <c r="AF268" s="50">
        <v>27.225453246943601</v>
      </c>
      <c r="AG268" s="61">
        <v>11.282266296363501</v>
      </c>
      <c r="AH268" s="61">
        <v>14.894880682798901</v>
      </c>
      <c r="AI268" s="60">
        <v>102.870871942511</v>
      </c>
      <c r="AJ268" s="50">
        <v>14.788049761285199</v>
      </c>
      <c r="AK268" s="60">
        <v>125.458506565701</v>
      </c>
      <c r="AL268" s="60">
        <v>103.67881858974501</v>
      </c>
      <c r="AM268" s="50">
        <v>82.572424649789298</v>
      </c>
      <c r="AN268" s="60">
        <v>120.988722814944</v>
      </c>
      <c r="AO268" s="50">
        <v>21.9958582048647</v>
      </c>
      <c r="AP268" s="60">
        <v>200.98847643913899</v>
      </c>
      <c r="AQ268" s="50">
        <v>70.494804108517599</v>
      </c>
      <c r="AR268" s="60">
        <v>298.80517121064997</v>
      </c>
      <c r="AS268" s="50">
        <v>59.515317598114301</v>
      </c>
      <c r="AT268" s="60">
        <v>540.13641645451003</v>
      </c>
      <c r="AU268" s="60">
        <v>109.67822799165501</v>
      </c>
      <c r="AV268" s="60">
        <v>14089.153119242401</v>
      </c>
      <c r="AW268" s="50">
        <v>23.406099183658601</v>
      </c>
      <c r="AX268" s="65">
        <v>0.94466554580782902</v>
      </c>
      <c r="AY268" s="65">
        <v>0</v>
      </c>
      <c r="AZ268" s="50">
        <v>10.9111236416</v>
      </c>
      <c r="BA268" s="65">
        <v>6.8725787040403205E-2</v>
      </c>
      <c r="BB268" s="50">
        <v>265.15596348944098</v>
      </c>
      <c r="BC268" s="60">
        <v>350.83247939865799</v>
      </c>
      <c r="BD268" s="60">
        <v>732.73913780908902</v>
      </c>
    </row>
    <row r="269" spans="1:56" s="41" customFormat="1" ht="12" customHeight="1">
      <c r="A269" s="47" t="s">
        <v>41</v>
      </c>
      <c r="B269" s="41" t="s">
        <v>378</v>
      </c>
      <c r="C269" s="41" t="s">
        <v>126</v>
      </c>
      <c r="D269" s="50">
        <v>300.894418776436</v>
      </c>
      <c r="E269" s="60">
        <v>543.82162946826202</v>
      </c>
      <c r="F269" s="60">
        <v>933.61964393754704</v>
      </c>
      <c r="G269" s="122">
        <f t="shared" si="8"/>
        <v>0.58248734696143567</v>
      </c>
      <c r="H269" s="50">
        <v>11.755259625440299</v>
      </c>
      <c r="I269" s="62">
        <v>0.18519123539440999</v>
      </c>
      <c r="J269" s="62">
        <v>4.1721621502637304E-3</v>
      </c>
      <c r="K269" s="62">
        <v>6.1941333384114401</v>
      </c>
      <c r="L269" s="62">
        <v>0.16480553004727899</v>
      </c>
      <c r="M269" s="62">
        <v>0.240321063946275</v>
      </c>
      <c r="N269" s="62">
        <v>4.7270603648001596E-3</v>
      </c>
      <c r="O269" s="62">
        <v>0.739278506565751</v>
      </c>
      <c r="P269" s="62">
        <v>6.6347504214879297E-2</v>
      </c>
      <c r="Q269" s="62">
        <v>2.0023464576022802E-3</v>
      </c>
      <c r="R269" s="62">
        <v>1.27045348697125</v>
      </c>
      <c r="S269" s="60">
        <v>2699.69</v>
      </c>
      <c r="T269" s="69">
        <v>37.344999999999999</v>
      </c>
      <c r="U269" s="60">
        <v>2003.6207338894601</v>
      </c>
      <c r="V269" s="69">
        <v>23.300590852971201</v>
      </c>
      <c r="W269" s="60">
        <v>1388.36595416347</v>
      </c>
      <c r="X269" s="69">
        <v>24.579743633748301</v>
      </c>
      <c r="Y269" s="60">
        <v>1298.4186268891599</v>
      </c>
      <c r="Z269" s="69">
        <v>37.953747510427199</v>
      </c>
      <c r="AA269" s="71">
        <f t="shared" si="9"/>
        <v>0.63723042788286466</v>
      </c>
      <c r="AB269" s="50">
        <v>32.731290000000001</v>
      </c>
      <c r="AC269" s="60">
        <v>920.34629921995895</v>
      </c>
      <c r="AD269" s="50">
        <v>67.631389687135993</v>
      </c>
      <c r="AE269" s="60">
        <v>1336.3345746427599</v>
      </c>
      <c r="AF269" s="61">
        <v>4.4471986041631402</v>
      </c>
      <c r="AG269" s="61">
        <v>61.904465027516402</v>
      </c>
      <c r="AH269" s="61">
        <v>31.357216894673599</v>
      </c>
      <c r="AI269" s="60">
        <v>175.33800433392199</v>
      </c>
      <c r="AJ269" s="50">
        <v>24.5486743625369</v>
      </c>
      <c r="AK269" s="60">
        <v>192.24217114749999</v>
      </c>
      <c r="AL269" s="50">
        <v>96.758663186990205</v>
      </c>
      <c r="AM269" s="50">
        <v>54.682568102588903</v>
      </c>
      <c r="AN269" s="60">
        <v>113.28851974207799</v>
      </c>
      <c r="AO269" s="50">
        <v>20.085029431259098</v>
      </c>
      <c r="AP269" s="60">
        <v>161.71411993842099</v>
      </c>
      <c r="AQ269" s="50">
        <v>47.477681643951797</v>
      </c>
      <c r="AR269" s="60">
        <v>169.21469035175801</v>
      </c>
      <c r="AS269" s="50">
        <v>29.4539054840712</v>
      </c>
      <c r="AT269" s="60">
        <v>233.87430571671601</v>
      </c>
      <c r="AU269" s="50">
        <v>40.484304211878602</v>
      </c>
      <c r="AV269" s="60">
        <v>9523.6363459571603</v>
      </c>
      <c r="AW269" s="61">
        <v>0.86927212516377494</v>
      </c>
      <c r="AX269" s="65">
        <v>1.4595583604564699</v>
      </c>
      <c r="AY269" s="65">
        <v>0</v>
      </c>
      <c r="AZ269" s="50">
        <v>11.755259625440299</v>
      </c>
      <c r="BA269" s="65">
        <v>0.13349238755186099</v>
      </c>
      <c r="BB269" s="50">
        <v>300.894418776436</v>
      </c>
      <c r="BC269" s="60">
        <v>543.82162946826202</v>
      </c>
      <c r="BD269" s="60">
        <v>933.61964393754704</v>
      </c>
    </row>
    <row r="270" spans="1:56" s="41" customFormat="1" ht="12" customHeight="1">
      <c r="A270" s="47" t="s">
        <v>41</v>
      </c>
      <c r="B270" s="41" t="s">
        <v>379</v>
      </c>
      <c r="C270" s="41" t="s">
        <v>126</v>
      </c>
      <c r="D270" s="50">
        <v>222.96069651715601</v>
      </c>
      <c r="E270" s="60">
        <v>108.96711247533</v>
      </c>
      <c r="F270" s="60">
        <v>293.49744510884602</v>
      </c>
      <c r="G270" s="122">
        <f t="shared" si="8"/>
        <v>0.37127107677178794</v>
      </c>
      <c r="H270" s="61">
        <v>2.0263381493741699</v>
      </c>
      <c r="I270" s="62">
        <v>0.30876277177773698</v>
      </c>
      <c r="J270" s="62">
        <v>6.83288049912089E-3</v>
      </c>
      <c r="K270" s="62">
        <v>23.797746798862001</v>
      </c>
      <c r="L270" s="62">
        <v>0.573092270915738</v>
      </c>
      <c r="M270" s="62">
        <v>0.55097465742749396</v>
      </c>
      <c r="N270" s="62">
        <v>8.9431424088817404E-3</v>
      </c>
      <c r="O270" s="62">
        <v>0.67401538685212303</v>
      </c>
      <c r="P270" s="62">
        <v>0.10466867603008601</v>
      </c>
      <c r="Q270" s="62">
        <v>2.71498889274931E-3</v>
      </c>
      <c r="R270" s="62">
        <v>2.04587137390289</v>
      </c>
      <c r="S270" s="60">
        <v>3514.77</v>
      </c>
      <c r="T270" s="69">
        <v>34.902500000000103</v>
      </c>
      <c r="U270" s="60">
        <v>3260.1439753858799</v>
      </c>
      <c r="V270" s="69">
        <v>23.5706563837964</v>
      </c>
      <c r="W270" s="60">
        <v>2829.22510591941</v>
      </c>
      <c r="X270" s="69">
        <v>37.2023329081645</v>
      </c>
      <c r="Y270" s="60">
        <v>2012.0353574886799</v>
      </c>
      <c r="Z270" s="69">
        <v>49.676411388783499</v>
      </c>
      <c r="AA270" s="71">
        <f t="shared" si="9"/>
        <v>0.85846846735258153</v>
      </c>
      <c r="AB270" s="50">
        <v>32.731290000000001</v>
      </c>
      <c r="AC270" s="60">
        <v>513.11944981083798</v>
      </c>
      <c r="AD270" s="61">
        <v>2.93909681422923</v>
      </c>
      <c r="AE270" s="60">
        <v>507.904284889976</v>
      </c>
      <c r="AF270" s="61">
        <v>1.2058273430379201</v>
      </c>
      <c r="AG270" s="61">
        <v>9.6671476512070793</v>
      </c>
      <c r="AH270" s="61">
        <v>0.899850262424438</v>
      </c>
      <c r="AI270" s="50">
        <v>11.347082563483101</v>
      </c>
      <c r="AJ270" s="61">
        <v>0.71903783312875402</v>
      </c>
      <c r="AK270" s="61">
        <v>6.1432864140573402</v>
      </c>
      <c r="AL270" s="61">
        <v>6.6850507699650699</v>
      </c>
      <c r="AM270" s="61">
        <v>3.0121877176893599</v>
      </c>
      <c r="AN270" s="50">
        <v>22.057077650630099</v>
      </c>
      <c r="AO270" s="61">
        <v>5.6868474998060803</v>
      </c>
      <c r="AP270" s="50">
        <v>53.879604854326601</v>
      </c>
      <c r="AQ270" s="50">
        <v>17.453843906439801</v>
      </c>
      <c r="AR270" s="50">
        <v>68.2950105278737</v>
      </c>
      <c r="AS270" s="50">
        <v>13.968737254674201</v>
      </c>
      <c r="AT270" s="60">
        <v>128.65015709903301</v>
      </c>
      <c r="AU270" s="50">
        <v>27.641826708721101</v>
      </c>
      <c r="AV270" s="60">
        <v>9904.75914777246</v>
      </c>
      <c r="AW270" s="61">
        <v>0.53566074383902595</v>
      </c>
      <c r="AX270" s="65">
        <v>9.8986813291515194E-2</v>
      </c>
      <c r="AY270" s="65">
        <v>0</v>
      </c>
      <c r="AZ270" s="61">
        <v>2.0263381493741699</v>
      </c>
      <c r="BA270" s="65">
        <v>2.3998093077541E-2</v>
      </c>
      <c r="BB270" s="50">
        <v>222.96069651715601</v>
      </c>
      <c r="BC270" s="60">
        <v>108.96711247533</v>
      </c>
      <c r="BD270" s="60">
        <v>293.49744510884602</v>
      </c>
    </row>
    <row r="271" spans="1:56" s="41" customFormat="1" ht="12" customHeight="1">
      <c r="A271" s="47" t="s">
        <v>41</v>
      </c>
      <c r="B271" s="41" t="s">
        <v>380</v>
      </c>
      <c r="C271" s="41" t="s">
        <v>126</v>
      </c>
      <c r="D271" s="50">
        <v>282.46654476366803</v>
      </c>
      <c r="E271" s="60">
        <v>349.54180682057103</v>
      </c>
      <c r="F271" s="60">
        <v>760.89547775316396</v>
      </c>
      <c r="G271" s="122">
        <f t="shared" si="8"/>
        <v>0.45938215831263368</v>
      </c>
      <c r="H271" s="50">
        <v>10.769291858464699</v>
      </c>
      <c r="I271" s="62">
        <v>0.23077150891508999</v>
      </c>
      <c r="J271" s="62">
        <v>4.86794551881224E-3</v>
      </c>
      <c r="K271" s="62">
        <v>8.5277794391399304</v>
      </c>
      <c r="L271" s="62">
        <v>0.18891644478103101</v>
      </c>
      <c r="M271" s="62">
        <v>0.26534936361996497</v>
      </c>
      <c r="N271" s="62">
        <v>3.7788075256663198E-3</v>
      </c>
      <c r="O271" s="62">
        <v>0.64284003566793801</v>
      </c>
      <c r="P271" s="62">
        <v>5.8684755267172303E-2</v>
      </c>
      <c r="Q271" s="62">
        <v>2.0866021737846801E-3</v>
      </c>
      <c r="R271" s="62">
        <v>1.80454245218586</v>
      </c>
      <c r="S271" s="60">
        <v>3057.1</v>
      </c>
      <c r="T271" s="69">
        <v>33.9525000000001</v>
      </c>
      <c r="U271" s="60">
        <v>2288.8883414532002</v>
      </c>
      <c r="V271" s="69">
        <v>20.193049498822699</v>
      </c>
      <c r="W271" s="60">
        <v>1517.1523663134501</v>
      </c>
      <c r="X271" s="69">
        <v>19.268833596780802</v>
      </c>
      <c r="Y271" s="60">
        <v>1152.6496367934801</v>
      </c>
      <c r="Z271" s="69">
        <v>39.837052061860703</v>
      </c>
      <c r="AA271" s="71">
        <f t="shared" si="9"/>
        <v>0.59446782922477071</v>
      </c>
      <c r="AB271" s="50">
        <v>32.731290000000001</v>
      </c>
      <c r="AC271" s="60">
        <v>535.53301135383003</v>
      </c>
      <c r="AD271" s="50">
        <v>39.156340536913099</v>
      </c>
      <c r="AE271" s="60">
        <v>873.17152023553899</v>
      </c>
      <c r="AF271" s="61">
        <v>3.8632742622544098</v>
      </c>
      <c r="AG271" s="61">
        <v>58.762523215581098</v>
      </c>
      <c r="AH271" s="61">
        <v>30.216055685574801</v>
      </c>
      <c r="AI271" s="60">
        <v>184.22671378886901</v>
      </c>
      <c r="AJ271" s="50">
        <v>27.524732953002399</v>
      </c>
      <c r="AK271" s="60">
        <v>246.43256206332401</v>
      </c>
      <c r="AL271" s="60">
        <v>173.803652257083</v>
      </c>
      <c r="AM271" s="60">
        <v>107.459881254812</v>
      </c>
      <c r="AN271" s="60">
        <v>160.286580167078</v>
      </c>
      <c r="AO271" s="50">
        <v>18.3911026096029</v>
      </c>
      <c r="AP271" s="60">
        <v>113.35545841129399</v>
      </c>
      <c r="AQ271" s="50">
        <v>29.404907466980902</v>
      </c>
      <c r="AR271" s="60">
        <v>108.52309141833101</v>
      </c>
      <c r="AS271" s="50">
        <v>20.6883454361008</v>
      </c>
      <c r="AT271" s="60">
        <v>182.62096577151601</v>
      </c>
      <c r="AU271" s="50">
        <v>37.183738436132501</v>
      </c>
      <c r="AV271" s="60">
        <v>10311.9330943187</v>
      </c>
      <c r="AW271" s="61">
        <v>0.89862994666085505</v>
      </c>
      <c r="AX271" s="65">
        <v>1.40733339184159</v>
      </c>
      <c r="AY271" s="65">
        <v>0</v>
      </c>
      <c r="AZ271" s="50">
        <v>10.769291858464699</v>
      </c>
      <c r="BA271" s="65">
        <v>0.205047417886666</v>
      </c>
      <c r="BB271" s="50">
        <v>282.46654476366803</v>
      </c>
      <c r="BC271" s="60">
        <v>349.54180682057103</v>
      </c>
      <c r="BD271" s="60">
        <v>760.89547775316396</v>
      </c>
    </row>
    <row r="272" spans="1:56" s="41" customFormat="1" ht="12" customHeight="1">
      <c r="A272" s="47" t="s">
        <v>41</v>
      </c>
      <c r="B272" s="41" t="s">
        <v>381</v>
      </c>
      <c r="C272" s="41" t="s">
        <v>126</v>
      </c>
      <c r="D272" s="50">
        <v>275.55835445667901</v>
      </c>
      <c r="E272" s="60">
        <v>498.60300385290202</v>
      </c>
      <c r="F272" s="60">
        <v>896.16473517688996</v>
      </c>
      <c r="G272" s="122">
        <f t="shared" si="8"/>
        <v>0.55637427392686345</v>
      </c>
      <c r="H272" s="50">
        <v>17.405470530024498</v>
      </c>
      <c r="I272" s="62">
        <v>0.19577754334261299</v>
      </c>
      <c r="J272" s="62">
        <v>4.0279952798959904E-3</v>
      </c>
      <c r="K272" s="62">
        <v>5.7080708074446997</v>
      </c>
      <c r="L272" s="62">
        <v>0.16761772685891499</v>
      </c>
      <c r="M272" s="62">
        <v>0.20888418220687399</v>
      </c>
      <c r="N272" s="62">
        <v>3.9319925666519498E-3</v>
      </c>
      <c r="O272" s="62">
        <v>0.64102731986706396</v>
      </c>
      <c r="P272" s="62">
        <v>6.8075424754687405E-2</v>
      </c>
      <c r="Q272" s="62">
        <v>1.55702145345906E-3</v>
      </c>
      <c r="R272" s="62">
        <v>1.2986087554104</v>
      </c>
      <c r="S272" s="60">
        <v>2791.05</v>
      </c>
      <c r="T272" s="69">
        <v>33.6400000000001</v>
      </c>
      <c r="U272" s="60">
        <v>1932.5901402008401</v>
      </c>
      <c r="V272" s="69">
        <v>25.405866284456501</v>
      </c>
      <c r="W272" s="60">
        <v>1222.8703992841199</v>
      </c>
      <c r="X272" s="69">
        <v>20.977874082368999</v>
      </c>
      <c r="Y272" s="60">
        <v>1331.1442238269699</v>
      </c>
      <c r="Z272" s="69">
        <v>29.465028881654298</v>
      </c>
      <c r="AA272" s="71">
        <f t="shared" si="9"/>
        <v>0.55016408411016804</v>
      </c>
      <c r="AB272" s="50">
        <v>32.731290000000001</v>
      </c>
      <c r="AC272" s="60">
        <v>780.34828622269004</v>
      </c>
      <c r="AD272" s="50">
        <v>67.227182337822498</v>
      </c>
      <c r="AE272" s="60">
        <v>1561.84155468524</v>
      </c>
      <c r="AF272" s="61">
        <v>6.5451944105686204</v>
      </c>
      <c r="AG272" s="61">
        <v>126.295761511892</v>
      </c>
      <c r="AH272" s="61">
        <v>40.0550917557239</v>
      </c>
      <c r="AI272" s="60">
        <v>210.92399565346801</v>
      </c>
      <c r="AJ272" s="50">
        <v>29.550838556362098</v>
      </c>
      <c r="AK272" s="60">
        <v>216.69798877264901</v>
      </c>
      <c r="AL272" s="60">
        <v>209.66037240725899</v>
      </c>
      <c r="AM272" s="50">
        <v>92.680359617813394</v>
      </c>
      <c r="AN272" s="60">
        <v>350.82561097629099</v>
      </c>
      <c r="AO272" s="50">
        <v>47.515218998231298</v>
      </c>
      <c r="AP272" s="60">
        <v>263.78237326182699</v>
      </c>
      <c r="AQ272" s="50">
        <v>54.684097504827399</v>
      </c>
      <c r="AR272" s="60">
        <v>158.172010388003</v>
      </c>
      <c r="AS272" s="50">
        <v>24.496082461300599</v>
      </c>
      <c r="AT272" s="60">
        <v>182.33040192061301</v>
      </c>
      <c r="AU272" s="50">
        <v>30.671999648264201</v>
      </c>
      <c r="AV272" s="60">
        <v>9487.7623237455991</v>
      </c>
      <c r="AW272" s="61">
        <v>0.67905990329852295</v>
      </c>
      <c r="AX272" s="65">
        <v>1.7986821488292799</v>
      </c>
      <c r="AY272" s="65">
        <v>0</v>
      </c>
      <c r="AZ272" s="50">
        <v>17.405470530024498</v>
      </c>
      <c r="BA272" s="65">
        <v>0.17203898585461699</v>
      </c>
      <c r="BB272" s="50">
        <v>275.55835445667901</v>
      </c>
      <c r="BC272" s="60">
        <v>498.60300385290202</v>
      </c>
      <c r="BD272" s="60">
        <v>896.16473517688996</v>
      </c>
    </row>
    <row r="273" spans="1:56" s="41" customFormat="1" ht="12" customHeight="1">
      <c r="A273" s="47" t="s">
        <v>41</v>
      </c>
      <c r="B273" s="41" t="s">
        <v>382</v>
      </c>
      <c r="C273" s="41" t="s">
        <v>135</v>
      </c>
      <c r="D273" s="50">
        <v>308.90298714343402</v>
      </c>
      <c r="E273" s="50">
        <v>70.955339859370099</v>
      </c>
      <c r="F273" s="60">
        <v>425.70362133674303</v>
      </c>
      <c r="G273" s="122">
        <f t="shared" si="8"/>
        <v>0.16667779248991288</v>
      </c>
      <c r="H273" s="61">
        <v>0.90096424654965102</v>
      </c>
      <c r="I273" s="62">
        <v>0.26223290582347603</v>
      </c>
      <c r="J273" s="62">
        <v>4.6546223525506802E-3</v>
      </c>
      <c r="K273" s="62">
        <v>20.061223172237</v>
      </c>
      <c r="L273" s="62">
        <v>0.37758858928330402</v>
      </c>
      <c r="M273" s="62">
        <v>0.55254495752614896</v>
      </c>
      <c r="N273" s="62">
        <v>4.2892607348204697E-3</v>
      </c>
      <c r="O273" s="62">
        <v>0.412432969176244</v>
      </c>
      <c r="P273" s="62">
        <v>0.169980548194376</v>
      </c>
      <c r="Q273" s="62">
        <v>6.7238677697772599E-3</v>
      </c>
      <c r="R273" s="62">
        <v>4.6639402289709899</v>
      </c>
      <c r="S273" s="60">
        <v>3260.18</v>
      </c>
      <c r="T273" s="69">
        <v>28.085000000000001</v>
      </c>
      <c r="U273" s="60">
        <v>3094.3124185128299</v>
      </c>
      <c r="V273" s="69">
        <v>18.325132450771701</v>
      </c>
      <c r="W273" s="60">
        <v>2835.74854185403</v>
      </c>
      <c r="X273" s="69">
        <v>17.8754050845736</v>
      </c>
      <c r="Y273" s="60">
        <v>3173.0595896223899</v>
      </c>
      <c r="Z273" s="69">
        <v>116.159496234058</v>
      </c>
      <c r="AA273" s="71">
        <f t="shared" si="9"/>
        <v>0.91279554177034838</v>
      </c>
      <c r="AB273" s="50">
        <v>32.731290000000001</v>
      </c>
      <c r="AC273" s="60">
        <v>549.384120784939</v>
      </c>
      <c r="AD273" s="61">
        <v>4.5721050880805896</v>
      </c>
      <c r="AE273" s="60">
        <v>472.91389063125399</v>
      </c>
      <c r="AF273" s="61">
        <v>1.4770468949189199</v>
      </c>
      <c r="AG273" s="61">
        <v>0.31228716589266797</v>
      </c>
      <c r="AH273" s="61">
        <v>10.793557069126299</v>
      </c>
      <c r="AI273" s="50">
        <v>12.618294237403701</v>
      </c>
      <c r="AJ273" s="61">
        <v>0.57550904374546696</v>
      </c>
      <c r="AK273" s="61">
        <v>1.8405050561371401</v>
      </c>
      <c r="AL273" s="61">
        <v>1.21573661779667</v>
      </c>
      <c r="AM273" s="61">
        <v>0.29917559242185798</v>
      </c>
      <c r="AN273" s="61">
        <v>6.9098059059711003</v>
      </c>
      <c r="AO273" s="61">
        <v>2.7243424661327098</v>
      </c>
      <c r="AP273" s="50">
        <v>35.956650774932498</v>
      </c>
      <c r="AQ273" s="50">
        <v>15.0524872137174</v>
      </c>
      <c r="AR273" s="50">
        <v>74.466197670992102</v>
      </c>
      <c r="AS273" s="50">
        <v>17.681126136318198</v>
      </c>
      <c r="AT273" s="60">
        <v>174.42406319225401</v>
      </c>
      <c r="AU273" s="50">
        <v>38.244618407315201</v>
      </c>
      <c r="AV273" s="60">
        <v>10573.1634972505</v>
      </c>
      <c r="AW273" s="61">
        <v>1.5838761635637</v>
      </c>
      <c r="AX273" s="65">
        <v>3.2922962481622499E-2</v>
      </c>
      <c r="AY273" s="65">
        <v>0</v>
      </c>
      <c r="AZ273" s="61">
        <v>0.90096424654965102</v>
      </c>
      <c r="BA273" s="65">
        <v>7.08679665249538E-3</v>
      </c>
      <c r="BB273" s="50">
        <v>308.90298714343402</v>
      </c>
      <c r="BC273" s="50">
        <v>70.955339859370099</v>
      </c>
      <c r="BD273" s="60">
        <v>425.70362133674303</v>
      </c>
    </row>
    <row r="274" spans="1:56" s="41" customFormat="1" ht="12" customHeight="1">
      <c r="A274" s="47"/>
      <c r="D274" s="50"/>
      <c r="E274" s="60"/>
      <c r="F274" s="60"/>
      <c r="G274" s="122"/>
      <c r="H274" s="61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0"/>
      <c r="T274" s="69"/>
      <c r="U274" s="60"/>
      <c r="V274" s="69"/>
      <c r="W274" s="60"/>
      <c r="X274" s="69"/>
      <c r="Y274" s="60"/>
      <c r="Z274" s="69"/>
      <c r="AA274" s="71"/>
      <c r="AB274" s="50"/>
      <c r="AC274" s="60"/>
      <c r="AD274" s="50"/>
      <c r="AE274" s="60"/>
      <c r="AF274" s="61"/>
      <c r="AG274" s="61"/>
      <c r="AH274" s="61"/>
      <c r="AI274" s="50"/>
      <c r="AJ274" s="61"/>
      <c r="AK274" s="61"/>
      <c r="AL274" s="61"/>
      <c r="AM274" s="61"/>
      <c r="AN274" s="50"/>
      <c r="AO274" s="61"/>
      <c r="AP274" s="50"/>
      <c r="AQ274" s="50"/>
      <c r="AR274" s="50"/>
      <c r="AS274" s="50"/>
      <c r="AT274" s="50"/>
      <c r="AU274" s="50"/>
      <c r="AV274" s="60"/>
      <c r="AW274" s="61"/>
      <c r="AX274" s="65"/>
      <c r="AY274" s="65"/>
      <c r="AZ274" s="61"/>
      <c r="BA274" s="65"/>
      <c r="BB274" s="50"/>
      <c r="BC274" s="60"/>
      <c r="BD274" s="60"/>
    </row>
    <row r="275" spans="1:56" s="39" customFormat="1" ht="12" customHeight="1">
      <c r="A275" s="47" t="s">
        <v>42</v>
      </c>
      <c r="B275" s="39" t="s">
        <v>383</v>
      </c>
      <c r="C275" s="39" t="s">
        <v>126</v>
      </c>
      <c r="D275" s="52">
        <v>340.42324528993203</v>
      </c>
      <c r="E275" s="52">
        <v>769.17580742435302</v>
      </c>
      <c r="F275" s="52">
        <v>648.32579044417002</v>
      </c>
      <c r="G275" s="122">
        <f t="shared" si="8"/>
        <v>1.1864032231347581</v>
      </c>
      <c r="H275" s="48">
        <v>16.862287442825401</v>
      </c>
      <c r="I275" s="54">
        <v>0.19958649817090501</v>
      </c>
      <c r="J275" s="54">
        <v>3.9402366914412703E-3</v>
      </c>
      <c r="K275" s="54">
        <v>9.5455699749258898</v>
      </c>
      <c r="L275" s="54">
        <v>0.249820122290212</v>
      </c>
      <c r="M275" s="54">
        <v>0.34470284259996498</v>
      </c>
      <c r="N275" s="54">
        <v>5.59011314578321E-3</v>
      </c>
      <c r="O275" s="54">
        <v>0.61965531967490695</v>
      </c>
      <c r="P275" s="54">
        <v>9.0890555520167907E-2</v>
      </c>
      <c r="Q275" s="54">
        <v>1.88444003525625E-3</v>
      </c>
      <c r="R275" s="54">
        <v>0.65064381950627903</v>
      </c>
      <c r="S275" s="52">
        <v>2833.33</v>
      </c>
      <c r="T275" s="67">
        <v>32.097500000000103</v>
      </c>
      <c r="U275" s="52">
        <v>2391.9438129118498</v>
      </c>
      <c r="V275" s="67">
        <v>24.108927607803299</v>
      </c>
      <c r="W275" s="52">
        <v>1909.25417420909</v>
      </c>
      <c r="X275" s="67">
        <v>26.8184480423647</v>
      </c>
      <c r="Y275" s="52">
        <v>1758.35040064893</v>
      </c>
      <c r="Z275" s="67">
        <v>34.915264599677101</v>
      </c>
      <c r="AA275" s="71">
        <f t="shared" si="9"/>
        <v>0.77555572184862198</v>
      </c>
      <c r="AB275" s="48">
        <v>32.731290000000001</v>
      </c>
      <c r="AC275" s="52">
        <v>1174.51683834099</v>
      </c>
      <c r="AD275" s="48">
        <v>21.447699057835699</v>
      </c>
      <c r="AE275" s="52">
        <v>1390.02230629011</v>
      </c>
      <c r="AF275" s="53">
        <v>2.4065786153912598</v>
      </c>
      <c r="AG275" s="53">
        <v>80.455348907859005</v>
      </c>
      <c r="AH275" s="53">
        <v>17.087272895440599</v>
      </c>
      <c r="AI275" s="52">
        <v>118.41201200846901</v>
      </c>
      <c r="AJ275" s="53">
        <v>4.8683148148153697</v>
      </c>
      <c r="AK275" s="48">
        <v>39.0477688040205</v>
      </c>
      <c r="AL275" s="48">
        <v>43.534117443041701</v>
      </c>
      <c r="AM275" s="48">
        <v>17.638424863237901</v>
      </c>
      <c r="AN275" s="52">
        <v>102.411222761339</v>
      </c>
      <c r="AO275" s="48">
        <v>20.671739292231599</v>
      </c>
      <c r="AP275" s="52">
        <v>163.244486187814</v>
      </c>
      <c r="AQ275" s="48">
        <v>45.878887256634002</v>
      </c>
      <c r="AR275" s="52">
        <v>167.24754022690999</v>
      </c>
      <c r="AS275" s="48">
        <v>30.565649467228202</v>
      </c>
      <c r="AT275" s="52">
        <v>261.19661165478698</v>
      </c>
      <c r="AU275" s="48">
        <v>49.982255316372601</v>
      </c>
      <c r="AV275" s="52">
        <v>6649.8788833880699</v>
      </c>
      <c r="AW275" s="53">
        <v>0.40592752887220301</v>
      </c>
      <c r="AX275" s="64">
        <v>0.29693059411974598</v>
      </c>
      <c r="AY275" s="64">
        <v>0</v>
      </c>
      <c r="AZ275" s="48">
        <v>16.862287442825401</v>
      </c>
      <c r="BA275" s="64">
        <v>0.14469553596752699</v>
      </c>
      <c r="BB275" s="52">
        <v>340.42324528993203</v>
      </c>
      <c r="BC275" s="52">
        <v>769.17580742435302</v>
      </c>
      <c r="BD275" s="52">
        <v>648.32579044417002</v>
      </c>
    </row>
    <row r="276" spans="1:56" s="39" customFormat="1" ht="12" customHeight="1">
      <c r="A276" s="47" t="s">
        <v>42</v>
      </c>
      <c r="B276" s="39" t="s">
        <v>384</v>
      </c>
      <c r="C276" s="39" t="s">
        <v>126</v>
      </c>
      <c r="D276" s="52">
        <v>388.332372559249</v>
      </c>
      <c r="E276" s="52">
        <v>634.94990243164102</v>
      </c>
      <c r="F276" s="52">
        <v>872.88762812811603</v>
      </c>
      <c r="G276" s="122">
        <f t="shared" si="8"/>
        <v>0.72741310790860214</v>
      </c>
      <c r="H276" s="48">
        <v>44.420550299404503</v>
      </c>
      <c r="I276" s="54">
        <v>0.17350488391611699</v>
      </c>
      <c r="J276" s="54">
        <v>4.7978702886214497E-3</v>
      </c>
      <c r="K276" s="54">
        <v>6.8979643110972599</v>
      </c>
      <c r="L276" s="54">
        <v>0.26963235831079402</v>
      </c>
      <c r="M276" s="54">
        <v>0.281850934869252</v>
      </c>
      <c r="N276" s="54">
        <v>5.0895334010601402E-3</v>
      </c>
      <c r="O276" s="54">
        <v>0.46196324360462099</v>
      </c>
      <c r="P276" s="54">
        <v>9.1402269816471704E-2</v>
      </c>
      <c r="Q276" s="54">
        <v>4.4688401078325597E-3</v>
      </c>
      <c r="R276" s="54">
        <v>1.0485631498886201</v>
      </c>
      <c r="S276" s="52">
        <v>2591.665</v>
      </c>
      <c r="T276" s="67">
        <v>46.3</v>
      </c>
      <c r="U276" s="52">
        <v>2098.3957395823099</v>
      </c>
      <c r="V276" s="67">
        <v>34.694000439533802</v>
      </c>
      <c r="W276" s="52">
        <v>1600.6773652535801</v>
      </c>
      <c r="X276" s="67">
        <v>25.609798135203299</v>
      </c>
      <c r="Y276" s="52">
        <v>1767.82931777772</v>
      </c>
      <c r="Z276" s="67">
        <v>82.760701010500995</v>
      </c>
      <c r="AA276" s="71">
        <f t="shared" si="9"/>
        <v>0.73089562697311916</v>
      </c>
      <c r="AB276" s="48">
        <v>32.731290000000001</v>
      </c>
      <c r="AC276" s="52">
        <v>662.37753321118998</v>
      </c>
      <c r="AD276" s="48">
        <v>23.167116741276701</v>
      </c>
      <c r="AE276" s="52">
        <v>1561.1771634076099</v>
      </c>
      <c r="AF276" s="53">
        <v>2.4453372077618201</v>
      </c>
      <c r="AG276" s="53">
        <v>84.570000815580102</v>
      </c>
      <c r="AH276" s="53">
        <v>0.63304567422490299</v>
      </c>
      <c r="AI276" s="48">
        <v>56.3158926936106</v>
      </c>
      <c r="AJ276" s="53">
        <v>0.93666509675061405</v>
      </c>
      <c r="AK276" s="48">
        <v>12.383254840484801</v>
      </c>
      <c r="AL276" s="48">
        <v>20.762918055968299</v>
      </c>
      <c r="AM276" s="48">
        <v>15.5583017485627</v>
      </c>
      <c r="AN276" s="48">
        <v>66.851880989424004</v>
      </c>
      <c r="AO276" s="48">
        <v>16.127052516281498</v>
      </c>
      <c r="AP276" s="52">
        <v>157.30590856115401</v>
      </c>
      <c r="AQ276" s="48">
        <v>52.333546909304197</v>
      </c>
      <c r="AR276" s="52">
        <v>211.423206373868</v>
      </c>
      <c r="AS276" s="48">
        <v>40.8941303062538</v>
      </c>
      <c r="AT276" s="52">
        <v>358.22686911225901</v>
      </c>
      <c r="AU276" s="48">
        <v>71.290228065866103</v>
      </c>
      <c r="AV276" s="52">
        <v>7170.98651738633</v>
      </c>
      <c r="AW276" s="53">
        <v>0.64773803221406301</v>
      </c>
      <c r="AX276" s="64">
        <v>0.26278324216016502</v>
      </c>
      <c r="AY276" s="64">
        <v>0</v>
      </c>
      <c r="AZ276" s="48">
        <v>44.420550299404503</v>
      </c>
      <c r="BA276" s="64">
        <v>0.159664047809668</v>
      </c>
      <c r="BB276" s="52">
        <v>388.332372559249</v>
      </c>
      <c r="BC276" s="52">
        <v>634.94990243164102</v>
      </c>
      <c r="BD276" s="52">
        <v>872.88762812811603</v>
      </c>
    </row>
    <row r="277" spans="1:56" s="39" customFormat="1" ht="12" customHeight="1">
      <c r="A277" s="47" t="s">
        <v>42</v>
      </c>
      <c r="B277" s="39" t="s">
        <v>385</v>
      </c>
      <c r="C277" s="39" t="s">
        <v>126</v>
      </c>
      <c r="D277" s="48">
        <v>115.88225099625301</v>
      </c>
      <c r="E277" s="52">
        <v>111.686544217926</v>
      </c>
      <c r="F277" s="52">
        <v>173.39714593495</v>
      </c>
      <c r="G277" s="122">
        <f t="shared" si="8"/>
        <v>0.64410831917513356</v>
      </c>
      <c r="H277" s="53">
        <v>2.3178808977470799</v>
      </c>
      <c r="I277" s="54">
        <v>0.23533098988637299</v>
      </c>
      <c r="J277" s="54">
        <v>4.8492950964085096E-3</v>
      </c>
      <c r="K277" s="54">
        <v>15.151307858449799</v>
      </c>
      <c r="L277" s="54">
        <v>0.34460667423807601</v>
      </c>
      <c r="M277" s="54">
        <v>0.46557459143388402</v>
      </c>
      <c r="N277" s="54">
        <v>5.4315736750808301E-3</v>
      </c>
      <c r="O277" s="54">
        <v>0.51293560011197703</v>
      </c>
      <c r="P277" s="54">
        <v>0.13682796311101</v>
      </c>
      <c r="Q277" s="54">
        <v>2.8091668629662602E-3</v>
      </c>
      <c r="R277" s="54">
        <v>1.1956803184384499</v>
      </c>
      <c r="S277" s="52">
        <v>3088.58</v>
      </c>
      <c r="T277" s="67">
        <v>33.025000000000098</v>
      </c>
      <c r="U277" s="52">
        <v>2824.7966983166598</v>
      </c>
      <c r="V277" s="67">
        <v>21.749351306348402</v>
      </c>
      <c r="W277" s="52">
        <v>2464.12491962377</v>
      </c>
      <c r="X277" s="67">
        <v>23.9281157111296</v>
      </c>
      <c r="Y277" s="52">
        <v>2592.05448388575</v>
      </c>
      <c r="Z277" s="67">
        <v>49.945571436767203</v>
      </c>
      <c r="AA277" s="71">
        <f t="shared" si="9"/>
        <v>0.86361235626201638</v>
      </c>
      <c r="AB277" s="48">
        <v>32.731290000000001</v>
      </c>
      <c r="AC277" s="52">
        <v>510.79239908608503</v>
      </c>
      <c r="AD277" s="53">
        <v>7.9455164626559904</v>
      </c>
      <c r="AE277" s="52">
        <v>341.78886261090298</v>
      </c>
      <c r="AF277" s="53">
        <v>0.65451880853383604</v>
      </c>
      <c r="AG277" s="53">
        <v>1.46609397367117</v>
      </c>
      <c r="AH277" s="53">
        <v>0.70772121202864902</v>
      </c>
      <c r="AI277" s="48">
        <v>29.616074109680699</v>
      </c>
      <c r="AJ277" s="53">
        <v>1.0780405894071401</v>
      </c>
      <c r="AK277" s="48">
        <v>11.1659545088587</v>
      </c>
      <c r="AL277" s="48">
        <v>10.2097893810031</v>
      </c>
      <c r="AM277" s="53">
        <v>3.6055526459598601</v>
      </c>
      <c r="AN277" s="48">
        <v>22.408867534087101</v>
      </c>
      <c r="AO277" s="53">
        <v>4.43420220839318</v>
      </c>
      <c r="AP277" s="48">
        <v>36.277674028028997</v>
      </c>
      <c r="AQ277" s="48">
        <v>11.227424234386</v>
      </c>
      <c r="AR277" s="48">
        <v>42.639248318579099</v>
      </c>
      <c r="AS277" s="53">
        <v>8.4306993200152007</v>
      </c>
      <c r="AT277" s="48">
        <v>74.812355359743407</v>
      </c>
      <c r="AU277" s="48">
        <v>15.200221753772199</v>
      </c>
      <c r="AV277" s="52">
        <v>7360.3151223309997</v>
      </c>
      <c r="AW277" s="53">
        <v>0.150770354610716</v>
      </c>
      <c r="AX277" s="64">
        <v>0.105315426449286</v>
      </c>
      <c r="AY277" s="64">
        <v>0</v>
      </c>
      <c r="AZ277" s="53">
        <v>2.3178808977470799</v>
      </c>
      <c r="BA277" s="64">
        <v>5.9790186958807903E-2</v>
      </c>
      <c r="BB277" s="48">
        <v>115.88225099625301</v>
      </c>
      <c r="BC277" s="52">
        <v>111.686544217926</v>
      </c>
      <c r="BD277" s="52">
        <v>173.39714593495</v>
      </c>
    </row>
    <row r="278" spans="1:56" s="39" customFormat="1" ht="12" customHeight="1">
      <c r="A278" s="47" t="s">
        <v>42</v>
      </c>
      <c r="B278" s="39" t="s">
        <v>386</v>
      </c>
      <c r="C278" s="39" t="s">
        <v>126</v>
      </c>
      <c r="D278" s="48">
        <v>255.30287155372201</v>
      </c>
      <c r="E278" s="52">
        <v>162.661607153083</v>
      </c>
      <c r="F278" s="52">
        <v>279.76831364433502</v>
      </c>
      <c r="G278" s="122">
        <f t="shared" si="8"/>
        <v>0.58141540417572835</v>
      </c>
      <c r="H278" s="53">
        <v>4.7187166138132799</v>
      </c>
      <c r="I278" s="54">
        <v>0.23621074225518901</v>
      </c>
      <c r="J278" s="54">
        <v>5.1924590514263397E-3</v>
      </c>
      <c r="K278" s="54">
        <v>21.130913649301199</v>
      </c>
      <c r="L278" s="54">
        <v>0.47171580826155002</v>
      </c>
      <c r="M278" s="54">
        <v>0.64705923196007997</v>
      </c>
      <c r="N278" s="54">
        <v>5.3425830885153597E-3</v>
      </c>
      <c r="O278" s="54">
        <v>0.369866580182169</v>
      </c>
      <c r="P278" s="54">
        <v>0.17170525008311699</v>
      </c>
      <c r="Q278" s="54">
        <v>4.6655162958261298E-3</v>
      </c>
      <c r="R278" s="54">
        <v>1.3015797523366801</v>
      </c>
      <c r="S278" s="52">
        <v>3094.75</v>
      </c>
      <c r="T278" s="67">
        <v>35.190000000000097</v>
      </c>
      <c r="U278" s="52">
        <v>3144.6163768739798</v>
      </c>
      <c r="V278" s="67">
        <v>21.748057491650201</v>
      </c>
      <c r="W278" s="52">
        <v>3216.7053285719298</v>
      </c>
      <c r="X278" s="67">
        <v>20.9823236557089</v>
      </c>
      <c r="Y278" s="52">
        <v>3202.8330757349099</v>
      </c>
      <c r="Z278" s="67">
        <v>80.481401751834099</v>
      </c>
      <c r="AA278" s="71">
        <f t="shared" si="9"/>
        <v>0.97733522842077458</v>
      </c>
      <c r="AB278" s="48">
        <v>32.731290000000001</v>
      </c>
      <c r="AC278" s="52">
        <v>599.02520428647802</v>
      </c>
      <c r="AD278" s="53">
        <v>8.49658440948199</v>
      </c>
      <c r="AE278" s="52">
        <v>504.04346218846001</v>
      </c>
      <c r="AF278" s="53">
        <v>1.2720112467153899</v>
      </c>
      <c r="AG278" s="53">
        <v>1.1413078421782299</v>
      </c>
      <c r="AH278" s="53">
        <v>0.113254306658276</v>
      </c>
      <c r="AI278" s="48">
        <v>31.170887996799198</v>
      </c>
      <c r="AJ278" s="53">
        <v>0.30992472541682098</v>
      </c>
      <c r="AK278" s="53">
        <v>3.62460982472592</v>
      </c>
      <c r="AL278" s="53">
        <v>4.9868251024105001</v>
      </c>
      <c r="AM278" s="53">
        <v>2.45917098994253</v>
      </c>
      <c r="AN278" s="48">
        <v>18.361985089030998</v>
      </c>
      <c r="AO278" s="53">
        <v>4.7053361161902201</v>
      </c>
      <c r="AP278" s="48">
        <v>46.267974966298098</v>
      </c>
      <c r="AQ278" s="48">
        <v>15.9604675628878</v>
      </c>
      <c r="AR278" s="48">
        <v>65.573911019406594</v>
      </c>
      <c r="AS278" s="48">
        <v>13.1843243175504</v>
      </c>
      <c r="AT278" s="52">
        <v>121.649653986272</v>
      </c>
      <c r="AU278" s="48">
        <v>25.354933179106801</v>
      </c>
      <c r="AV278" s="52">
        <v>7133.7796743109302</v>
      </c>
      <c r="AW278" s="53">
        <v>0.335413277503465</v>
      </c>
      <c r="AX278" s="64">
        <v>0</v>
      </c>
      <c r="AY278" s="64">
        <v>0</v>
      </c>
      <c r="AZ278" s="53">
        <v>4.7187166138132799</v>
      </c>
      <c r="BA278" s="64">
        <v>1.34919987459759E-3</v>
      </c>
      <c r="BB278" s="48">
        <v>255.30287155372201</v>
      </c>
      <c r="BC278" s="52">
        <v>162.661607153083</v>
      </c>
      <c r="BD278" s="52">
        <v>279.76831364433502</v>
      </c>
    </row>
    <row r="279" spans="1:56" s="39" customFormat="1" ht="12" customHeight="1">
      <c r="A279" s="47" t="s">
        <v>42</v>
      </c>
      <c r="B279" s="39" t="s">
        <v>387</v>
      </c>
      <c r="C279" s="39" t="s">
        <v>126</v>
      </c>
      <c r="D279" s="48">
        <v>359.70972953096401</v>
      </c>
      <c r="E279" s="52">
        <v>229.796947158129</v>
      </c>
      <c r="F279" s="52">
        <v>677.40928992011595</v>
      </c>
      <c r="G279" s="122">
        <f t="shared" si="8"/>
        <v>0.33922910502929182</v>
      </c>
      <c r="H279" s="48">
        <v>38.5186174155996</v>
      </c>
      <c r="I279" s="54">
        <v>0.221431192537972</v>
      </c>
      <c r="J279" s="54">
        <v>5.2541067738058403E-3</v>
      </c>
      <c r="K279" s="54">
        <v>11.3565447953966</v>
      </c>
      <c r="L279" s="54">
        <v>0.30638470050581501</v>
      </c>
      <c r="M279" s="54">
        <v>0.36949536817472101</v>
      </c>
      <c r="N279" s="54">
        <v>3.8440070967620402E-3</v>
      </c>
      <c r="O279" s="54">
        <v>0.385615360971855</v>
      </c>
      <c r="P279" s="54">
        <v>0.107283847282692</v>
      </c>
      <c r="Q279" s="54">
        <v>8.87162544006285E-3</v>
      </c>
      <c r="R279" s="54">
        <v>2.3111750209388999</v>
      </c>
      <c r="S279" s="52">
        <v>2991.05</v>
      </c>
      <c r="T279" s="67">
        <v>37.5</v>
      </c>
      <c r="U279" s="52">
        <v>2552.8617207198099</v>
      </c>
      <c r="V279" s="67">
        <v>25.2365417092896</v>
      </c>
      <c r="W279" s="52">
        <v>2027.0254800100499</v>
      </c>
      <c r="X279" s="67">
        <v>18.127379184609399</v>
      </c>
      <c r="Y279" s="52">
        <v>2059.82884557638</v>
      </c>
      <c r="Z279" s="67">
        <v>161.94160160261299</v>
      </c>
      <c r="AA279" s="71">
        <f t="shared" si="9"/>
        <v>0.77037153202115471</v>
      </c>
      <c r="AB279" s="48">
        <v>32.731290000000001</v>
      </c>
      <c r="AC279" s="52">
        <v>900.98831503529595</v>
      </c>
      <c r="AD279" s="52">
        <v>388.617050884658</v>
      </c>
      <c r="AE279" s="52">
        <v>1846.60371249185</v>
      </c>
      <c r="AF279" s="48">
        <v>52.004889224145401</v>
      </c>
      <c r="AG279" s="53">
        <v>40.114106002317499</v>
      </c>
      <c r="AH279" s="53">
        <v>51.116100013512302</v>
      </c>
      <c r="AI279" s="52">
        <v>119.53280836159701</v>
      </c>
      <c r="AJ279" s="48">
        <v>10.7174569390942</v>
      </c>
      <c r="AK279" s="48">
        <v>56.646789695127097</v>
      </c>
      <c r="AL279" s="48">
        <v>44.8430733020217</v>
      </c>
      <c r="AM279" s="48">
        <v>19.910195624812399</v>
      </c>
      <c r="AN279" s="52">
        <v>120.807930950287</v>
      </c>
      <c r="AO279" s="48">
        <v>21.000646670014099</v>
      </c>
      <c r="AP279" s="52">
        <v>164.56284189874799</v>
      </c>
      <c r="AQ279" s="48">
        <v>57.443502848542899</v>
      </c>
      <c r="AR279" s="52">
        <v>275.48058726730898</v>
      </c>
      <c r="AS279" s="48">
        <v>66.373524680570696</v>
      </c>
      <c r="AT279" s="52">
        <v>678.13302065484299</v>
      </c>
      <c r="AU279" s="52">
        <v>140.02579407002801</v>
      </c>
      <c r="AV279" s="52">
        <v>12205.458435672799</v>
      </c>
      <c r="AW279" s="48">
        <v>32.085069439138003</v>
      </c>
      <c r="AX279" s="64">
        <v>0.944010405694792</v>
      </c>
      <c r="AY279" s="64">
        <v>0</v>
      </c>
      <c r="AZ279" s="48">
        <v>38.5186174155996</v>
      </c>
      <c r="BA279" s="64">
        <v>0.13592036536676499</v>
      </c>
      <c r="BB279" s="48">
        <v>359.70972953096401</v>
      </c>
      <c r="BC279" s="52">
        <v>229.796947158129</v>
      </c>
      <c r="BD279" s="52">
        <v>677.40928992011595</v>
      </c>
    </row>
    <row r="280" spans="1:56" s="39" customFormat="1" ht="12" customHeight="1">
      <c r="A280" s="47" t="s">
        <v>42</v>
      </c>
      <c r="B280" s="39" t="s">
        <v>388</v>
      </c>
      <c r="C280" s="39" t="s">
        <v>126</v>
      </c>
      <c r="D280" s="48">
        <v>152.21767268867501</v>
      </c>
      <c r="E280" s="48">
        <v>76.261166104441699</v>
      </c>
      <c r="F280" s="52">
        <v>204.949097733445</v>
      </c>
      <c r="G280" s="122">
        <f t="shared" si="8"/>
        <v>0.37209808165940944</v>
      </c>
      <c r="H280" s="53">
        <v>2.2826371014662001</v>
      </c>
      <c r="I280" s="54">
        <v>0.24085167428389101</v>
      </c>
      <c r="J280" s="54">
        <v>5.6822021249351099E-3</v>
      </c>
      <c r="K280" s="54">
        <v>21.3856698341753</v>
      </c>
      <c r="L280" s="54">
        <v>0.71532184295814605</v>
      </c>
      <c r="M280" s="54">
        <v>0.638565056460069</v>
      </c>
      <c r="N280" s="54">
        <v>1.46820196521477E-2</v>
      </c>
      <c r="O280" s="54">
        <v>0.68738812068265698</v>
      </c>
      <c r="P280" s="54">
        <v>0.16415212266405901</v>
      </c>
      <c r="Q280" s="54">
        <v>4.56191730502038E-3</v>
      </c>
      <c r="R280" s="54">
        <v>2.30696454741837</v>
      </c>
      <c r="S280" s="52">
        <v>3125.62</v>
      </c>
      <c r="T280" s="67">
        <v>37.655000000000001</v>
      </c>
      <c r="U280" s="52">
        <v>3156.2380206067801</v>
      </c>
      <c r="V280" s="67">
        <v>32.516917858334203</v>
      </c>
      <c r="W280" s="52">
        <v>3183.3740097158602</v>
      </c>
      <c r="X280" s="67">
        <v>57.787320543956497</v>
      </c>
      <c r="Y280" s="52">
        <v>3072.1178442454002</v>
      </c>
      <c r="Z280" s="67">
        <v>79.204867394545801</v>
      </c>
      <c r="AA280" s="71">
        <f t="shared" si="9"/>
        <v>0.99143922720214184</v>
      </c>
      <c r="AB280" s="48">
        <v>32.731290000000001</v>
      </c>
      <c r="AC280" s="52">
        <v>550.71704595924098</v>
      </c>
      <c r="AD280" s="53">
        <v>8.5213749415706594</v>
      </c>
      <c r="AE280" s="52">
        <v>1206.48204379501</v>
      </c>
      <c r="AF280" s="48">
        <v>14.654066431774799</v>
      </c>
      <c r="AG280" s="53">
        <v>3.51051914388007</v>
      </c>
      <c r="AH280" s="53">
        <v>1.1645921080114801</v>
      </c>
      <c r="AI280" s="48">
        <v>21.526446835756001</v>
      </c>
      <c r="AJ280" s="53">
        <v>1.4468418621649599</v>
      </c>
      <c r="AK280" s="48">
        <v>11.2617112846829</v>
      </c>
      <c r="AL280" s="53">
        <v>8.1612410880941795</v>
      </c>
      <c r="AM280" s="53">
        <v>6.5569089851945703</v>
      </c>
      <c r="AN280" s="48">
        <v>28.423164503900701</v>
      </c>
      <c r="AO280" s="53">
        <v>9.1564528264924991</v>
      </c>
      <c r="AP280" s="52">
        <v>109.778197340609</v>
      </c>
      <c r="AQ280" s="48">
        <v>42.479040870837402</v>
      </c>
      <c r="AR280" s="52">
        <v>184.68616015296499</v>
      </c>
      <c r="AS280" s="48">
        <v>37.276576346523299</v>
      </c>
      <c r="AT280" s="52">
        <v>325.501229778057</v>
      </c>
      <c r="AU280" s="48">
        <v>63.044770439806101</v>
      </c>
      <c r="AV280" s="52">
        <v>9817.7597332470705</v>
      </c>
      <c r="AW280" s="53">
        <v>6.4335294054556904</v>
      </c>
      <c r="AX280" s="64">
        <v>8.9274987308108095E-2</v>
      </c>
      <c r="AY280" s="64">
        <v>0</v>
      </c>
      <c r="AZ280" s="53">
        <v>2.2826371014662001</v>
      </c>
      <c r="BA280" s="64">
        <v>5.3502134050417101E-2</v>
      </c>
      <c r="BB280" s="48">
        <v>152.21767268867501</v>
      </c>
      <c r="BC280" s="48">
        <v>76.261166104441699</v>
      </c>
      <c r="BD280" s="52">
        <v>204.949097733445</v>
      </c>
    </row>
    <row r="281" spans="1:56" s="39" customFormat="1" ht="12" customHeight="1">
      <c r="A281" s="47" t="s">
        <v>42</v>
      </c>
      <c r="B281" s="39" t="s">
        <v>389</v>
      </c>
      <c r="C281" s="39" t="s">
        <v>126</v>
      </c>
      <c r="D281" s="48">
        <v>266.55224775088601</v>
      </c>
      <c r="E281" s="52">
        <v>211.33776945182001</v>
      </c>
      <c r="F281" s="52">
        <v>1041.1070292648401</v>
      </c>
      <c r="G281" s="122">
        <f t="shared" si="8"/>
        <v>0.20299331722027902</v>
      </c>
      <c r="H281" s="48">
        <v>20.5740699172006</v>
      </c>
      <c r="I281" s="54">
        <v>0.14833603651509999</v>
      </c>
      <c r="J281" s="54">
        <v>4.1613105162768499E-3</v>
      </c>
      <c r="K281" s="54">
        <v>4.2706791809059901</v>
      </c>
      <c r="L281" s="54">
        <v>0.18755925264873499</v>
      </c>
      <c r="M281" s="54">
        <v>0.20348792265753099</v>
      </c>
      <c r="N281" s="54">
        <v>5.1961299968993103E-3</v>
      </c>
      <c r="O281" s="54">
        <v>0.581433196399045</v>
      </c>
      <c r="P281" s="54">
        <v>7.7026480110844703E-2</v>
      </c>
      <c r="Q281" s="54">
        <v>3.5581414546931498E-3</v>
      </c>
      <c r="R281" s="54">
        <v>4.0167864516641902</v>
      </c>
      <c r="S281" s="52">
        <v>2327.7849999999999</v>
      </c>
      <c r="T281" s="67">
        <v>48.150000000000098</v>
      </c>
      <c r="U281" s="52">
        <v>1687.7283150547</v>
      </c>
      <c r="V281" s="67">
        <v>36.151038452595003</v>
      </c>
      <c r="W281" s="52">
        <v>1194.03025307244</v>
      </c>
      <c r="X281" s="67">
        <v>27.8402404227452</v>
      </c>
      <c r="Y281" s="52">
        <v>1499.82788863356</v>
      </c>
      <c r="Z281" s="67">
        <v>66.774558549286496</v>
      </c>
      <c r="AA281" s="71">
        <f t="shared" si="9"/>
        <v>0.65736334234056581</v>
      </c>
      <c r="AB281" s="48">
        <v>32.731290000000001</v>
      </c>
      <c r="AC281" s="52">
        <v>620.66637071970604</v>
      </c>
      <c r="AD281" s="48">
        <v>34.895351307647601</v>
      </c>
      <c r="AE281" s="52">
        <v>1031.26597739916</v>
      </c>
      <c r="AF281" s="53">
        <v>4.1069596807810997</v>
      </c>
      <c r="AG281" s="53">
        <v>105.701828288817</v>
      </c>
      <c r="AH281" s="53">
        <v>3.45319105068454</v>
      </c>
      <c r="AI281" s="48">
        <v>78.583554518814296</v>
      </c>
      <c r="AJ281" s="53">
        <v>7.5186125513882196</v>
      </c>
      <c r="AK281" s="52">
        <v>128.52953383607101</v>
      </c>
      <c r="AL281" s="48">
        <v>66.407221571523294</v>
      </c>
      <c r="AM281" s="48">
        <v>92.218807295491999</v>
      </c>
      <c r="AN281" s="48">
        <v>68.222202988392496</v>
      </c>
      <c r="AO281" s="48">
        <v>11.5772416052464</v>
      </c>
      <c r="AP281" s="52">
        <v>100.91531040603699</v>
      </c>
      <c r="AQ281" s="48">
        <v>33.706769358831899</v>
      </c>
      <c r="AR281" s="52">
        <v>140.25308672409301</v>
      </c>
      <c r="AS281" s="48">
        <v>29.534331402035999</v>
      </c>
      <c r="AT281" s="52">
        <v>271.44640539550397</v>
      </c>
      <c r="AU281" s="48">
        <v>54.219708517140099</v>
      </c>
      <c r="AV281" s="52">
        <v>9388.9507862098999</v>
      </c>
      <c r="AW281" s="53">
        <v>1.09032539855759</v>
      </c>
      <c r="AX281" s="64">
        <v>0.547411732159505</v>
      </c>
      <c r="AY281" s="64">
        <v>0</v>
      </c>
      <c r="AZ281" s="48">
        <v>20.5740699172006</v>
      </c>
      <c r="BA281" s="64">
        <v>0.210418363134561</v>
      </c>
      <c r="BB281" s="48">
        <v>266.55224775088601</v>
      </c>
      <c r="BC281" s="52">
        <v>211.33776945182001</v>
      </c>
      <c r="BD281" s="52">
        <v>1041.1070292648401</v>
      </c>
    </row>
    <row r="282" spans="1:56" s="39" customFormat="1" ht="12" customHeight="1">
      <c r="A282" s="47" t="s">
        <v>42</v>
      </c>
      <c r="B282" s="39" t="s">
        <v>390</v>
      </c>
      <c r="D282" s="48">
        <v>110.636941417797</v>
      </c>
      <c r="E282" s="48">
        <v>74.612721979707501</v>
      </c>
      <c r="F282" s="52">
        <v>128.02740624348101</v>
      </c>
      <c r="G282" s="122">
        <f t="shared" si="8"/>
        <v>0.58278710917418652</v>
      </c>
      <c r="H282" s="53">
        <v>1.0675829658281599</v>
      </c>
      <c r="I282" s="54">
        <v>0.24110396683017499</v>
      </c>
      <c r="J282" s="54">
        <v>6.1945468113976301E-3</v>
      </c>
      <c r="K282" s="54">
        <v>20.155204211745598</v>
      </c>
      <c r="L282" s="54">
        <v>0.54226670165222401</v>
      </c>
      <c r="M282" s="54">
        <v>0.60567498434046896</v>
      </c>
      <c r="N282" s="54">
        <v>7.8462706010634098E-3</v>
      </c>
      <c r="O282" s="54">
        <v>0.48150179548946598</v>
      </c>
      <c r="P282" s="54">
        <v>0.18828164511725301</v>
      </c>
      <c r="Q282" s="54">
        <v>4.83776036678307E-3</v>
      </c>
      <c r="R282" s="54">
        <v>1.3416168864020599</v>
      </c>
      <c r="S282" s="52">
        <v>3127.4749999999999</v>
      </c>
      <c r="T282" s="67">
        <v>40.277500000000103</v>
      </c>
      <c r="U282" s="52">
        <v>3098.8332611515102</v>
      </c>
      <c r="V282" s="67">
        <v>26.112253273175</v>
      </c>
      <c r="W282" s="52">
        <v>3052.6621702893999</v>
      </c>
      <c r="X282" s="67">
        <v>31.544065798055001</v>
      </c>
      <c r="Y282" s="52">
        <v>3486.7765105029998</v>
      </c>
      <c r="Z282" s="67">
        <v>82.288502789621205</v>
      </c>
      <c r="AA282" s="71">
        <f t="shared" si="9"/>
        <v>0.98498866125263618</v>
      </c>
      <c r="AB282" s="48">
        <v>32.731290000000001</v>
      </c>
      <c r="AC282" s="52">
        <v>512.13247795193195</v>
      </c>
      <c r="AD282" s="53">
        <v>5.4122984470432502</v>
      </c>
      <c r="AE282" s="52">
        <v>186.190596959853</v>
      </c>
      <c r="AF282" s="53">
        <v>0.62087362538462398</v>
      </c>
      <c r="AG282" s="53">
        <v>1.69538762188017</v>
      </c>
      <c r="AH282" s="53">
        <v>0.23649191578560499</v>
      </c>
      <c r="AI282" s="48">
        <v>21.227620649719899</v>
      </c>
      <c r="AJ282" s="53">
        <v>0.20961597104221799</v>
      </c>
      <c r="AK282" s="53">
        <v>3.1854942713504899</v>
      </c>
      <c r="AL282" s="53">
        <v>3.6583033051199201</v>
      </c>
      <c r="AM282" s="53">
        <v>3.75503116762341</v>
      </c>
      <c r="AN282" s="53">
        <v>9.6159476185629291</v>
      </c>
      <c r="AO282" s="53">
        <v>2.0484013993154599</v>
      </c>
      <c r="AP282" s="48">
        <v>18.994700778530301</v>
      </c>
      <c r="AQ282" s="53">
        <v>5.9104221655721396</v>
      </c>
      <c r="AR282" s="48">
        <v>22.665766120589499</v>
      </c>
      <c r="AS282" s="53">
        <v>4.4757591335556501</v>
      </c>
      <c r="AT282" s="48">
        <v>41.560382694147201</v>
      </c>
      <c r="AU282" s="53">
        <v>8.5025340932517608</v>
      </c>
      <c r="AV282" s="52">
        <v>7770.3200512380899</v>
      </c>
      <c r="AW282" s="53">
        <v>0.21009661203914101</v>
      </c>
      <c r="AX282" s="64">
        <v>1.80394207969619E-2</v>
      </c>
      <c r="AY282" s="64">
        <v>0</v>
      </c>
      <c r="AZ282" s="53">
        <v>1.0675829658281599</v>
      </c>
      <c r="BA282" s="64">
        <v>1.0776636099000999E-2</v>
      </c>
      <c r="BB282" s="48">
        <v>110.636941417797</v>
      </c>
      <c r="BC282" s="48">
        <v>74.612721979707501</v>
      </c>
      <c r="BD282" s="52">
        <v>128.02740624348101</v>
      </c>
    </row>
    <row r="283" spans="1:56" s="39" customFormat="1" ht="12" customHeight="1">
      <c r="A283" s="47" t="s">
        <v>42</v>
      </c>
      <c r="B283" s="39" t="s">
        <v>391</v>
      </c>
      <c r="C283" s="39" t="s">
        <v>126</v>
      </c>
      <c r="D283" s="48">
        <v>178.921341429291</v>
      </c>
      <c r="E283" s="52">
        <v>142.33696464372599</v>
      </c>
      <c r="F283" s="52">
        <v>234.333828816547</v>
      </c>
      <c r="G283" s="122">
        <f t="shared" si="8"/>
        <v>0.60741108256784115</v>
      </c>
      <c r="H283" s="53">
        <v>2.9476759130167598</v>
      </c>
      <c r="I283" s="54">
        <v>0.23147419029810101</v>
      </c>
      <c r="J283" s="54">
        <v>5.3252752044096801E-3</v>
      </c>
      <c r="K283" s="54">
        <v>18.278273501899498</v>
      </c>
      <c r="L283" s="54">
        <v>0.44910609314168198</v>
      </c>
      <c r="M283" s="54">
        <v>0.57251884597662295</v>
      </c>
      <c r="N283" s="54">
        <v>7.7518268713825597E-3</v>
      </c>
      <c r="O283" s="54">
        <v>0.55106204766304601</v>
      </c>
      <c r="P283" s="54">
        <v>0.152433224601667</v>
      </c>
      <c r="Q283" s="54">
        <v>3.7390262518902598E-3</v>
      </c>
      <c r="R283" s="54">
        <v>1.48904136151717</v>
      </c>
      <c r="S283" s="52">
        <v>3062.04</v>
      </c>
      <c r="T283" s="67">
        <v>36.732500000000101</v>
      </c>
      <c r="U283" s="52">
        <v>3004.4968640057</v>
      </c>
      <c r="V283" s="67">
        <v>23.742400719611702</v>
      </c>
      <c r="W283" s="52">
        <v>2918.1543545105901</v>
      </c>
      <c r="X283" s="67">
        <v>31.817035446136099</v>
      </c>
      <c r="Y283" s="52">
        <v>2867.6211137342998</v>
      </c>
      <c r="Z283" s="67">
        <v>65.577814815363396</v>
      </c>
      <c r="AA283" s="71">
        <f t="shared" si="9"/>
        <v>0.97084329084745935</v>
      </c>
      <c r="AB283" s="48">
        <v>32.731290000000001</v>
      </c>
      <c r="AC283" s="52">
        <v>508.42881551276002</v>
      </c>
      <c r="AD283" s="53">
        <v>5.0330140379437598</v>
      </c>
      <c r="AE283" s="52">
        <v>504.44524205641102</v>
      </c>
      <c r="AF283" s="53">
        <v>1.1289965431989399</v>
      </c>
      <c r="AG283" s="53">
        <v>8.3578625017573298</v>
      </c>
      <c r="AH283" s="53">
        <v>0.114945204050296</v>
      </c>
      <c r="AI283" s="48">
        <v>23.116344335306898</v>
      </c>
      <c r="AJ283" s="53">
        <v>0.49850643705960301</v>
      </c>
      <c r="AK283" s="53">
        <v>7.41736532437299</v>
      </c>
      <c r="AL283" s="53">
        <v>9.4258437191418594</v>
      </c>
      <c r="AM283" s="53">
        <v>6.8355846592579601</v>
      </c>
      <c r="AN283" s="48">
        <v>26.9058263870796</v>
      </c>
      <c r="AO283" s="53">
        <v>6.2480967925705597</v>
      </c>
      <c r="AP283" s="48">
        <v>54.094018333603699</v>
      </c>
      <c r="AQ283" s="48">
        <v>16.361540086308</v>
      </c>
      <c r="AR283" s="48">
        <v>61.722541176322103</v>
      </c>
      <c r="AS283" s="48">
        <v>11.7868733332266</v>
      </c>
      <c r="AT283" s="52">
        <v>102.584200212338</v>
      </c>
      <c r="AU283" s="48">
        <v>19.947780839086299</v>
      </c>
      <c r="AV283" s="52">
        <v>8200.0995098003004</v>
      </c>
      <c r="AW283" s="53">
        <v>0.28034371596049501</v>
      </c>
      <c r="AX283" s="64">
        <v>2.7820333977320099E-2</v>
      </c>
      <c r="AY283" s="64">
        <v>0</v>
      </c>
      <c r="AZ283" s="53">
        <v>2.9476759130167598</v>
      </c>
      <c r="BA283" s="64">
        <v>1.88015477851739E-2</v>
      </c>
      <c r="BB283" s="48">
        <v>178.921341429291</v>
      </c>
      <c r="BC283" s="52">
        <v>142.33696464372599</v>
      </c>
      <c r="BD283" s="52">
        <v>234.333828816547</v>
      </c>
    </row>
    <row r="284" spans="1:56" s="39" customFormat="1" ht="12" customHeight="1">
      <c r="A284" s="47" t="s">
        <v>42</v>
      </c>
      <c r="B284" s="39" t="s">
        <v>392</v>
      </c>
      <c r="D284" s="48">
        <v>93.964257121218097</v>
      </c>
      <c r="E284" s="48">
        <v>94.622901195021797</v>
      </c>
      <c r="F284" s="52">
        <v>100.98635555948</v>
      </c>
      <c r="G284" s="122">
        <f t="shared" si="8"/>
        <v>0.93698698869561448</v>
      </c>
      <c r="H284" s="64">
        <v>9.7441374182120302E-2</v>
      </c>
      <c r="I284" s="54">
        <v>0.24084087531692</v>
      </c>
      <c r="J284" s="54">
        <v>5.3133490071932098E-3</v>
      </c>
      <c r="K284" s="54">
        <v>20.960773563847098</v>
      </c>
      <c r="L284" s="54">
        <v>0.46687103061572899</v>
      </c>
      <c r="M284" s="54">
        <v>0.629638576172317</v>
      </c>
      <c r="N284" s="54">
        <v>5.1320600613593498E-3</v>
      </c>
      <c r="O284" s="54">
        <v>0.365940756724563</v>
      </c>
      <c r="P284" s="54">
        <v>0.164458317334503</v>
      </c>
      <c r="Q284" s="54">
        <v>3.52147183066957E-3</v>
      </c>
      <c r="R284" s="54">
        <v>0.81944622807116096</v>
      </c>
      <c r="S284" s="52">
        <v>3125.62</v>
      </c>
      <c r="T284" s="67">
        <v>35.1875</v>
      </c>
      <c r="U284" s="52">
        <v>3136.7800599698498</v>
      </c>
      <c r="V284" s="67">
        <v>21.691477969018901</v>
      </c>
      <c r="W284" s="52">
        <v>3148.15959917992</v>
      </c>
      <c r="X284" s="67">
        <v>20.372111197882202</v>
      </c>
      <c r="Y284" s="52">
        <v>3077.4333547684901</v>
      </c>
      <c r="Z284" s="67">
        <v>61.124380220135698</v>
      </c>
      <c r="AA284" s="71">
        <f t="shared" si="9"/>
        <v>0.99637879126062778</v>
      </c>
      <c r="AB284" s="48">
        <v>32.731290000000001</v>
      </c>
      <c r="AC284" s="52">
        <v>530.29553692615002</v>
      </c>
      <c r="AD284" s="53">
        <v>8.1674240025102893</v>
      </c>
      <c r="AE284" s="52">
        <v>234.74640637297401</v>
      </c>
      <c r="AF284" s="53">
        <v>0.69226321572145799</v>
      </c>
      <c r="AG284" s="53">
        <v>2.53797007688456E-2</v>
      </c>
      <c r="AH284" s="53">
        <v>1.53127712977653E-3</v>
      </c>
      <c r="AI284" s="48">
        <v>36.597076638743602</v>
      </c>
      <c r="AJ284" s="53">
        <v>0.115130482395187</v>
      </c>
      <c r="AK284" s="53">
        <v>1.96284853956693</v>
      </c>
      <c r="AL284" s="53">
        <v>3.2791486181376501</v>
      </c>
      <c r="AM284" s="53">
        <v>1.55310406418616</v>
      </c>
      <c r="AN284" s="48">
        <v>11.847368835430199</v>
      </c>
      <c r="AO284" s="53">
        <v>2.7686982712503898</v>
      </c>
      <c r="AP284" s="48">
        <v>24.758841532944</v>
      </c>
      <c r="AQ284" s="53">
        <v>7.44765929523314</v>
      </c>
      <c r="AR284" s="48">
        <v>27.887146091212799</v>
      </c>
      <c r="AS284" s="53">
        <v>5.5026134521251997</v>
      </c>
      <c r="AT284" s="48">
        <v>47.297143068728801</v>
      </c>
      <c r="AU284" s="53">
        <v>9.2731988022063607</v>
      </c>
      <c r="AV284" s="52">
        <v>6851.7794548993697</v>
      </c>
      <c r="AW284" s="53">
        <v>0.13476487939769599</v>
      </c>
      <c r="AX284" s="64">
        <v>0</v>
      </c>
      <c r="AY284" s="64">
        <v>0</v>
      </c>
      <c r="AZ284" s="64">
        <v>9.7441374182120302E-2</v>
      </c>
      <c r="BA284" s="64">
        <v>0</v>
      </c>
      <c r="BB284" s="48">
        <v>93.964257121218097</v>
      </c>
      <c r="BC284" s="48">
        <v>94.622901195021797</v>
      </c>
      <c r="BD284" s="52">
        <v>100.98635555948</v>
      </c>
    </row>
    <row r="285" spans="1:56" s="39" customFormat="1" ht="12" customHeight="1">
      <c r="A285" s="47" t="s">
        <v>42</v>
      </c>
      <c r="B285" s="39" t="s">
        <v>393</v>
      </c>
      <c r="D285" s="48">
        <v>122.283589205521</v>
      </c>
      <c r="E285" s="48">
        <v>70.893635543048802</v>
      </c>
      <c r="F285" s="52">
        <v>139.564889330645</v>
      </c>
      <c r="G285" s="122">
        <f t="shared" si="8"/>
        <v>0.50796182251177635</v>
      </c>
      <c r="H285" s="53">
        <v>0.26831064982549002</v>
      </c>
      <c r="I285" s="54">
        <v>0.239718634778015</v>
      </c>
      <c r="J285" s="54">
        <v>5.0659019786292898E-3</v>
      </c>
      <c r="K285" s="54">
        <v>21.301739807161599</v>
      </c>
      <c r="L285" s="54">
        <v>0.47663228317259898</v>
      </c>
      <c r="M285" s="54">
        <v>0.64256118713636301</v>
      </c>
      <c r="N285" s="54">
        <v>6.46512415867529E-3</v>
      </c>
      <c r="O285" s="54">
        <v>0.44967009033561001</v>
      </c>
      <c r="P285" s="54">
        <v>0.17267955337552701</v>
      </c>
      <c r="Q285" s="54">
        <v>3.7182221188857001E-3</v>
      </c>
      <c r="R285" s="54">
        <v>1.5074504936967901</v>
      </c>
      <c r="S285" s="52">
        <v>3118.21</v>
      </c>
      <c r="T285" s="67">
        <v>33.645000000000003</v>
      </c>
      <c r="U285" s="52">
        <v>3152.42391600871</v>
      </c>
      <c r="V285" s="67">
        <v>21.806364013530501</v>
      </c>
      <c r="W285" s="52">
        <v>3199.0763779210602</v>
      </c>
      <c r="X285" s="67">
        <v>25.431838846393902</v>
      </c>
      <c r="Y285" s="52">
        <v>3219.6330838052399</v>
      </c>
      <c r="Z285" s="67">
        <v>64.087034250540597</v>
      </c>
      <c r="AA285" s="71">
        <f t="shared" si="9"/>
        <v>0.98530978201892339</v>
      </c>
      <c r="AB285" s="48">
        <v>32.731290000000001</v>
      </c>
      <c r="AC285" s="52">
        <v>526.73957456811002</v>
      </c>
      <c r="AD285" s="53">
        <v>8.28764912026279</v>
      </c>
      <c r="AE285" s="52">
        <v>348.79960600315002</v>
      </c>
      <c r="AF285" s="53">
        <v>0.73011479253576494</v>
      </c>
      <c r="AG285" s="53">
        <v>0.19857275365956201</v>
      </c>
      <c r="AH285" s="53">
        <v>0.199113506978426</v>
      </c>
      <c r="AI285" s="48">
        <v>18.8847317351415</v>
      </c>
      <c r="AJ285" s="53">
        <v>0.26716708665393801</v>
      </c>
      <c r="AK285" s="53">
        <v>2.74879682226981</v>
      </c>
      <c r="AL285" s="53">
        <v>2.8636206105839501</v>
      </c>
      <c r="AM285" s="53">
        <v>1.8852194720550399</v>
      </c>
      <c r="AN285" s="48">
        <v>11.224862349778901</v>
      </c>
      <c r="AO285" s="53">
        <v>2.9720272398345098</v>
      </c>
      <c r="AP285" s="48">
        <v>30.413471368925801</v>
      </c>
      <c r="AQ285" s="48">
        <v>11.0117092526938</v>
      </c>
      <c r="AR285" s="48">
        <v>48.588253170812301</v>
      </c>
      <c r="AS285" s="48">
        <v>10.565750775611701</v>
      </c>
      <c r="AT285" s="48">
        <v>97.048968444737994</v>
      </c>
      <c r="AU285" s="48">
        <v>20.961548932082099</v>
      </c>
      <c r="AV285" s="52">
        <v>7174.5826891195802</v>
      </c>
      <c r="AW285" s="53">
        <v>0.30064417168435398</v>
      </c>
      <c r="AX285" s="64">
        <v>8.7740506109446597E-3</v>
      </c>
      <c r="AY285" s="64">
        <v>0</v>
      </c>
      <c r="AZ285" s="53">
        <v>0.26831064982549002</v>
      </c>
      <c r="BA285" s="64">
        <v>8.9618061416841394E-3</v>
      </c>
      <c r="BB285" s="48">
        <v>122.283589205521</v>
      </c>
      <c r="BC285" s="48">
        <v>70.893635543048802</v>
      </c>
      <c r="BD285" s="52">
        <v>139.564889330645</v>
      </c>
    </row>
    <row r="286" spans="1:56" s="39" customFormat="1" ht="12" customHeight="1">
      <c r="A286" s="47" t="s">
        <v>42</v>
      </c>
      <c r="B286" s="39" t="s">
        <v>394</v>
      </c>
      <c r="D286" s="48">
        <v>159.44386544838599</v>
      </c>
      <c r="E286" s="48">
        <v>80.455808260571203</v>
      </c>
      <c r="F286" s="52">
        <v>182.65746264884501</v>
      </c>
      <c r="G286" s="122">
        <f t="shared" si="8"/>
        <v>0.44047369920628832</v>
      </c>
      <c r="H286" s="53">
        <v>0.124469516731135</v>
      </c>
      <c r="I286" s="54">
        <v>0.23676245985755401</v>
      </c>
      <c r="J286" s="54">
        <v>4.8770200795101599E-3</v>
      </c>
      <c r="K286" s="54">
        <v>21.394133189303901</v>
      </c>
      <c r="L286" s="54">
        <v>0.44357838627968399</v>
      </c>
      <c r="M286" s="54">
        <v>0.65366894309700696</v>
      </c>
      <c r="N286" s="54">
        <v>5.0071741761564398E-3</v>
      </c>
      <c r="O286" s="54">
        <v>0.36945297315728298</v>
      </c>
      <c r="P286" s="54">
        <v>0.16958586132841899</v>
      </c>
      <c r="Q286" s="54">
        <v>3.5395334915985302E-3</v>
      </c>
      <c r="R286" s="54">
        <v>1.73471074453568</v>
      </c>
      <c r="S286" s="52">
        <v>3098.46</v>
      </c>
      <c r="T286" s="67">
        <v>32.717500000000001</v>
      </c>
      <c r="U286" s="52">
        <v>3156.6218341518802</v>
      </c>
      <c r="V286" s="67">
        <v>20.226717014893701</v>
      </c>
      <c r="W286" s="52">
        <v>3242.5232634682002</v>
      </c>
      <c r="X286" s="67">
        <v>19.597591684928599</v>
      </c>
      <c r="Y286" s="52">
        <v>3166.2399489200002</v>
      </c>
      <c r="Z286" s="67">
        <v>61.168539840198299</v>
      </c>
      <c r="AA286" s="71">
        <f t="shared" si="9"/>
        <v>0.97315221705215971</v>
      </c>
      <c r="AB286" s="48">
        <v>32.731290000000001</v>
      </c>
      <c r="AC286" s="52">
        <v>507.30272879369397</v>
      </c>
      <c r="AD286" s="53">
        <v>3.6540344630143902</v>
      </c>
      <c r="AE286" s="52">
        <v>382.15105706836601</v>
      </c>
      <c r="AF286" s="53">
        <v>0.701929288180132</v>
      </c>
      <c r="AG286" s="53">
        <v>4.7519066508020904E-3</v>
      </c>
      <c r="AH286" s="53">
        <v>4.6173098335018301E-3</v>
      </c>
      <c r="AI286" s="48">
        <v>14.3999866607294</v>
      </c>
      <c r="AJ286" s="64">
        <v>8.0401835043404105E-2</v>
      </c>
      <c r="AK286" s="53">
        <v>1.3302415402988099</v>
      </c>
      <c r="AL286" s="53">
        <v>2.5019319141826499</v>
      </c>
      <c r="AM286" s="53">
        <v>1.31524495260874</v>
      </c>
      <c r="AN286" s="48">
        <v>11.789932475980301</v>
      </c>
      <c r="AO286" s="53">
        <v>3.3286951790936801</v>
      </c>
      <c r="AP286" s="48">
        <v>33.611998024379801</v>
      </c>
      <c r="AQ286" s="48">
        <v>12.0313683235567</v>
      </c>
      <c r="AR286" s="48">
        <v>51.745208039239799</v>
      </c>
      <c r="AS286" s="48">
        <v>11.0873098504838</v>
      </c>
      <c r="AT286" s="52">
        <v>106.83650895830399</v>
      </c>
      <c r="AU286" s="48">
        <v>22.890014805133401</v>
      </c>
      <c r="AV286" s="52">
        <v>8186.5778260798497</v>
      </c>
      <c r="AW286" s="53">
        <v>0.17130925738399</v>
      </c>
      <c r="AX286" s="64">
        <v>2.4735881421527502E-2</v>
      </c>
      <c r="AY286" s="64">
        <v>0</v>
      </c>
      <c r="AZ286" s="53">
        <v>0.124469516731135</v>
      </c>
      <c r="BA286" s="64">
        <v>6.6505008719815297E-3</v>
      </c>
      <c r="BB286" s="48">
        <v>159.44386544838599</v>
      </c>
      <c r="BC286" s="48">
        <v>80.455808260571203</v>
      </c>
      <c r="BD286" s="52">
        <v>182.65746264884501</v>
      </c>
    </row>
    <row r="287" spans="1:56" s="39" customFormat="1" ht="12" customHeight="1">
      <c r="A287" s="47" t="s">
        <v>42</v>
      </c>
      <c r="B287" s="39" t="s">
        <v>395</v>
      </c>
      <c r="D287" s="48">
        <v>186.08779555705701</v>
      </c>
      <c r="E287" s="52">
        <v>143.335456140877</v>
      </c>
      <c r="F287" s="52">
        <v>234.40784819724499</v>
      </c>
      <c r="G287" s="122">
        <f t="shared" si="8"/>
        <v>0.61147891268668553</v>
      </c>
      <c r="H287" s="53">
        <v>0.30854855415501597</v>
      </c>
      <c r="I287" s="54">
        <v>0.238264452415373</v>
      </c>
      <c r="J287" s="54">
        <v>5.33024629336676E-3</v>
      </c>
      <c r="K287" s="54">
        <v>18.694446756196299</v>
      </c>
      <c r="L287" s="54">
        <v>0.41611037205197199</v>
      </c>
      <c r="M287" s="54">
        <v>0.56748460975402004</v>
      </c>
      <c r="N287" s="54">
        <v>4.4328156796804297E-3</v>
      </c>
      <c r="O287" s="54">
        <v>0.35093740578212601</v>
      </c>
      <c r="P287" s="54">
        <v>0.15493930935795799</v>
      </c>
      <c r="Q287" s="54">
        <v>3.5772081093347198E-3</v>
      </c>
      <c r="R287" s="54">
        <v>1.24910990841734</v>
      </c>
      <c r="S287" s="52">
        <v>3108.335</v>
      </c>
      <c r="T287" s="67">
        <v>35.497499999999903</v>
      </c>
      <c r="U287" s="52">
        <v>3026.1833837202898</v>
      </c>
      <c r="V287" s="67">
        <v>21.5517941113178</v>
      </c>
      <c r="W287" s="52">
        <v>2897.4838042739402</v>
      </c>
      <c r="X287" s="67">
        <v>18.297353106441602</v>
      </c>
      <c r="Y287" s="52">
        <v>2911.52696478506</v>
      </c>
      <c r="Z287" s="67">
        <v>62.603590290724803</v>
      </c>
      <c r="AA287" s="71">
        <f t="shared" si="9"/>
        <v>0.95654732942890819</v>
      </c>
      <c r="AB287" s="48">
        <v>32.731290000000001</v>
      </c>
      <c r="AC287" s="52">
        <v>496.81913419843403</v>
      </c>
      <c r="AD287" s="48">
        <v>63.903300134868402</v>
      </c>
      <c r="AE287" s="52">
        <v>503.45543604140897</v>
      </c>
      <c r="AF287" s="53">
        <v>1.2111754844251601</v>
      </c>
      <c r="AG287" s="53">
        <v>1.3238203016981001</v>
      </c>
      <c r="AH287" s="53">
        <v>0.27834012768501498</v>
      </c>
      <c r="AI287" s="48">
        <v>26.7428638911537</v>
      </c>
      <c r="AJ287" s="53">
        <v>0.93276610271688798</v>
      </c>
      <c r="AK287" s="48">
        <v>13.14411844818</v>
      </c>
      <c r="AL287" s="48">
        <v>18.819775797582299</v>
      </c>
      <c r="AM287" s="48">
        <v>12.197443860970299</v>
      </c>
      <c r="AN287" s="48">
        <v>36.256661256557301</v>
      </c>
      <c r="AO287" s="53">
        <v>6.7298082490252904</v>
      </c>
      <c r="AP287" s="48">
        <v>53.552627440618899</v>
      </c>
      <c r="AQ287" s="48">
        <v>16.256793239423299</v>
      </c>
      <c r="AR287" s="48">
        <v>61.420142408847703</v>
      </c>
      <c r="AS287" s="48">
        <v>12.103631412542599</v>
      </c>
      <c r="AT287" s="52">
        <v>108.41872330112</v>
      </c>
      <c r="AU287" s="48">
        <v>21.5933209532229</v>
      </c>
      <c r="AV287" s="52">
        <v>7816.04351655142</v>
      </c>
      <c r="AW287" s="53">
        <v>0.193177113878059</v>
      </c>
      <c r="AX287" s="64">
        <v>0.13343830653164601</v>
      </c>
      <c r="AY287" s="64">
        <v>0</v>
      </c>
      <c r="AZ287" s="53">
        <v>0.30854855415501597</v>
      </c>
      <c r="BA287" s="64">
        <v>2.59230406511977E-3</v>
      </c>
      <c r="BB287" s="48">
        <v>186.08779555705701</v>
      </c>
      <c r="BC287" s="52">
        <v>143.335456140877</v>
      </c>
      <c r="BD287" s="52">
        <v>234.40784819724499</v>
      </c>
    </row>
    <row r="288" spans="1:56" s="39" customFormat="1" ht="12" customHeight="1">
      <c r="A288" s="47" t="s">
        <v>42</v>
      </c>
      <c r="B288" s="39" t="s">
        <v>396</v>
      </c>
      <c r="D288" s="48">
        <v>142.48407266667101</v>
      </c>
      <c r="E288" s="48">
        <v>94.282378689776905</v>
      </c>
      <c r="F288" s="52">
        <v>159.85976523272899</v>
      </c>
      <c r="G288" s="122">
        <f t="shared" si="8"/>
        <v>0.58978179126259556</v>
      </c>
      <c r="H288" s="53">
        <v>0.116796701614455</v>
      </c>
      <c r="I288" s="54">
        <v>0.239584825414492</v>
      </c>
      <c r="J288" s="54">
        <v>5.6971226512058199E-3</v>
      </c>
      <c r="K288" s="54">
        <v>21.3798311558715</v>
      </c>
      <c r="L288" s="54">
        <v>0.51459842799920297</v>
      </c>
      <c r="M288" s="54">
        <v>0.64523560586121897</v>
      </c>
      <c r="N288" s="54">
        <v>5.8148319389256702E-3</v>
      </c>
      <c r="O288" s="54">
        <v>0.37441622323080398</v>
      </c>
      <c r="P288" s="54">
        <v>0.167570974064534</v>
      </c>
      <c r="Q288" s="54">
        <v>4.1293891648981401E-3</v>
      </c>
      <c r="R288" s="54">
        <v>1.2938798279102799</v>
      </c>
      <c r="S288" s="52">
        <v>3116.98</v>
      </c>
      <c r="T288" s="67">
        <v>37.965000000000103</v>
      </c>
      <c r="U288" s="52">
        <v>3155.9731516829202</v>
      </c>
      <c r="V288" s="67">
        <v>23.445986646349098</v>
      </c>
      <c r="W288" s="52">
        <v>3209.5638962713901</v>
      </c>
      <c r="X288" s="67">
        <v>22.849684079469899</v>
      </c>
      <c r="Y288" s="52">
        <v>3131.3895948085401</v>
      </c>
      <c r="Z288" s="67">
        <v>71.485296226010405</v>
      </c>
      <c r="AA288" s="71">
        <f t="shared" si="9"/>
        <v>0.9831622236475106</v>
      </c>
      <c r="AB288" s="48">
        <v>32.731290000000001</v>
      </c>
      <c r="AC288" s="52">
        <v>562.29318660779802</v>
      </c>
      <c r="AD288" s="53">
        <v>6.7441647001134903</v>
      </c>
      <c r="AE288" s="52">
        <v>399.06375055816602</v>
      </c>
      <c r="AF288" s="53">
        <v>0.54552482772134603</v>
      </c>
      <c r="AG288" s="53">
        <v>0</v>
      </c>
      <c r="AH288" s="53">
        <v>0.183312261378966</v>
      </c>
      <c r="AI288" s="48">
        <v>21.6537702152953</v>
      </c>
      <c r="AJ288" s="53">
        <v>0.14289158807323701</v>
      </c>
      <c r="AK288" s="53">
        <v>2.5773365621681199</v>
      </c>
      <c r="AL288" s="53">
        <v>4.1882451456996703</v>
      </c>
      <c r="AM288" s="53">
        <v>2.1735030692832402</v>
      </c>
      <c r="AN288" s="48">
        <v>16.792487834704801</v>
      </c>
      <c r="AO288" s="53">
        <v>4.0876331271287798</v>
      </c>
      <c r="AP288" s="48">
        <v>37.718361803758</v>
      </c>
      <c r="AQ288" s="48">
        <v>12.7161602988221</v>
      </c>
      <c r="AR288" s="48">
        <v>51.38805348935</v>
      </c>
      <c r="AS288" s="48">
        <v>10.6067340950099</v>
      </c>
      <c r="AT288" s="48">
        <v>98.570763962177793</v>
      </c>
      <c r="AU288" s="48">
        <v>20.634011840076401</v>
      </c>
      <c r="AV288" s="52">
        <v>6741.0222720086704</v>
      </c>
      <c r="AW288" s="53">
        <v>0.21396936132561001</v>
      </c>
      <c r="AX288" s="64">
        <v>6.4571653904263197E-3</v>
      </c>
      <c r="AY288" s="64">
        <v>0</v>
      </c>
      <c r="AZ288" s="53">
        <v>0.116796701614455</v>
      </c>
      <c r="BA288" s="64">
        <v>6.94516721742901E-3</v>
      </c>
      <c r="BB288" s="48">
        <v>142.48407266667101</v>
      </c>
      <c r="BC288" s="48">
        <v>94.282378689776905</v>
      </c>
      <c r="BD288" s="52">
        <v>159.85976523272899</v>
      </c>
    </row>
    <row r="289" spans="1:56" s="39" customFormat="1" ht="12" customHeight="1">
      <c r="A289" s="47" t="s">
        <v>42</v>
      </c>
      <c r="B289" s="39" t="s">
        <v>397</v>
      </c>
      <c r="D289" s="48">
        <v>90.894588172517899</v>
      </c>
      <c r="E289" s="48">
        <v>41.760557868167197</v>
      </c>
      <c r="F289" s="52">
        <v>112.559955251209</v>
      </c>
      <c r="G289" s="122">
        <f t="shared" si="8"/>
        <v>0.37100723587679862</v>
      </c>
      <c r="H289" s="53">
        <v>0.24338594063941399</v>
      </c>
      <c r="I289" s="54">
        <v>0.234967524451102</v>
      </c>
      <c r="J289" s="54">
        <v>5.9482688384385101E-3</v>
      </c>
      <c r="K289" s="54">
        <v>19.7959587853823</v>
      </c>
      <c r="L289" s="54">
        <v>0.49527403982161999</v>
      </c>
      <c r="M289" s="54">
        <v>0.60947002819424101</v>
      </c>
      <c r="N289" s="54">
        <v>5.2154863125553497E-3</v>
      </c>
      <c r="O289" s="54">
        <v>0.34203727123987399</v>
      </c>
      <c r="P289" s="54">
        <v>0.16308393723235701</v>
      </c>
      <c r="Q289" s="54">
        <v>4.4516693143030498E-3</v>
      </c>
      <c r="R289" s="54">
        <v>2.0493968741896298</v>
      </c>
      <c r="S289" s="52">
        <v>3086.1149999999998</v>
      </c>
      <c r="T289" s="67">
        <v>41.204999999999899</v>
      </c>
      <c r="U289" s="52">
        <v>3081.4425330419599</v>
      </c>
      <c r="V289" s="67">
        <v>24.272852190572198</v>
      </c>
      <c r="W289" s="52">
        <v>3067.8804175455002</v>
      </c>
      <c r="X289" s="67">
        <v>20.955187681252099</v>
      </c>
      <c r="Y289" s="52">
        <v>3053.5632938021499</v>
      </c>
      <c r="Z289" s="67">
        <v>77.3617054225478</v>
      </c>
      <c r="AA289" s="71">
        <f t="shared" si="9"/>
        <v>0.99558907033979605</v>
      </c>
      <c r="AB289" s="48">
        <v>32.731290000000001</v>
      </c>
      <c r="AC289" s="52">
        <v>479.21824803772802</v>
      </c>
      <c r="AD289" s="53">
        <v>5.9590028129651502</v>
      </c>
      <c r="AE289" s="52">
        <v>206.051870278179</v>
      </c>
      <c r="AF289" s="53">
        <v>0.70449824502937097</v>
      </c>
      <c r="AG289" s="53">
        <v>0.42715382157167198</v>
      </c>
      <c r="AH289" s="53">
        <v>0.17620120566646499</v>
      </c>
      <c r="AI289" s="48">
        <v>11.749313583169601</v>
      </c>
      <c r="AJ289" s="53">
        <v>0.27670510728073</v>
      </c>
      <c r="AK289" s="53">
        <v>2.74963389014935</v>
      </c>
      <c r="AL289" s="53">
        <v>1.95860992894066</v>
      </c>
      <c r="AM289" s="53">
        <v>1.77154774671388</v>
      </c>
      <c r="AN289" s="53">
        <v>5.7629019426385204</v>
      </c>
      <c r="AO289" s="53">
        <v>1.6375160888307601</v>
      </c>
      <c r="AP289" s="48">
        <v>17.822944479320501</v>
      </c>
      <c r="AQ289" s="53">
        <v>6.4276867116785699</v>
      </c>
      <c r="AR289" s="48">
        <v>27.8225063849486</v>
      </c>
      <c r="AS289" s="53">
        <v>5.79095078327141</v>
      </c>
      <c r="AT289" s="48">
        <v>53.5847530347841</v>
      </c>
      <c r="AU289" s="48">
        <v>11.1159565043556</v>
      </c>
      <c r="AV289" s="52">
        <v>8443.5408264776197</v>
      </c>
      <c r="AW289" s="53">
        <v>0.193159657641475</v>
      </c>
      <c r="AX289" s="64">
        <v>7.7652459978449898E-2</v>
      </c>
      <c r="AY289" s="64">
        <v>0</v>
      </c>
      <c r="AZ289" s="53">
        <v>0.24338594063941399</v>
      </c>
      <c r="BA289" s="64">
        <v>7.8972194603719997E-3</v>
      </c>
      <c r="BB289" s="48">
        <v>90.894588172517899</v>
      </c>
      <c r="BC289" s="48">
        <v>41.760557868167197</v>
      </c>
      <c r="BD289" s="52">
        <v>112.559955251209</v>
      </c>
    </row>
    <row r="290" spans="1:56" s="41" customFormat="1" ht="12" customHeight="1">
      <c r="A290" s="47" t="s">
        <v>42</v>
      </c>
      <c r="B290" s="41" t="s">
        <v>398</v>
      </c>
      <c r="C290" s="41" t="s">
        <v>126</v>
      </c>
      <c r="D290" s="60">
        <v>413.673462729363</v>
      </c>
      <c r="E290" s="60">
        <v>344.03035274946598</v>
      </c>
      <c r="F290" s="60">
        <v>1361.0638638343801</v>
      </c>
      <c r="G290" s="122">
        <f t="shared" si="8"/>
        <v>0.25276576793411143</v>
      </c>
      <c r="H290" s="50">
        <v>77.406512820090697</v>
      </c>
      <c r="I290" s="62">
        <v>0.111888075687545</v>
      </c>
      <c r="J290" s="62">
        <v>4.2466700388019999E-3</v>
      </c>
      <c r="K290" s="62">
        <v>3.0732251928243501</v>
      </c>
      <c r="L290" s="62">
        <v>0.114970893615177</v>
      </c>
      <c r="M290" s="62">
        <v>0.19973716300705899</v>
      </c>
      <c r="N290" s="62">
        <v>1.8126263854177599E-3</v>
      </c>
      <c r="O290" s="62">
        <v>0.24258050632195199</v>
      </c>
      <c r="P290" s="62">
        <v>9.8766295356072606E-2</v>
      </c>
      <c r="Q290" s="62">
        <v>1.1354310598614199E-2</v>
      </c>
      <c r="R290" s="62">
        <v>3.0566800339186599</v>
      </c>
      <c r="S290" s="60">
        <v>1831.4849999999999</v>
      </c>
      <c r="T290" s="69">
        <v>68.52</v>
      </c>
      <c r="U290" s="60">
        <v>1426.0396165065399</v>
      </c>
      <c r="V290" s="69">
        <v>28.676611996699201</v>
      </c>
      <c r="W290" s="60">
        <v>1173.9081513343999</v>
      </c>
      <c r="X290" s="69">
        <v>9.76019117273575</v>
      </c>
      <c r="Y290" s="60">
        <v>1903.7493829315199</v>
      </c>
      <c r="Z290" s="69">
        <v>208.866908361714</v>
      </c>
      <c r="AA290" s="71">
        <f t="shared" si="9"/>
        <v>0.80604882275653089</v>
      </c>
      <c r="AB290" s="50">
        <v>32.731290000000001</v>
      </c>
      <c r="AC290" s="60">
        <v>549.28283618007401</v>
      </c>
      <c r="AD290" s="61">
        <v>9.6475762220388308</v>
      </c>
      <c r="AE290" s="60">
        <v>1039.1217388098901</v>
      </c>
      <c r="AF290" s="61">
        <v>4.96791962445959</v>
      </c>
      <c r="AG290" s="61">
        <v>122.82144711086301</v>
      </c>
      <c r="AH290" s="61">
        <v>0.88322470550730803</v>
      </c>
      <c r="AI290" s="50">
        <v>18.820661388146402</v>
      </c>
      <c r="AJ290" s="61">
        <v>0.69595517497943205</v>
      </c>
      <c r="AK290" s="61">
        <v>4.7357015298886704</v>
      </c>
      <c r="AL290" s="61">
        <v>4.4757328409215296</v>
      </c>
      <c r="AM290" s="61">
        <v>2.7640924924106698</v>
      </c>
      <c r="AN290" s="50">
        <v>22.190574605540402</v>
      </c>
      <c r="AO290" s="61">
        <v>7.3503621421662997</v>
      </c>
      <c r="AP290" s="50">
        <v>87.609277593053207</v>
      </c>
      <c r="AQ290" s="50">
        <v>33.9146039031912</v>
      </c>
      <c r="AR290" s="60">
        <v>151.55474940515199</v>
      </c>
      <c r="AS290" s="50">
        <v>32.4101944437245</v>
      </c>
      <c r="AT290" s="60">
        <v>298.88965572591002</v>
      </c>
      <c r="AU290" s="50">
        <v>59.666306179287098</v>
      </c>
      <c r="AV290" s="60">
        <v>9498.8325619508705</v>
      </c>
      <c r="AW290" s="61">
        <v>1.6396898239345601</v>
      </c>
      <c r="AX290" s="65">
        <v>0.28510177006507498</v>
      </c>
      <c r="AY290" s="65">
        <v>0</v>
      </c>
      <c r="AZ290" s="50">
        <v>77.406512820090697</v>
      </c>
      <c r="BA290" s="65">
        <v>0.292179309546653</v>
      </c>
      <c r="BB290" s="60">
        <v>413.673462729363</v>
      </c>
      <c r="BC290" s="60">
        <v>344.03035274946598</v>
      </c>
      <c r="BD290" s="60">
        <v>1361.0638638343801</v>
      </c>
    </row>
    <row r="291" spans="1:56" s="41" customFormat="1" ht="12" customHeight="1">
      <c r="A291" s="47" t="s">
        <v>42</v>
      </c>
      <c r="B291" s="41" t="s">
        <v>399</v>
      </c>
      <c r="C291" s="41" t="s">
        <v>126</v>
      </c>
      <c r="D291" s="50">
        <v>129.229147468619</v>
      </c>
      <c r="E291" s="50">
        <v>71.961335246082797</v>
      </c>
      <c r="F291" s="60">
        <v>148.58324328148299</v>
      </c>
      <c r="G291" s="122">
        <f t="shared" si="8"/>
        <v>0.48431662721048496</v>
      </c>
      <c r="H291" s="61">
        <v>1.47202674708152</v>
      </c>
      <c r="I291" s="62">
        <v>0.25866295835785202</v>
      </c>
      <c r="J291" s="62">
        <v>6.2516205998917398E-3</v>
      </c>
      <c r="K291" s="62">
        <v>22.543928859460099</v>
      </c>
      <c r="L291" s="62">
        <v>0.58358687302664403</v>
      </c>
      <c r="M291" s="62">
        <v>0.63014961207423803</v>
      </c>
      <c r="N291" s="62">
        <v>7.31901303152284E-3</v>
      </c>
      <c r="O291" s="62">
        <v>0.44867610182283202</v>
      </c>
      <c r="P291" s="62">
        <v>0.17531458583635201</v>
      </c>
      <c r="Q291" s="62">
        <v>4.0722876604229498E-3</v>
      </c>
      <c r="R291" s="62">
        <v>1.6098630755596599</v>
      </c>
      <c r="S291" s="60">
        <v>3238.5749999999998</v>
      </c>
      <c r="T291" s="69">
        <v>38.270000000000003</v>
      </c>
      <c r="U291" s="60">
        <v>3207.4610238382002</v>
      </c>
      <c r="V291" s="69">
        <v>25.262779136692998</v>
      </c>
      <c r="W291" s="60">
        <v>3150.1808035787599</v>
      </c>
      <c r="X291" s="69">
        <v>28.992928235060901</v>
      </c>
      <c r="Y291" s="60">
        <v>3264.9993812798598</v>
      </c>
      <c r="Z291" s="69">
        <v>70.032320952598994</v>
      </c>
      <c r="AA291" s="71">
        <f t="shared" si="9"/>
        <v>0.98198067087943752</v>
      </c>
      <c r="AB291" s="50">
        <v>32.731290000000001</v>
      </c>
      <c r="AC291" s="60">
        <v>711.197827357032</v>
      </c>
      <c r="AD291" s="50">
        <v>17.997759379298799</v>
      </c>
      <c r="AE291" s="60">
        <v>2955.24939982759</v>
      </c>
      <c r="AF291" s="61">
        <v>6.3997057955675398</v>
      </c>
      <c r="AG291" s="61">
        <v>2.7908901405218298</v>
      </c>
      <c r="AH291" s="61">
        <v>0.59794128538965097</v>
      </c>
      <c r="AI291" s="50">
        <v>13.0531882076508</v>
      </c>
      <c r="AJ291" s="61">
        <v>0.69196669732841698</v>
      </c>
      <c r="AK291" s="50">
        <v>11.0752616527418</v>
      </c>
      <c r="AL291" s="50">
        <v>21.2868735097294</v>
      </c>
      <c r="AM291" s="61">
        <v>8.2305891668797404</v>
      </c>
      <c r="AN291" s="50">
        <v>77.389228776824893</v>
      </c>
      <c r="AO291" s="50">
        <v>24.310807114187899</v>
      </c>
      <c r="AP291" s="60">
        <v>293.11356930401098</v>
      </c>
      <c r="AQ291" s="60">
        <v>112.27030684637801</v>
      </c>
      <c r="AR291" s="60">
        <v>472.92263408595397</v>
      </c>
      <c r="AS291" s="50">
        <v>91.103527616519401</v>
      </c>
      <c r="AT291" s="60">
        <v>773.84061589714304</v>
      </c>
      <c r="AU291" s="60">
        <v>153.07351634744299</v>
      </c>
      <c r="AV291" s="60">
        <v>9616.4485527807792</v>
      </c>
      <c r="AW291" s="61">
        <v>2.38081771985782</v>
      </c>
      <c r="AX291" s="65">
        <v>0.1967320611651</v>
      </c>
      <c r="AY291" s="65">
        <v>0</v>
      </c>
      <c r="AZ291" s="61">
        <v>1.47202674708152</v>
      </c>
      <c r="BA291" s="65">
        <v>4.2731611748390201E-3</v>
      </c>
      <c r="BB291" s="50">
        <v>129.229147468619</v>
      </c>
      <c r="BC291" s="50">
        <v>71.961335246082797</v>
      </c>
      <c r="BD291" s="60">
        <v>148.58324328148299</v>
      </c>
    </row>
    <row r="292" spans="1:56" s="41" customFormat="1" ht="12" customHeight="1">
      <c r="A292" s="47" t="s">
        <v>42</v>
      </c>
      <c r="B292" s="41" t="s">
        <v>400</v>
      </c>
      <c r="C292" s="41" t="s">
        <v>126</v>
      </c>
      <c r="D292" s="50">
        <v>345.85629189224602</v>
      </c>
      <c r="E292" s="60">
        <v>288.91437418793799</v>
      </c>
      <c r="F292" s="60">
        <v>517.520103792123</v>
      </c>
      <c r="G292" s="122">
        <f t="shared" si="8"/>
        <v>0.55826695827064687</v>
      </c>
      <c r="H292" s="50">
        <v>15.645440970098999</v>
      </c>
      <c r="I292" s="62">
        <v>0.25651222952388297</v>
      </c>
      <c r="J292" s="62">
        <v>6.52687715733329E-3</v>
      </c>
      <c r="K292" s="62">
        <v>16.126019652430902</v>
      </c>
      <c r="L292" s="62">
        <v>0.43237194048267902</v>
      </c>
      <c r="M292" s="62">
        <v>0.45506643236971001</v>
      </c>
      <c r="N292" s="62">
        <v>5.6448953192117504E-3</v>
      </c>
      <c r="O292" s="62">
        <v>0.46264809064600398</v>
      </c>
      <c r="P292" s="62">
        <v>0.13683048193646</v>
      </c>
      <c r="Q292" s="62">
        <v>3.2649419858230199E-3</v>
      </c>
      <c r="R292" s="62">
        <v>1.3769936559202101</v>
      </c>
      <c r="S292" s="60">
        <v>3225.61</v>
      </c>
      <c r="T292" s="69">
        <v>40.119999999999898</v>
      </c>
      <c r="U292" s="60">
        <v>2884.29600865466</v>
      </c>
      <c r="V292" s="69">
        <v>25.7097822430765</v>
      </c>
      <c r="W292" s="60">
        <v>2417.7376797242</v>
      </c>
      <c r="X292" s="69">
        <v>25.042764812517301</v>
      </c>
      <c r="Y292" s="60">
        <v>2592.09926728353</v>
      </c>
      <c r="Z292" s="69">
        <v>58.048894864127703</v>
      </c>
      <c r="AA292" s="71">
        <f t="shared" si="9"/>
        <v>0.82400778404970343</v>
      </c>
      <c r="AB292" s="50">
        <v>32.731290000000001</v>
      </c>
      <c r="AC292" s="60">
        <v>653.77203227560403</v>
      </c>
      <c r="AD292" s="61">
        <v>9.2953043716977994</v>
      </c>
      <c r="AE292" s="60">
        <v>2739.6149971516902</v>
      </c>
      <c r="AF292" s="61">
        <v>9.8852937673857095</v>
      </c>
      <c r="AG292" s="61">
        <v>64.220931608254602</v>
      </c>
      <c r="AH292" s="61">
        <v>5.66171667445178</v>
      </c>
      <c r="AI292" s="50">
        <v>47.639387111558499</v>
      </c>
      <c r="AJ292" s="61">
        <v>2.5125137860772502</v>
      </c>
      <c r="AK292" s="50">
        <v>28.582068500251999</v>
      </c>
      <c r="AL292" s="50">
        <v>22.070707724255399</v>
      </c>
      <c r="AM292" s="50">
        <v>14.1690719495896</v>
      </c>
      <c r="AN292" s="50">
        <v>70.505448919340097</v>
      </c>
      <c r="AO292" s="50">
        <v>22.493916440404298</v>
      </c>
      <c r="AP292" s="60">
        <v>270.67870102979703</v>
      </c>
      <c r="AQ292" s="60">
        <v>102.218022511695</v>
      </c>
      <c r="AR292" s="60">
        <v>422.987144081172</v>
      </c>
      <c r="AS292" s="50">
        <v>80.425900731958706</v>
      </c>
      <c r="AT292" s="60">
        <v>664.13802380396703</v>
      </c>
      <c r="AU292" s="60">
        <v>122.347712276293</v>
      </c>
      <c r="AV292" s="60">
        <v>8917.2920174471001</v>
      </c>
      <c r="AW292" s="61">
        <v>3.30602219604362</v>
      </c>
      <c r="AX292" s="65">
        <v>0.28993821778479101</v>
      </c>
      <c r="AY292" s="65">
        <v>0</v>
      </c>
      <c r="AZ292" s="50">
        <v>15.645440970098999</v>
      </c>
      <c r="BA292" s="65">
        <v>0.101813219624468</v>
      </c>
      <c r="BB292" s="50">
        <v>345.85629189224602</v>
      </c>
      <c r="BC292" s="60">
        <v>288.91437418793799</v>
      </c>
      <c r="BD292" s="60">
        <v>517.520103792123</v>
      </c>
    </row>
    <row r="293" spans="1:56" s="41" customFormat="1" ht="12" customHeight="1">
      <c r="A293" s="47" t="s">
        <v>42</v>
      </c>
      <c r="B293" s="41" t="s">
        <v>401</v>
      </c>
      <c r="C293" s="41" t="s">
        <v>126</v>
      </c>
      <c r="D293" s="50">
        <v>314.42400606169201</v>
      </c>
      <c r="E293" s="60">
        <v>175.95241577693599</v>
      </c>
      <c r="F293" s="60">
        <v>350.32155649404802</v>
      </c>
      <c r="G293" s="122">
        <f t="shared" si="8"/>
        <v>0.50225974541171414</v>
      </c>
      <c r="H293" s="61">
        <v>5.1924775844653599</v>
      </c>
      <c r="I293" s="62">
        <v>0.26011575265639197</v>
      </c>
      <c r="J293" s="62">
        <v>6.1875778856867398E-3</v>
      </c>
      <c r="K293" s="62">
        <v>22.7864345946047</v>
      </c>
      <c r="L293" s="62">
        <v>0.54107024084719701</v>
      </c>
      <c r="M293" s="62">
        <v>0.63402501580034298</v>
      </c>
      <c r="N293" s="62">
        <v>5.3415187136153699E-3</v>
      </c>
      <c r="O293" s="62">
        <v>0.35479793931123998</v>
      </c>
      <c r="P293" s="62">
        <v>0.17681481432830201</v>
      </c>
      <c r="Q293" s="62">
        <v>4.4200667781282999E-3</v>
      </c>
      <c r="R293" s="62">
        <v>1.5242096563840299</v>
      </c>
      <c r="S293" s="60">
        <v>3247.2150000000001</v>
      </c>
      <c r="T293" s="69">
        <v>37.342500000000001</v>
      </c>
      <c r="U293" s="60">
        <v>3217.8661148025699</v>
      </c>
      <c r="V293" s="69">
        <v>23.2003459374077</v>
      </c>
      <c r="W293" s="60">
        <v>3165.4878702205001</v>
      </c>
      <c r="X293" s="69">
        <v>21.1421129609272</v>
      </c>
      <c r="Y293" s="60">
        <v>3290.7827969699301</v>
      </c>
      <c r="Z293" s="69">
        <v>75.916276857658104</v>
      </c>
      <c r="AA293" s="71">
        <f t="shared" si="9"/>
        <v>0.98358911484308653</v>
      </c>
      <c r="AB293" s="50">
        <v>32.731290000000001</v>
      </c>
      <c r="AC293" s="60">
        <v>739.06868544154497</v>
      </c>
      <c r="AD293" s="61">
        <v>6.2091033328697103</v>
      </c>
      <c r="AE293" s="60">
        <v>3839.64097976413</v>
      </c>
      <c r="AF293" s="50">
        <v>33.2789986058051</v>
      </c>
      <c r="AG293" s="61">
        <v>2.0351884749799201</v>
      </c>
      <c r="AH293" s="61">
        <v>0.13565334067821</v>
      </c>
      <c r="AI293" s="50">
        <v>34.476699658463502</v>
      </c>
      <c r="AJ293" s="61">
        <v>0.43228802544000999</v>
      </c>
      <c r="AK293" s="61">
        <v>6.56077460722737</v>
      </c>
      <c r="AL293" s="50">
        <v>13.3274528975346</v>
      </c>
      <c r="AM293" s="61">
        <v>5.8326646551858401</v>
      </c>
      <c r="AN293" s="50">
        <v>72.436734404742396</v>
      </c>
      <c r="AO293" s="50">
        <v>26.929251403063699</v>
      </c>
      <c r="AP293" s="60">
        <v>348.76457038408398</v>
      </c>
      <c r="AQ293" s="60">
        <v>140.53711153255199</v>
      </c>
      <c r="AR293" s="60">
        <v>618.71605469970496</v>
      </c>
      <c r="AS293" s="60">
        <v>123.28111049055499</v>
      </c>
      <c r="AT293" s="60">
        <v>1061.20016448511</v>
      </c>
      <c r="AU293" s="60">
        <v>198.64851057447001</v>
      </c>
      <c r="AV293" s="60">
        <v>11025.8225104253</v>
      </c>
      <c r="AW293" s="50">
        <v>10.016321301092701</v>
      </c>
      <c r="AX293" s="65">
        <v>0.188795592626925</v>
      </c>
      <c r="AY293" s="65">
        <v>0</v>
      </c>
      <c r="AZ293" s="61">
        <v>5.1924775844653599</v>
      </c>
      <c r="BA293" s="65">
        <v>1.4081571511195301E-2</v>
      </c>
      <c r="BB293" s="50">
        <v>314.42400606169201</v>
      </c>
      <c r="BC293" s="60">
        <v>175.95241577693599</v>
      </c>
      <c r="BD293" s="60">
        <v>350.32155649404802</v>
      </c>
    </row>
    <row r="294" spans="1:56" s="41" customFormat="1" ht="12" customHeight="1">
      <c r="A294" s="47" t="s">
        <v>42</v>
      </c>
      <c r="B294" s="41" t="s">
        <v>402</v>
      </c>
      <c r="C294" s="41" t="s">
        <v>135</v>
      </c>
      <c r="D294" s="50">
        <v>260.03407002573402</v>
      </c>
      <c r="E294" s="50">
        <v>91.6572155846615</v>
      </c>
      <c r="F294" s="60">
        <v>254.36072001460099</v>
      </c>
      <c r="G294" s="122">
        <f t="shared" si="8"/>
        <v>0.36034343502172872</v>
      </c>
      <c r="H294" s="61">
        <v>0.17643448244027199</v>
      </c>
      <c r="I294" s="62">
        <v>0.32113550436843402</v>
      </c>
      <c r="J294" s="62">
        <v>6.8710553849789403E-3</v>
      </c>
      <c r="K294" s="62">
        <v>33.021294879569901</v>
      </c>
      <c r="L294" s="62">
        <v>0.81628738918878296</v>
      </c>
      <c r="M294" s="62">
        <v>0.74188281489888497</v>
      </c>
      <c r="N294" s="62">
        <v>9.2784257769266097E-3</v>
      </c>
      <c r="O294" s="62">
        <v>0.50592949524207198</v>
      </c>
      <c r="P294" s="62">
        <v>0.187743519061878</v>
      </c>
      <c r="Q294" s="62">
        <v>4.2231802498554497E-3</v>
      </c>
      <c r="R294" s="62">
        <v>2.1186726327755299</v>
      </c>
      <c r="S294" s="60">
        <v>3575.26</v>
      </c>
      <c r="T294" s="69">
        <v>33.485000000000099</v>
      </c>
      <c r="U294" s="60">
        <v>3581.2424719977698</v>
      </c>
      <c r="V294" s="69">
        <v>24.483926600142599</v>
      </c>
      <c r="W294" s="60">
        <v>3577.54459778007</v>
      </c>
      <c r="X294" s="69">
        <v>34.392188512738599</v>
      </c>
      <c r="Y294" s="60">
        <v>3477.6211134237001</v>
      </c>
      <c r="Z294" s="69">
        <v>71.867269664569804</v>
      </c>
      <c r="AA294" s="71">
        <f t="shared" si="9"/>
        <v>0.99896689922981197</v>
      </c>
      <c r="AB294" s="50">
        <v>32.731290000000001</v>
      </c>
      <c r="AC294" s="60">
        <v>645.31814026713403</v>
      </c>
      <c r="AD294" s="61">
        <v>5.6871884249063802</v>
      </c>
      <c r="AE294" s="60">
        <v>2529.52104108003</v>
      </c>
      <c r="AF294" s="50">
        <v>12.8483572474958</v>
      </c>
      <c r="AG294" s="61">
        <v>0.53988229192679804</v>
      </c>
      <c r="AH294" s="61">
        <v>8.7767443108665397E-2</v>
      </c>
      <c r="AI294" s="50">
        <v>15.6468151652592</v>
      </c>
      <c r="AJ294" s="61">
        <v>0.245004254465157</v>
      </c>
      <c r="AK294" s="61">
        <v>2.5805252442000302</v>
      </c>
      <c r="AL294" s="61">
        <v>5.4570471741876503</v>
      </c>
      <c r="AM294" s="61">
        <v>1.8524969409784</v>
      </c>
      <c r="AN294" s="50">
        <v>44.8632674614039</v>
      </c>
      <c r="AO294" s="50">
        <v>17.150709477629601</v>
      </c>
      <c r="AP294" s="60">
        <v>227.00169384881801</v>
      </c>
      <c r="AQ294" s="50">
        <v>93.038327250370997</v>
      </c>
      <c r="AR294" s="60">
        <v>415.10815408377402</v>
      </c>
      <c r="AS294" s="50">
        <v>84.492354807370603</v>
      </c>
      <c r="AT294" s="60">
        <v>753.48168149727496</v>
      </c>
      <c r="AU294" s="60">
        <v>149.77065686567801</v>
      </c>
      <c r="AV294" s="60">
        <v>9522.2245958573894</v>
      </c>
      <c r="AW294" s="61">
        <v>8.31638416166113</v>
      </c>
      <c r="AX294" s="65">
        <v>6.9947280965445099E-2</v>
      </c>
      <c r="AY294" s="65">
        <v>0</v>
      </c>
      <c r="AZ294" s="61">
        <v>0.17643448244027199</v>
      </c>
      <c r="BA294" s="65">
        <v>0</v>
      </c>
      <c r="BB294" s="50">
        <v>260.03407002573402</v>
      </c>
      <c r="BC294" s="50">
        <v>91.6572155846615</v>
      </c>
      <c r="BD294" s="60">
        <v>254.36072001460099</v>
      </c>
    </row>
    <row r="295" spans="1:56" s="41" customFormat="1" ht="12" customHeight="1">
      <c r="A295" s="47"/>
      <c r="D295" s="50"/>
      <c r="E295" s="50"/>
      <c r="F295" s="60"/>
      <c r="G295" s="122"/>
      <c r="H295" s="61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0"/>
      <c r="T295" s="69"/>
      <c r="U295" s="60"/>
      <c r="V295" s="69"/>
      <c r="W295" s="60"/>
      <c r="X295" s="69"/>
      <c r="Y295" s="60"/>
      <c r="Z295" s="69"/>
      <c r="AA295" s="71"/>
      <c r="AB295" s="50"/>
      <c r="AC295" s="60"/>
      <c r="AD295" s="61"/>
      <c r="AE295" s="60"/>
      <c r="AF295" s="50"/>
      <c r="AG295" s="61"/>
      <c r="AH295" s="61"/>
      <c r="AI295" s="50"/>
      <c r="AJ295" s="61"/>
      <c r="AK295" s="61"/>
      <c r="AL295" s="61"/>
      <c r="AM295" s="61"/>
      <c r="AN295" s="50"/>
      <c r="AO295" s="50"/>
      <c r="AP295" s="60"/>
      <c r="AQ295" s="50"/>
      <c r="AR295" s="60"/>
      <c r="AS295" s="50"/>
      <c r="AT295" s="60"/>
      <c r="AU295" s="60"/>
      <c r="AV295" s="60"/>
      <c r="AW295" s="61"/>
      <c r="AX295" s="65"/>
      <c r="AY295" s="65"/>
      <c r="AZ295" s="61"/>
      <c r="BA295" s="65"/>
      <c r="BB295" s="50"/>
      <c r="BC295" s="50"/>
      <c r="BD295" s="60"/>
    </row>
    <row r="296" spans="1:56" s="41" customFormat="1" ht="12" customHeight="1">
      <c r="A296" s="23" t="s">
        <v>403</v>
      </c>
      <c r="D296" s="50"/>
      <c r="E296" s="50"/>
      <c r="F296" s="60"/>
      <c r="G296" s="122"/>
      <c r="H296" s="61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0"/>
      <c r="T296" s="69"/>
      <c r="U296" s="60"/>
      <c r="V296" s="69"/>
      <c r="W296" s="60"/>
      <c r="X296" s="69"/>
      <c r="Y296" s="60"/>
      <c r="Z296" s="69"/>
      <c r="AA296" s="71"/>
      <c r="AB296" s="50"/>
      <c r="AC296" s="60"/>
      <c r="AD296" s="61"/>
      <c r="AE296" s="60"/>
      <c r="AF296" s="61"/>
      <c r="AG296" s="61"/>
      <c r="AH296" s="61"/>
      <c r="AI296" s="50"/>
      <c r="AJ296" s="61"/>
      <c r="AK296" s="61"/>
      <c r="AL296" s="61"/>
      <c r="AM296" s="61"/>
      <c r="AN296" s="61"/>
      <c r="AO296" s="61"/>
      <c r="AP296" s="50"/>
      <c r="AQ296" s="61"/>
      <c r="AR296" s="50"/>
      <c r="AS296" s="61"/>
      <c r="AT296" s="50"/>
      <c r="AU296" s="50"/>
      <c r="AV296" s="60"/>
      <c r="AW296" s="61"/>
      <c r="AX296" s="65"/>
      <c r="AY296" s="65"/>
      <c r="AZ296" s="61"/>
      <c r="BA296" s="65"/>
      <c r="BB296" s="50"/>
      <c r="BC296" s="50"/>
      <c r="BD296" s="60"/>
    </row>
    <row r="297" spans="1:56" s="41" customFormat="1" ht="12" customHeight="1">
      <c r="A297" s="38" t="s">
        <v>404</v>
      </c>
      <c r="B297" s="41" t="s">
        <v>404</v>
      </c>
      <c r="C297" s="41" t="s">
        <v>135</v>
      </c>
      <c r="D297" s="61">
        <v>29.797394954850802</v>
      </c>
      <c r="E297" s="61">
        <v>8.6428011916072194</v>
      </c>
      <c r="F297" s="60">
        <v>289.38942710481001</v>
      </c>
      <c r="G297" s="122">
        <f t="shared" si="8"/>
        <v>2.9865642563634508E-2</v>
      </c>
      <c r="H297" s="63">
        <v>0</v>
      </c>
      <c r="I297" s="62">
        <v>5.9474657862658598E-2</v>
      </c>
      <c r="J297" s="62">
        <v>1.2965006569969999E-3</v>
      </c>
      <c r="K297" s="62">
        <v>0.80153355921341296</v>
      </c>
      <c r="L297" s="62">
        <v>1.7538755742463202E-2</v>
      </c>
      <c r="M297" s="62">
        <v>9.76190070561926E-2</v>
      </c>
      <c r="N297" s="62">
        <v>8.3002794568142098E-4</v>
      </c>
      <c r="O297" s="62">
        <v>0.38858072958232498</v>
      </c>
      <c r="P297" s="62">
        <v>2.7898242581414101E-2</v>
      </c>
      <c r="Q297" s="62">
        <v>1.2712848987088299E-3</v>
      </c>
      <c r="R297" s="62">
        <v>24.6009187509265</v>
      </c>
      <c r="S297" s="60">
        <v>583.36</v>
      </c>
      <c r="T297" s="69">
        <v>15.737500000000001</v>
      </c>
      <c r="U297" s="60">
        <v>597.69333351903094</v>
      </c>
      <c r="V297" s="69">
        <v>9.8935715813222895</v>
      </c>
      <c r="W297" s="60">
        <v>600.44025633470596</v>
      </c>
      <c r="X297" s="69">
        <v>4.8855991025998602</v>
      </c>
      <c r="Y297" s="60">
        <v>556.16324038017399</v>
      </c>
      <c r="Z297" s="69">
        <v>24.998097737117199</v>
      </c>
      <c r="AA297" s="71">
        <f t="shared" si="9"/>
        <v>0.9954146635418003</v>
      </c>
      <c r="AB297" s="50">
        <v>32.746940348651997</v>
      </c>
      <c r="AC297" s="60">
        <v>378.98381622786297</v>
      </c>
      <c r="AD297" s="61">
        <v>3.0167065997042801</v>
      </c>
      <c r="AE297" s="60">
        <v>215.957262322845</v>
      </c>
      <c r="AF297" s="61">
        <v>1.4852212209146001</v>
      </c>
      <c r="AG297" s="61">
        <v>1.1962108975691501E-2</v>
      </c>
      <c r="AH297" s="61">
        <v>0</v>
      </c>
      <c r="AI297" s="50">
        <v>14.7053188102939</v>
      </c>
      <c r="AJ297" s="65">
        <v>2.4028460344689001E-2</v>
      </c>
      <c r="AK297" s="61">
        <v>0.49561734004706698</v>
      </c>
      <c r="AL297" s="61">
        <v>1.27152577857399</v>
      </c>
      <c r="AM297" s="61">
        <v>0.89720643811453205</v>
      </c>
      <c r="AN297" s="61">
        <v>6.30621090034031</v>
      </c>
      <c r="AO297" s="61">
        <v>1.6886130272870099</v>
      </c>
      <c r="AP297" s="50">
        <v>17.513791144904999</v>
      </c>
      <c r="AQ297" s="61">
        <v>6.0167383295217904</v>
      </c>
      <c r="AR297" s="50">
        <v>26.005382615311198</v>
      </c>
      <c r="AS297" s="61">
        <v>5.5146287063068398</v>
      </c>
      <c r="AT297" s="50">
        <v>54.190351550394602</v>
      </c>
      <c r="AU297" s="50">
        <v>11.371144128856701</v>
      </c>
      <c r="AV297" s="60">
        <v>6703.4643922044697</v>
      </c>
      <c r="AW297" s="61">
        <v>0.39126008230549397</v>
      </c>
      <c r="AX297" s="65">
        <v>1.9349744677384401E-2</v>
      </c>
      <c r="AY297" s="65">
        <v>0</v>
      </c>
      <c r="AZ297" s="63">
        <v>0</v>
      </c>
      <c r="BA297" s="65">
        <v>4.1490008176265697E-3</v>
      </c>
      <c r="BB297" s="61">
        <v>29.797394954850802</v>
      </c>
      <c r="BC297" s="61">
        <v>8.6428011916072194</v>
      </c>
      <c r="BD297" s="60">
        <v>289.38942710481001</v>
      </c>
    </row>
    <row r="298" spans="1:56" s="41" customFormat="1" ht="12" customHeight="1">
      <c r="A298" s="38" t="s">
        <v>404</v>
      </c>
      <c r="B298" s="41" t="s">
        <v>404</v>
      </c>
      <c r="C298" s="41" t="s">
        <v>135</v>
      </c>
      <c r="D298" s="61">
        <v>30.086952613138202</v>
      </c>
      <c r="E298" s="61">
        <v>8.6278592225557809</v>
      </c>
      <c r="F298" s="60">
        <v>292.007811665796</v>
      </c>
      <c r="G298" s="122">
        <f t="shared" si="8"/>
        <v>2.9546672650081009E-2</v>
      </c>
      <c r="H298" s="63">
        <v>0</v>
      </c>
      <c r="I298" s="62">
        <v>5.7775663555837797E-2</v>
      </c>
      <c r="J298" s="62">
        <v>1.2466753421990801E-3</v>
      </c>
      <c r="K298" s="62">
        <v>0.78235472479212698</v>
      </c>
      <c r="L298" s="62">
        <v>1.7742078800320998E-2</v>
      </c>
      <c r="M298" s="62">
        <v>9.7908688439573593E-2</v>
      </c>
      <c r="N298" s="62">
        <v>8.2990290063245402E-4</v>
      </c>
      <c r="O298" s="62">
        <v>0.37377070137608598</v>
      </c>
      <c r="P298" s="62">
        <v>2.9686776064660299E-2</v>
      </c>
      <c r="Q298" s="62">
        <v>1.2083724086606499E-3</v>
      </c>
      <c r="R298" s="62">
        <v>24.833368196246202</v>
      </c>
      <c r="S298" s="60">
        <v>520.41</v>
      </c>
      <c r="T298" s="69">
        <v>48.142499999999998</v>
      </c>
      <c r="U298" s="60">
        <v>586.82577972997001</v>
      </c>
      <c r="V298" s="69">
        <v>10.115293099801599</v>
      </c>
      <c r="W298" s="60">
        <v>602.14135643268105</v>
      </c>
      <c r="X298" s="69">
        <v>4.8836442111508802</v>
      </c>
      <c r="Y298" s="60">
        <v>591.301770295908</v>
      </c>
      <c r="Z298" s="69">
        <v>23.719736605003501</v>
      </c>
      <c r="AA298" s="71">
        <f t="shared" si="9"/>
        <v>0.97423717403637999</v>
      </c>
      <c r="AB298" s="50">
        <v>32.746940348651997</v>
      </c>
      <c r="AC298" s="60">
        <v>384.06402291941203</v>
      </c>
      <c r="AD298" s="61">
        <v>3.1342305069710599</v>
      </c>
      <c r="AE298" s="60">
        <v>219.08541058668899</v>
      </c>
      <c r="AF298" s="61">
        <v>1.5655488851451</v>
      </c>
      <c r="AG298" s="61">
        <v>1.1964997009481299E-2</v>
      </c>
      <c r="AH298" s="61">
        <v>6.6885292351589196E-4</v>
      </c>
      <c r="AI298" s="50">
        <v>14.516818977237399</v>
      </c>
      <c r="AJ298" s="65">
        <v>2.6321276167068999E-2</v>
      </c>
      <c r="AK298" s="61">
        <v>0.58262747186222696</v>
      </c>
      <c r="AL298" s="61">
        <v>1.31225318076799</v>
      </c>
      <c r="AM298" s="61">
        <v>0.83144587479449295</v>
      </c>
      <c r="AN298" s="61">
        <v>5.9584162793703701</v>
      </c>
      <c r="AO298" s="61">
        <v>1.7083264357043899</v>
      </c>
      <c r="AP298" s="50">
        <v>17.6486297506844</v>
      </c>
      <c r="AQ298" s="61">
        <v>5.9500070368312601</v>
      </c>
      <c r="AR298" s="50">
        <v>26.1184531620796</v>
      </c>
      <c r="AS298" s="61">
        <v>5.4686909938035599</v>
      </c>
      <c r="AT298" s="50">
        <v>55.005875711943297</v>
      </c>
      <c r="AU298" s="50">
        <v>11.3678242946905</v>
      </c>
      <c r="AV298" s="60">
        <v>6607.3293419485399</v>
      </c>
      <c r="AW298" s="61">
        <v>0.39759974953131</v>
      </c>
      <c r="AX298" s="65">
        <v>0</v>
      </c>
      <c r="AY298" s="65">
        <v>0</v>
      </c>
      <c r="AZ298" s="63">
        <v>0</v>
      </c>
      <c r="BA298" s="65">
        <v>0</v>
      </c>
      <c r="BB298" s="61">
        <v>30.086952613138202</v>
      </c>
      <c r="BC298" s="61">
        <v>8.6278592225557809</v>
      </c>
      <c r="BD298" s="60">
        <v>292.007811665796</v>
      </c>
    </row>
    <row r="299" spans="1:56" s="41" customFormat="1" ht="12" customHeight="1">
      <c r="A299" s="38" t="s">
        <v>404</v>
      </c>
      <c r="B299" s="41" t="s">
        <v>404</v>
      </c>
      <c r="C299" s="41" t="s">
        <v>135</v>
      </c>
      <c r="D299" s="61">
        <v>29.322172770308999</v>
      </c>
      <c r="E299" s="61">
        <v>8.6005741107099798</v>
      </c>
      <c r="F299" s="60">
        <v>287.25291265982003</v>
      </c>
      <c r="G299" s="122">
        <f t="shared" si="8"/>
        <v>2.9940772509747294E-2</v>
      </c>
      <c r="H299" s="65">
        <v>9.60966323808638E-2</v>
      </c>
      <c r="I299" s="62">
        <v>5.8062969692565101E-2</v>
      </c>
      <c r="J299" s="62">
        <v>1.3145463259325099E-3</v>
      </c>
      <c r="K299" s="62">
        <v>0.78415969940168995</v>
      </c>
      <c r="L299" s="62">
        <v>1.73896883862216E-2</v>
      </c>
      <c r="M299" s="62">
        <v>9.7967393440434203E-2</v>
      </c>
      <c r="N299" s="62">
        <v>1.2387883890059299E-3</v>
      </c>
      <c r="O299" s="62">
        <v>0.57020141651742695</v>
      </c>
      <c r="P299" s="62">
        <v>2.7967974287954101E-2</v>
      </c>
      <c r="Q299" s="62">
        <v>1.13195211993841E-3</v>
      </c>
      <c r="R299" s="62">
        <v>24.313197647331201</v>
      </c>
      <c r="S299" s="60">
        <v>531.52</v>
      </c>
      <c r="T299" s="69">
        <v>52.77</v>
      </c>
      <c r="U299" s="60">
        <v>587.85352871320595</v>
      </c>
      <c r="V299" s="69">
        <v>9.9047146117934393</v>
      </c>
      <c r="W299" s="60">
        <v>602.48603594654003</v>
      </c>
      <c r="X299" s="69">
        <v>7.2804789198426603</v>
      </c>
      <c r="Y299" s="60">
        <v>557.53437354843095</v>
      </c>
      <c r="Z299" s="69">
        <v>22.2567972507589</v>
      </c>
      <c r="AA299" s="71">
        <f t="shared" si="9"/>
        <v>0.97541456628383727</v>
      </c>
      <c r="AB299" s="50">
        <v>32.746940348651997</v>
      </c>
      <c r="AC299" s="60">
        <v>413.148103504034</v>
      </c>
      <c r="AD299" s="61">
        <v>3.9669185711360599</v>
      </c>
      <c r="AE299" s="60">
        <v>218.08305959130999</v>
      </c>
      <c r="AF299" s="61">
        <v>1.36490543442831</v>
      </c>
      <c r="AG299" s="61">
        <v>1.1724897309203E-2</v>
      </c>
      <c r="AH299" s="61">
        <v>2.8040694058844799E-3</v>
      </c>
      <c r="AI299" s="50">
        <v>14.6370306288599</v>
      </c>
      <c r="AJ299" s="65">
        <v>2.67356156618671E-2</v>
      </c>
      <c r="AK299" s="61">
        <v>0.553185989644016</v>
      </c>
      <c r="AL299" s="61">
        <v>1.3447395964662701</v>
      </c>
      <c r="AM299" s="61">
        <v>0.87292109860956202</v>
      </c>
      <c r="AN299" s="61">
        <v>6.2179305741642503</v>
      </c>
      <c r="AO299" s="61">
        <v>1.7049223125846</v>
      </c>
      <c r="AP299" s="50">
        <v>17.432742372205301</v>
      </c>
      <c r="AQ299" s="61">
        <v>6.0352260166518601</v>
      </c>
      <c r="AR299" s="50">
        <v>26.0166106571508</v>
      </c>
      <c r="AS299" s="61">
        <v>5.4072985683173496</v>
      </c>
      <c r="AT299" s="50">
        <v>53.0653529548905</v>
      </c>
      <c r="AU299" s="50">
        <v>11.362316001075399</v>
      </c>
      <c r="AV299" s="60">
        <v>6570.2152038579097</v>
      </c>
      <c r="AW299" s="61">
        <v>0.37775768453718001</v>
      </c>
      <c r="AX299" s="65">
        <v>5.6432083026039604E-3</v>
      </c>
      <c r="AY299" s="65">
        <v>0</v>
      </c>
      <c r="AZ299" s="65">
        <v>9.60966323808638E-2</v>
      </c>
      <c r="BA299" s="65">
        <v>4.01768563981639E-3</v>
      </c>
      <c r="BB299" s="61">
        <v>29.322172770308999</v>
      </c>
      <c r="BC299" s="61">
        <v>8.6005741107099798</v>
      </c>
      <c r="BD299" s="60">
        <v>287.25291265982003</v>
      </c>
    </row>
    <row r="300" spans="1:56" s="41" customFormat="1" ht="12" customHeight="1">
      <c r="A300" s="38" t="s">
        <v>404</v>
      </c>
      <c r="B300" s="41" t="s">
        <v>404</v>
      </c>
      <c r="C300" s="41" t="s">
        <v>135</v>
      </c>
      <c r="D300" s="61">
        <v>29.384672489338101</v>
      </c>
      <c r="E300" s="61">
        <v>8.5568140095489706</v>
      </c>
      <c r="F300" s="60">
        <v>287.67290668281498</v>
      </c>
      <c r="G300" s="122">
        <f t="shared" si="8"/>
        <v>2.9744942296507683E-2</v>
      </c>
      <c r="H300" s="63">
        <v>0</v>
      </c>
      <c r="I300" s="62">
        <v>5.8088422944194397E-2</v>
      </c>
      <c r="J300" s="62">
        <v>1.28865483637863E-3</v>
      </c>
      <c r="K300" s="62">
        <v>0.78446487700879097</v>
      </c>
      <c r="L300" s="62">
        <v>1.7738552713582399E-2</v>
      </c>
      <c r="M300" s="62">
        <v>9.7436610802755799E-2</v>
      </c>
      <c r="N300" s="62">
        <v>7.3078888667696699E-4</v>
      </c>
      <c r="O300" s="62">
        <v>0.33168443039321699</v>
      </c>
      <c r="P300" s="62">
        <v>3.1107577073019199E-2</v>
      </c>
      <c r="Q300" s="62">
        <v>1.2185294340329601E-3</v>
      </c>
      <c r="R300" s="62">
        <v>24.506996867570301</v>
      </c>
      <c r="S300" s="60">
        <v>531.52</v>
      </c>
      <c r="T300" s="69">
        <v>52.77</v>
      </c>
      <c r="U300" s="60">
        <v>588.02719347653601</v>
      </c>
      <c r="V300" s="69">
        <v>10.101377748200701</v>
      </c>
      <c r="W300" s="60">
        <v>599.36893787875499</v>
      </c>
      <c r="X300" s="69">
        <v>4.30488581816864</v>
      </c>
      <c r="Y300" s="60">
        <v>619.17214852721497</v>
      </c>
      <c r="Z300" s="69">
        <v>23.886154828281398</v>
      </c>
      <c r="AA300" s="71">
        <f t="shared" si="9"/>
        <v>0.98089644373479046</v>
      </c>
      <c r="AB300" s="50">
        <v>32.746940348651997</v>
      </c>
      <c r="AC300" s="60">
        <v>394.12116642076302</v>
      </c>
      <c r="AD300" s="61">
        <v>3.5274142824269701</v>
      </c>
      <c r="AE300" s="60">
        <v>215.60140426171799</v>
      </c>
      <c r="AF300" s="61">
        <v>1.3673927284868601</v>
      </c>
      <c r="AG300" s="61">
        <v>1.2398048746826699E-2</v>
      </c>
      <c r="AH300" s="61">
        <v>1.4823579332542899E-3</v>
      </c>
      <c r="AI300" s="50">
        <v>14.403009128791201</v>
      </c>
      <c r="AJ300" s="65">
        <v>3.7691115068821397E-2</v>
      </c>
      <c r="AK300" s="61">
        <v>0.503344623714433</v>
      </c>
      <c r="AL300" s="61">
        <v>1.3673480261311599</v>
      </c>
      <c r="AM300" s="61">
        <v>0.78775099657839698</v>
      </c>
      <c r="AN300" s="61">
        <v>6.0842706651395497</v>
      </c>
      <c r="AO300" s="61">
        <v>1.6784286333757601</v>
      </c>
      <c r="AP300" s="50">
        <v>17.2447532303432</v>
      </c>
      <c r="AQ300" s="61">
        <v>5.8804839689292097</v>
      </c>
      <c r="AR300" s="50">
        <v>25.795747310729698</v>
      </c>
      <c r="AS300" s="61">
        <v>5.2991248964725202</v>
      </c>
      <c r="AT300" s="50">
        <v>53.6798943383912</v>
      </c>
      <c r="AU300" s="50">
        <v>11.281291867691801</v>
      </c>
      <c r="AV300" s="60">
        <v>6511.1424378848997</v>
      </c>
      <c r="AW300" s="61">
        <v>0.36782771209753401</v>
      </c>
      <c r="AX300" s="65">
        <v>2.0826925078694599E-2</v>
      </c>
      <c r="AY300" s="65">
        <v>0</v>
      </c>
      <c r="AZ300" s="63">
        <v>0</v>
      </c>
      <c r="BA300" s="65">
        <v>3.16650125893401E-3</v>
      </c>
      <c r="BB300" s="61">
        <v>29.384672489338101</v>
      </c>
      <c r="BC300" s="61">
        <v>8.5568140095489706</v>
      </c>
      <c r="BD300" s="60">
        <v>287.67290668281498</v>
      </c>
    </row>
    <row r="301" spans="1:56" s="41" customFormat="1" ht="12" customHeight="1">
      <c r="A301" s="38" t="s">
        <v>404</v>
      </c>
      <c r="B301" s="41" t="s">
        <v>404</v>
      </c>
      <c r="C301" s="41" t="s">
        <v>135</v>
      </c>
      <c r="D301" s="61">
        <v>30.040440778475698</v>
      </c>
      <c r="E301" s="61">
        <v>8.5255872141546494</v>
      </c>
      <c r="F301" s="60">
        <v>287.37541895628499</v>
      </c>
      <c r="G301" s="122">
        <f t="shared" si="8"/>
        <v>2.9667071891947536E-2</v>
      </c>
      <c r="H301" s="65">
        <v>2.2615818586267E-2</v>
      </c>
      <c r="I301" s="62">
        <v>6.0161218114661102E-2</v>
      </c>
      <c r="J301" s="62">
        <v>1.3477090443335699E-3</v>
      </c>
      <c r="K301" s="62">
        <v>0.81081434808992803</v>
      </c>
      <c r="L301" s="62">
        <v>1.7567250651998999E-2</v>
      </c>
      <c r="M301" s="62">
        <v>9.7484939984286104E-2</v>
      </c>
      <c r="N301" s="62">
        <v>7.5001902267399299E-4</v>
      </c>
      <c r="O301" s="62">
        <v>0.35510139405878999</v>
      </c>
      <c r="P301" s="62">
        <v>3.11163028284001E-2</v>
      </c>
      <c r="Q301" s="62">
        <v>1.3428493684087401E-3</v>
      </c>
      <c r="R301" s="62">
        <v>24.1312166316171</v>
      </c>
      <c r="S301" s="60">
        <v>609.28</v>
      </c>
      <c r="T301" s="69">
        <v>48.137500000000003</v>
      </c>
      <c r="U301" s="60">
        <v>602.91075815365798</v>
      </c>
      <c r="V301" s="69">
        <v>9.8590621458492294</v>
      </c>
      <c r="W301" s="60">
        <v>599.65282039033298</v>
      </c>
      <c r="X301" s="69">
        <v>4.4173510893143604</v>
      </c>
      <c r="Y301" s="60">
        <v>619.343193933512</v>
      </c>
      <c r="Z301" s="69">
        <v>26.322906605373898</v>
      </c>
      <c r="AA301" s="71">
        <f t="shared" si="9"/>
        <v>0.99458167897073757</v>
      </c>
      <c r="AB301" s="50">
        <v>32.746940348651997</v>
      </c>
      <c r="AC301" s="60">
        <v>370.84898462117599</v>
      </c>
      <c r="AD301" s="61">
        <v>2.6224837171153998</v>
      </c>
      <c r="AE301" s="60">
        <v>212.824274199852</v>
      </c>
      <c r="AF301" s="61">
        <v>1.50128025537028</v>
      </c>
      <c r="AG301" s="61">
        <v>3.8508116531393001E-2</v>
      </c>
      <c r="AH301" s="61">
        <v>0</v>
      </c>
      <c r="AI301" s="50">
        <v>14.1954382184016</v>
      </c>
      <c r="AJ301" s="65">
        <v>2.9371599191284001E-2</v>
      </c>
      <c r="AK301" s="61">
        <v>0.44712590283924902</v>
      </c>
      <c r="AL301" s="61">
        <v>1.1666757575846201</v>
      </c>
      <c r="AM301" s="61">
        <v>0.95494726633237204</v>
      </c>
      <c r="AN301" s="61">
        <v>6.1747116519166196</v>
      </c>
      <c r="AO301" s="61">
        <v>1.7406879553807499</v>
      </c>
      <c r="AP301" s="50">
        <v>17.229386410691902</v>
      </c>
      <c r="AQ301" s="61">
        <v>6.0146877207393903</v>
      </c>
      <c r="AR301" s="50">
        <v>25.5744087094157</v>
      </c>
      <c r="AS301" s="61">
        <v>5.5664382163478203</v>
      </c>
      <c r="AT301" s="50">
        <v>53.9099709234683</v>
      </c>
      <c r="AU301" s="50">
        <v>11.330533592492699</v>
      </c>
      <c r="AV301" s="60">
        <v>6452.6315955486098</v>
      </c>
      <c r="AW301" s="61">
        <v>0.35979361637105001</v>
      </c>
      <c r="AX301" s="65">
        <v>6.2287723804698896E-3</v>
      </c>
      <c r="AY301" s="65">
        <v>0</v>
      </c>
      <c r="AZ301" s="65">
        <v>2.2615818586267E-2</v>
      </c>
      <c r="BA301" s="65">
        <v>2.2299127555692601E-3</v>
      </c>
      <c r="BB301" s="61">
        <v>30.040440778475698</v>
      </c>
      <c r="BC301" s="61">
        <v>8.5255872141546494</v>
      </c>
      <c r="BD301" s="60">
        <v>287.37541895628499</v>
      </c>
    </row>
    <row r="302" spans="1:56" s="41" customFormat="1" ht="12" customHeight="1">
      <c r="A302" s="38" t="s">
        <v>404</v>
      </c>
      <c r="B302" s="41" t="s">
        <v>404</v>
      </c>
      <c r="C302" s="41" t="s">
        <v>135</v>
      </c>
      <c r="D302" s="61">
        <v>29.432392238261599</v>
      </c>
      <c r="E302" s="61">
        <v>8.3206045516198301</v>
      </c>
      <c r="F302" s="60">
        <v>280.77909557376103</v>
      </c>
      <c r="G302" s="122">
        <f t="shared" si="8"/>
        <v>2.9633988722048563E-2</v>
      </c>
      <c r="H302" s="61">
        <v>0.28530006076521203</v>
      </c>
      <c r="I302" s="62">
        <v>6.11433320392663E-2</v>
      </c>
      <c r="J302" s="62">
        <v>1.2398361791944501E-3</v>
      </c>
      <c r="K302" s="62">
        <v>0.82657732300720899</v>
      </c>
      <c r="L302" s="62">
        <v>1.6911150072468E-2</v>
      </c>
      <c r="M302" s="62">
        <v>9.7598049718569002E-2</v>
      </c>
      <c r="N302" s="62">
        <v>6.5266932155004596E-4</v>
      </c>
      <c r="O302" s="62">
        <v>0.326860471441074</v>
      </c>
      <c r="P302" s="62">
        <v>3.0747888167441499E-2</v>
      </c>
      <c r="Q302" s="62">
        <v>1.5246239569442299E-3</v>
      </c>
      <c r="R302" s="62">
        <v>24.196105159328699</v>
      </c>
      <c r="S302" s="60">
        <v>644.15</v>
      </c>
      <c r="T302" s="69">
        <v>37.96</v>
      </c>
      <c r="U302" s="60">
        <v>611.71132693625202</v>
      </c>
      <c r="V302" s="69">
        <v>9.4100020981668795</v>
      </c>
      <c r="W302" s="60">
        <v>600.31717084931904</v>
      </c>
      <c r="X302" s="69">
        <v>3.8469410908864501</v>
      </c>
      <c r="Y302" s="60">
        <v>612.12013687252795</v>
      </c>
      <c r="Z302" s="69">
        <v>29.896784648167198</v>
      </c>
      <c r="AA302" s="71">
        <f t="shared" si="9"/>
        <v>0.98119820431986438</v>
      </c>
      <c r="AB302" s="50">
        <v>32.746940348651997</v>
      </c>
      <c r="AC302" s="60">
        <v>407.69099651197001</v>
      </c>
      <c r="AD302" s="61">
        <v>2.6205588381432201</v>
      </c>
      <c r="AE302" s="60">
        <v>209.10131390415</v>
      </c>
      <c r="AF302" s="61">
        <v>1.47868274095089</v>
      </c>
      <c r="AG302" s="61">
        <v>1.2765877128131899E-2</v>
      </c>
      <c r="AH302" s="61">
        <v>1.5417160952090701E-3</v>
      </c>
      <c r="AI302" s="50">
        <v>14.0570435212296</v>
      </c>
      <c r="AJ302" s="65">
        <v>3.2863489246491899E-2</v>
      </c>
      <c r="AK302" s="61">
        <v>0.45953489128646002</v>
      </c>
      <c r="AL302" s="61">
        <v>1.2554795279730799</v>
      </c>
      <c r="AM302" s="61">
        <v>0.79030888823331602</v>
      </c>
      <c r="AN302" s="61">
        <v>6.0224760604105496</v>
      </c>
      <c r="AO302" s="61">
        <v>1.65952038452747</v>
      </c>
      <c r="AP302" s="50">
        <v>17.5439747361727</v>
      </c>
      <c r="AQ302" s="61">
        <v>6.0260954950738803</v>
      </c>
      <c r="AR302" s="50">
        <v>24.91197701243</v>
      </c>
      <c r="AS302" s="61">
        <v>5.2532177050479696</v>
      </c>
      <c r="AT302" s="50">
        <v>53.4869672352565</v>
      </c>
      <c r="AU302" s="50">
        <v>11.0306285875687</v>
      </c>
      <c r="AV302" s="60">
        <v>6402.0650643648796</v>
      </c>
      <c r="AW302" s="61">
        <v>0.35782078906499798</v>
      </c>
      <c r="AX302" s="65">
        <v>0</v>
      </c>
      <c r="AY302" s="65">
        <v>0</v>
      </c>
      <c r="AZ302" s="61">
        <v>0.28530006076521203</v>
      </c>
      <c r="BA302" s="65">
        <v>8.2621767303587797E-4</v>
      </c>
      <c r="BB302" s="61">
        <v>29.432392238261599</v>
      </c>
      <c r="BC302" s="61">
        <v>8.3206045516198301</v>
      </c>
      <c r="BD302" s="60">
        <v>280.77909557376103</v>
      </c>
    </row>
    <row r="303" spans="1:56" s="41" customFormat="1" ht="12" customHeight="1">
      <c r="A303" s="38" t="s">
        <v>404</v>
      </c>
      <c r="B303" s="41" t="s">
        <v>404</v>
      </c>
      <c r="C303" s="41" t="s">
        <v>135</v>
      </c>
      <c r="D303" s="61">
        <v>30.0427866512583</v>
      </c>
      <c r="E303" s="61">
        <v>8.6490881809242506</v>
      </c>
      <c r="F303" s="60">
        <v>289.81769025915997</v>
      </c>
      <c r="G303" s="122">
        <f t="shared" si="8"/>
        <v>2.9843203060482909E-2</v>
      </c>
      <c r="H303" s="63">
        <v>0</v>
      </c>
      <c r="I303" s="62">
        <v>6.0618265685379702E-2</v>
      </c>
      <c r="J303" s="62">
        <v>1.38076591420955E-3</v>
      </c>
      <c r="K303" s="62">
        <v>0.81942278868671103</v>
      </c>
      <c r="L303" s="62">
        <v>1.90046916130003E-2</v>
      </c>
      <c r="M303" s="62">
        <v>9.7726222595902995E-2</v>
      </c>
      <c r="N303" s="62">
        <v>9.0614651759551705E-4</v>
      </c>
      <c r="O303" s="62">
        <v>0.39979239123822102</v>
      </c>
      <c r="P303" s="62">
        <v>3.3061689180715698E-2</v>
      </c>
      <c r="Q303" s="62">
        <v>1.3078691471626301E-3</v>
      </c>
      <c r="R303" s="62">
        <v>25.0782725097168</v>
      </c>
      <c r="S303" s="60">
        <v>633.35</v>
      </c>
      <c r="T303" s="69">
        <v>48.91</v>
      </c>
      <c r="U303" s="60">
        <v>607.72635600656497</v>
      </c>
      <c r="V303" s="69">
        <v>10.6141818349302</v>
      </c>
      <c r="W303" s="60">
        <v>601.06991199609899</v>
      </c>
      <c r="X303" s="69">
        <v>5.3312490711954004</v>
      </c>
      <c r="Y303" s="60">
        <v>657.44126984520801</v>
      </c>
      <c r="Z303" s="69">
        <v>25.5889364538818</v>
      </c>
      <c r="AA303" s="71">
        <f t="shared" si="9"/>
        <v>0.9889866569137169</v>
      </c>
      <c r="AB303" s="50">
        <v>32.746940348651997</v>
      </c>
      <c r="AC303" s="60">
        <v>441.729521999116</v>
      </c>
      <c r="AD303" s="61">
        <v>2.3112384184465098</v>
      </c>
      <c r="AE303" s="60">
        <v>213.68783355442201</v>
      </c>
      <c r="AF303" s="61">
        <v>1.47728370731641</v>
      </c>
      <c r="AG303" s="61">
        <v>1.1363631195499499E-2</v>
      </c>
      <c r="AH303" s="61">
        <v>1.3704461232963E-3</v>
      </c>
      <c r="AI303" s="50">
        <v>14.1035350470728</v>
      </c>
      <c r="AJ303" s="65">
        <v>3.3681435793688298E-2</v>
      </c>
      <c r="AK303" s="61">
        <v>0.55075451216819005</v>
      </c>
      <c r="AL303" s="61">
        <v>1.4040560581563699</v>
      </c>
      <c r="AM303" s="61">
        <v>0.84674717012796397</v>
      </c>
      <c r="AN303" s="61">
        <v>5.7912648991373796</v>
      </c>
      <c r="AO303" s="61">
        <v>1.67909423071005</v>
      </c>
      <c r="AP303" s="50">
        <v>17.136819273302301</v>
      </c>
      <c r="AQ303" s="61">
        <v>6.14849838898754</v>
      </c>
      <c r="AR303" s="50">
        <v>25.805738494971902</v>
      </c>
      <c r="AS303" s="61">
        <v>5.4787315460237798</v>
      </c>
      <c r="AT303" s="50">
        <v>52.248618030118202</v>
      </c>
      <c r="AU303" s="50">
        <v>11.41088005196</v>
      </c>
      <c r="AV303" s="60">
        <v>6573.04170782858</v>
      </c>
      <c r="AW303" s="61">
        <v>0.39850389479424703</v>
      </c>
      <c r="AX303" s="65">
        <v>2.2024932622942101E-2</v>
      </c>
      <c r="AY303" s="65">
        <v>0</v>
      </c>
      <c r="AZ303" s="63">
        <v>0</v>
      </c>
      <c r="BA303" s="65">
        <v>0</v>
      </c>
      <c r="BB303" s="61">
        <v>30.0427866512583</v>
      </c>
      <c r="BC303" s="61">
        <v>8.6490881809242506</v>
      </c>
      <c r="BD303" s="60">
        <v>289.81769025915997</v>
      </c>
    </row>
    <row r="304" spans="1:56" s="41" customFormat="1" ht="12" customHeight="1">
      <c r="A304" s="38" t="s">
        <v>404</v>
      </c>
      <c r="B304" s="41" t="s">
        <v>404</v>
      </c>
      <c r="C304" s="41" t="s">
        <v>135</v>
      </c>
      <c r="D304" s="61">
        <v>30.5122691198384</v>
      </c>
      <c r="E304" s="61">
        <v>8.7037328483271992</v>
      </c>
      <c r="F304" s="60">
        <v>293.06154309504302</v>
      </c>
      <c r="G304" s="122">
        <f t="shared" si="8"/>
        <v>2.9699334673551774E-2</v>
      </c>
      <c r="H304" s="65">
        <v>1.3249295667528801E-2</v>
      </c>
      <c r="I304" s="62">
        <v>6.0801819427078699E-2</v>
      </c>
      <c r="J304" s="62">
        <v>1.2871390179206999E-3</v>
      </c>
      <c r="K304" s="62">
        <v>0.82551411135880703</v>
      </c>
      <c r="L304" s="62">
        <v>1.81596361655736E-2</v>
      </c>
      <c r="M304" s="62">
        <v>9.7962590105271904E-2</v>
      </c>
      <c r="N304" s="62">
        <v>8.0135411966651899E-4</v>
      </c>
      <c r="O304" s="62">
        <v>0.37186180512601702</v>
      </c>
      <c r="P304" s="62">
        <v>3.0882324559331899E-2</v>
      </c>
      <c r="Q304" s="62">
        <v>1.2644996875889E-3</v>
      </c>
      <c r="R304" s="62">
        <v>25.304924709405601</v>
      </c>
      <c r="S304" s="60">
        <v>631.5</v>
      </c>
      <c r="T304" s="69">
        <v>44.4375</v>
      </c>
      <c r="U304" s="60">
        <v>611.12012206654197</v>
      </c>
      <c r="V304" s="69">
        <v>10.109253871156101</v>
      </c>
      <c r="W304" s="60">
        <v>602.45783442085894</v>
      </c>
      <c r="X304" s="69">
        <v>4.71618542155234</v>
      </c>
      <c r="Y304" s="60">
        <v>614.75616640391104</v>
      </c>
      <c r="Z304" s="69">
        <v>24.792700278279199</v>
      </c>
      <c r="AA304" s="71">
        <f t="shared" si="9"/>
        <v>0.98572438202362334</v>
      </c>
      <c r="AB304" s="50">
        <v>32.746940348651997</v>
      </c>
      <c r="AC304" s="60">
        <v>452.6383770905</v>
      </c>
      <c r="AD304" s="61">
        <v>3.0679106862143302</v>
      </c>
      <c r="AE304" s="60">
        <v>218.33699132501499</v>
      </c>
      <c r="AF304" s="61">
        <v>1.5885295777502499</v>
      </c>
      <c r="AG304" s="61">
        <v>0</v>
      </c>
      <c r="AH304" s="61">
        <v>0</v>
      </c>
      <c r="AI304" s="50">
        <v>14.352204804824501</v>
      </c>
      <c r="AJ304" s="65">
        <v>2.2701304772058999E-2</v>
      </c>
      <c r="AK304" s="61">
        <v>0.60741429463625496</v>
      </c>
      <c r="AL304" s="61">
        <v>1.11795963298066</v>
      </c>
      <c r="AM304" s="61">
        <v>0.85227408653968995</v>
      </c>
      <c r="AN304" s="61">
        <v>6.5211808799676598</v>
      </c>
      <c r="AO304" s="61">
        <v>1.76296522146256</v>
      </c>
      <c r="AP304" s="50">
        <v>17.6886539076886</v>
      </c>
      <c r="AQ304" s="61">
        <v>6.0376619229089599</v>
      </c>
      <c r="AR304" s="50">
        <v>26.1567368288047</v>
      </c>
      <c r="AS304" s="61">
        <v>5.4930131102364799</v>
      </c>
      <c r="AT304" s="50">
        <v>53.651115525861698</v>
      </c>
      <c r="AU304" s="50">
        <v>11.4086622970707</v>
      </c>
      <c r="AV304" s="60">
        <v>6597.0788613464001</v>
      </c>
      <c r="AW304" s="61">
        <v>0.41059111687855399</v>
      </c>
      <c r="AX304" s="65">
        <v>8.0143695913303808E-3</v>
      </c>
      <c r="AY304" s="65">
        <v>0</v>
      </c>
      <c r="AZ304" s="65">
        <v>1.3249295667528801E-2</v>
      </c>
      <c r="BA304" s="65">
        <v>0</v>
      </c>
      <c r="BB304" s="61">
        <v>30.5122691198384</v>
      </c>
      <c r="BC304" s="61">
        <v>8.7037328483271992</v>
      </c>
      <c r="BD304" s="60">
        <v>293.06154309504302</v>
      </c>
    </row>
    <row r="305" spans="1:56" s="41" customFormat="1" ht="12" customHeight="1">
      <c r="A305" s="38" t="s">
        <v>404</v>
      </c>
      <c r="B305" s="41" t="s">
        <v>404</v>
      </c>
      <c r="C305" s="41" t="s">
        <v>135</v>
      </c>
      <c r="D305" s="61">
        <v>29.670607047032401</v>
      </c>
      <c r="E305" s="61">
        <v>8.4766019222412101</v>
      </c>
      <c r="F305" s="60">
        <v>288.168468955241</v>
      </c>
      <c r="G305" s="122">
        <f t="shared" si="8"/>
        <v>2.9415438659799439E-2</v>
      </c>
      <c r="H305" s="65">
        <v>5.2068601536410603E-2</v>
      </c>
      <c r="I305" s="62">
        <v>6.0176824776898098E-2</v>
      </c>
      <c r="J305" s="62">
        <v>1.28825511877701E-3</v>
      </c>
      <c r="K305" s="62">
        <v>0.81329597569287804</v>
      </c>
      <c r="L305" s="62">
        <v>1.69304216748234E-2</v>
      </c>
      <c r="M305" s="62">
        <v>9.7846322643827394E-2</v>
      </c>
      <c r="N305" s="62">
        <v>8.6658240042440302E-4</v>
      </c>
      <c r="O305" s="62">
        <v>0.425447724152138</v>
      </c>
      <c r="P305" s="62">
        <v>3.0552884134928199E-2</v>
      </c>
      <c r="Q305" s="62">
        <v>1.24816347088479E-3</v>
      </c>
      <c r="R305" s="62">
        <v>25.729189479955199</v>
      </c>
      <c r="S305" s="60">
        <v>609.28</v>
      </c>
      <c r="T305" s="69">
        <v>47.057499999999997</v>
      </c>
      <c r="U305" s="60">
        <v>604.30133558163004</v>
      </c>
      <c r="V305" s="69">
        <v>9.4893522610028302</v>
      </c>
      <c r="W305" s="60">
        <v>601.77516280155498</v>
      </c>
      <c r="X305" s="69">
        <v>5.0988274706244203</v>
      </c>
      <c r="Y305" s="60">
        <v>608.29588559543004</v>
      </c>
      <c r="Z305" s="69">
        <v>24.480223713086598</v>
      </c>
      <c r="AA305" s="71">
        <f t="shared" si="9"/>
        <v>0.99581092445883568</v>
      </c>
      <c r="AB305" s="50">
        <v>32.746940348651997</v>
      </c>
      <c r="AC305" s="60">
        <v>423.15255311149099</v>
      </c>
      <c r="AD305" s="61">
        <v>3.0069077577346</v>
      </c>
      <c r="AE305" s="60">
        <v>215.57635493975599</v>
      </c>
      <c r="AF305" s="61">
        <v>1.3904307567660299</v>
      </c>
      <c r="AG305" s="61">
        <v>0</v>
      </c>
      <c r="AH305" s="61">
        <v>0</v>
      </c>
      <c r="AI305" s="50">
        <v>14.079482762750199</v>
      </c>
      <c r="AJ305" s="65">
        <v>2.0411228873076399E-2</v>
      </c>
      <c r="AK305" s="61">
        <v>0.632135062280616</v>
      </c>
      <c r="AL305" s="61">
        <v>0.94831536133901095</v>
      </c>
      <c r="AM305" s="61">
        <v>0.85189566869975497</v>
      </c>
      <c r="AN305" s="61">
        <v>5.98607872019931</v>
      </c>
      <c r="AO305" s="61">
        <v>1.7672208719667799</v>
      </c>
      <c r="AP305" s="50">
        <v>17.889546888586501</v>
      </c>
      <c r="AQ305" s="61">
        <v>6.0186538519196002</v>
      </c>
      <c r="AR305" s="50">
        <v>26.0884618790212</v>
      </c>
      <c r="AS305" s="61">
        <v>5.4519561818347801</v>
      </c>
      <c r="AT305" s="50">
        <v>54.7282906895434</v>
      </c>
      <c r="AU305" s="50">
        <v>10.986183171011101</v>
      </c>
      <c r="AV305" s="60">
        <v>6605.6279118251095</v>
      </c>
      <c r="AW305" s="61">
        <v>0.40280042669517602</v>
      </c>
      <c r="AX305" s="65">
        <v>0</v>
      </c>
      <c r="AY305" s="65">
        <v>0</v>
      </c>
      <c r="AZ305" s="65">
        <v>5.2068601536410603E-2</v>
      </c>
      <c r="BA305" s="65">
        <v>0</v>
      </c>
      <c r="BB305" s="61">
        <v>29.670607047032401</v>
      </c>
      <c r="BC305" s="61">
        <v>8.4766019222412101</v>
      </c>
      <c r="BD305" s="60">
        <v>288.168468955241</v>
      </c>
    </row>
    <row r="306" spans="1:56" s="41" customFormat="1" ht="12" customHeight="1">
      <c r="A306" s="38" t="s">
        <v>404</v>
      </c>
      <c r="B306" s="41" t="s">
        <v>404</v>
      </c>
      <c r="C306" s="41" t="s">
        <v>135</v>
      </c>
      <c r="D306" s="61">
        <v>30.065222510933999</v>
      </c>
      <c r="E306" s="61">
        <v>8.5359841631644695</v>
      </c>
      <c r="F306" s="60">
        <v>290.56405228837099</v>
      </c>
      <c r="G306" s="122">
        <f t="shared" si="8"/>
        <v>2.9377289089749174E-2</v>
      </c>
      <c r="H306" s="61">
        <v>0.16091814019072601</v>
      </c>
      <c r="I306" s="62">
        <v>5.9550003141501898E-2</v>
      </c>
      <c r="J306" s="62">
        <v>1.3464837737434199E-3</v>
      </c>
      <c r="K306" s="62">
        <v>0.80803701560821595</v>
      </c>
      <c r="L306" s="62">
        <v>1.8318380390080598E-2</v>
      </c>
      <c r="M306" s="62">
        <v>9.8153844450739505E-2</v>
      </c>
      <c r="N306" s="62">
        <v>7.34775586524477E-4</v>
      </c>
      <c r="O306" s="62">
        <v>0.33021103802512902</v>
      </c>
      <c r="P306" s="62">
        <v>2.8119238081376001E-2</v>
      </c>
      <c r="Q306" s="62">
        <v>1.26556436179749E-3</v>
      </c>
      <c r="R306" s="62">
        <v>25.734370005263301</v>
      </c>
      <c r="S306" s="60">
        <v>587.06500000000005</v>
      </c>
      <c r="T306" s="69">
        <v>48.137500000000003</v>
      </c>
      <c r="U306" s="60">
        <v>601.35222114539602</v>
      </c>
      <c r="V306" s="69">
        <v>10.2956195929196</v>
      </c>
      <c r="W306" s="60">
        <v>603.58063893953602</v>
      </c>
      <c r="X306" s="69">
        <v>4.3255977297026904</v>
      </c>
      <c r="Y306" s="60">
        <v>560.508350846805</v>
      </c>
      <c r="Z306" s="69">
        <v>24.8802619246622</v>
      </c>
      <c r="AA306" s="71">
        <f t="shared" si="9"/>
        <v>0.99630117516426109</v>
      </c>
      <c r="AB306" s="50">
        <v>32.746940348651997</v>
      </c>
      <c r="AC306" s="60">
        <v>410.75789807398002</v>
      </c>
      <c r="AD306" s="61">
        <v>2.7297201972495402</v>
      </c>
      <c r="AE306" s="60">
        <v>220.59938658984601</v>
      </c>
      <c r="AF306" s="61">
        <v>1.3919404328253699</v>
      </c>
      <c r="AG306" s="61">
        <v>5.0955961589169999E-2</v>
      </c>
      <c r="AH306" s="61">
        <v>0</v>
      </c>
      <c r="AI306" s="50">
        <v>14.346840800272799</v>
      </c>
      <c r="AJ306" s="65">
        <v>2.16326502138698E-2</v>
      </c>
      <c r="AK306" s="61">
        <v>0.63304479253565205</v>
      </c>
      <c r="AL306" s="61">
        <v>1.3170327809918001</v>
      </c>
      <c r="AM306" s="61">
        <v>0.86248069715167697</v>
      </c>
      <c r="AN306" s="61">
        <v>5.9909670739022101</v>
      </c>
      <c r="AO306" s="61">
        <v>1.7440984508276201</v>
      </c>
      <c r="AP306" s="50">
        <v>17.4672215660703</v>
      </c>
      <c r="AQ306" s="61">
        <v>6.0367042870703296</v>
      </c>
      <c r="AR306" s="50">
        <v>25.436325002857899</v>
      </c>
      <c r="AS306" s="61">
        <v>5.4982981466307299</v>
      </c>
      <c r="AT306" s="50">
        <v>54.717509640734797</v>
      </c>
      <c r="AU306" s="50">
        <v>11.3898854662245</v>
      </c>
      <c r="AV306" s="60">
        <v>6652.1362432899696</v>
      </c>
      <c r="AW306" s="61">
        <v>0.36527749193723702</v>
      </c>
      <c r="AX306" s="65">
        <v>1.22316355734062E-2</v>
      </c>
      <c r="AY306" s="65">
        <v>0</v>
      </c>
      <c r="AZ306" s="61">
        <v>0.16091814019072601</v>
      </c>
      <c r="BA306" s="65">
        <v>0</v>
      </c>
      <c r="BB306" s="61">
        <v>30.065222510933999</v>
      </c>
      <c r="BC306" s="61">
        <v>8.5359841631644695</v>
      </c>
      <c r="BD306" s="60">
        <v>290.56405228837099</v>
      </c>
    </row>
    <row r="307" spans="1:56" s="41" customFormat="1" ht="12" customHeight="1">
      <c r="A307" s="38" t="s">
        <v>404</v>
      </c>
      <c r="B307" s="41" t="s">
        <v>404</v>
      </c>
      <c r="C307" s="41" t="s">
        <v>135</v>
      </c>
      <c r="D307" s="61">
        <v>29.8088284937445</v>
      </c>
      <c r="E307" s="61">
        <v>8.6268123161719998</v>
      </c>
      <c r="F307" s="60">
        <v>292.38281956738302</v>
      </c>
      <c r="G307" s="122">
        <f t="shared" si="8"/>
        <v>2.9505195718874482E-2</v>
      </c>
      <c r="H307" s="65">
        <v>7.0624354679931001E-2</v>
      </c>
      <c r="I307" s="62">
        <v>5.81047513369733E-2</v>
      </c>
      <c r="J307" s="62">
        <v>1.23632384079282E-3</v>
      </c>
      <c r="K307" s="62">
        <v>0.78359451275846304</v>
      </c>
      <c r="L307" s="62">
        <v>1.62787013436205E-2</v>
      </c>
      <c r="M307" s="62">
        <v>9.7592975850460895E-2</v>
      </c>
      <c r="N307" s="62">
        <v>7.9478195477087699E-4</v>
      </c>
      <c r="O307" s="62">
        <v>0.392013540120911</v>
      </c>
      <c r="P307" s="62">
        <v>3.1467522677176202E-2</v>
      </c>
      <c r="Q307" s="62">
        <v>1.29033155744435E-3</v>
      </c>
      <c r="R307" s="62">
        <v>24.666725774594699</v>
      </c>
      <c r="S307" s="60">
        <v>600.02499999999998</v>
      </c>
      <c r="T307" s="69">
        <v>50.917499999999997</v>
      </c>
      <c r="U307" s="60">
        <v>587.53182440840499</v>
      </c>
      <c r="V307" s="69">
        <v>9.2759146180275796</v>
      </c>
      <c r="W307" s="60">
        <v>600.28737093218297</v>
      </c>
      <c r="X307" s="69">
        <v>4.6791775152164297</v>
      </c>
      <c r="Y307" s="60">
        <v>626.22673076946</v>
      </c>
      <c r="Z307" s="69">
        <v>25.2848253338639</v>
      </c>
      <c r="AA307" s="71">
        <f t="shared" si="9"/>
        <v>0.97852274727700361</v>
      </c>
      <c r="AB307" s="50">
        <v>32.746940348651997</v>
      </c>
      <c r="AC307" s="60">
        <v>426.13432655043499</v>
      </c>
      <c r="AD307" s="61">
        <v>3.86723188164689</v>
      </c>
      <c r="AE307" s="60">
        <v>219.39592350129499</v>
      </c>
      <c r="AF307" s="61">
        <v>1.48689835118425</v>
      </c>
      <c r="AG307" s="61">
        <v>0</v>
      </c>
      <c r="AH307" s="61">
        <v>0</v>
      </c>
      <c r="AI307" s="50">
        <v>14.19048138274</v>
      </c>
      <c r="AJ307" s="65">
        <v>2.1767013252836299E-2</v>
      </c>
      <c r="AK307" s="61">
        <v>0.48326589592056002</v>
      </c>
      <c r="AL307" s="61">
        <v>1.2141770007891299</v>
      </c>
      <c r="AM307" s="61">
        <v>0.90932850964741796</v>
      </c>
      <c r="AN307" s="61">
        <v>5.9913871294695102</v>
      </c>
      <c r="AO307" s="61">
        <v>1.68810760224981</v>
      </c>
      <c r="AP307" s="50">
        <v>17.625943345053699</v>
      </c>
      <c r="AQ307" s="61">
        <v>6.07272162109067</v>
      </c>
      <c r="AR307" s="50">
        <v>26.663912672524901</v>
      </c>
      <c r="AS307" s="61">
        <v>5.4675344998185302</v>
      </c>
      <c r="AT307" s="50">
        <v>53.5462023969814</v>
      </c>
      <c r="AU307" s="50">
        <v>11.653973787997399</v>
      </c>
      <c r="AV307" s="60">
        <v>6691.68480224616</v>
      </c>
      <c r="AW307" s="61">
        <v>0.40996951829956602</v>
      </c>
      <c r="AX307" s="65">
        <v>5.1240162330682397E-2</v>
      </c>
      <c r="AY307" s="65">
        <v>0</v>
      </c>
      <c r="AZ307" s="65">
        <v>7.0624354679931001E-2</v>
      </c>
      <c r="BA307" s="65">
        <v>8.1778108240098703E-4</v>
      </c>
      <c r="BB307" s="61">
        <v>29.8088284937445</v>
      </c>
      <c r="BC307" s="61">
        <v>8.6268123161719998</v>
      </c>
      <c r="BD307" s="60">
        <v>292.38281956738302</v>
      </c>
    </row>
    <row r="308" spans="1:56" s="41" customFormat="1" ht="12" customHeight="1">
      <c r="A308" s="38" t="s">
        <v>404</v>
      </c>
      <c r="B308" s="41" t="s">
        <v>404</v>
      </c>
      <c r="C308" s="41" t="s">
        <v>135</v>
      </c>
      <c r="D308" s="61">
        <v>29.407222399125999</v>
      </c>
      <c r="E308" s="61">
        <v>8.6274820145892992</v>
      </c>
      <c r="F308" s="60">
        <v>288.43469395879299</v>
      </c>
      <c r="G308" s="122">
        <f t="shared" si="8"/>
        <v>2.9911387899202786E-2</v>
      </c>
      <c r="H308" s="63">
        <v>5.9945250949071001E-3</v>
      </c>
      <c r="I308" s="62">
        <v>6.1204966173586499E-2</v>
      </c>
      <c r="J308" s="62">
        <v>1.39886943448412E-3</v>
      </c>
      <c r="K308" s="62">
        <v>0.82345064257063605</v>
      </c>
      <c r="L308" s="62">
        <v>1.8416287652274699E-2</v>
      </c>
      <c r="M308" s="62">
        <v>9.7436058376752704E-2</v>
      </c>
      <c r="N308" s="62">
        <v>8.6772775797748904E-4</v>
      </c>
      <c r="O308" s="62">
        <v>0.39819817613452702</v>
      </c>
      <c r="P308" s="62">
        <v>3.16507731885236E-2</v>
      </c>
      <c r="Q308" s="62">
        <v>1.42379084620271E-3</v>
      </c>
      <c r="R308" s="62">
        <v>24.314610268715899</v>
      </c>
      <c r="S308" s="60">
        <v>655.57</v>
      </c>
      <c r="T308" s="69">
        <v>48.142499999999899</v>
      </c>
      <c r="U308" s="60">
        <v>609.97173527573204</v>
      </c>
      <c r="V308" s="69">
        <v>10.2634396481024</v>
      </c>
      <c r="W308" s="60">
        <v>599.36569289159002</v>
      </c>
      <c r="X308" s="69">
        <v>5.1073575109715001</v>
      </c>
      <c r="Y308" s="60">
        <v>629.817316153344</v>
      </c>
      <c r="Z308" s="69">
        <v>27.895084773449401</v>
      </c>
      <c r="AA308" s="71">
        <f t="shared" si="9"/>
        <v>0.98245974673881575</v>
      </c>
      <c r="AB308" s="50">
        <v>32.746940348651997</v>
      </c>
      <c r="AC308" s="60">
        <v>414.21513602255698</v>
      </c>
      <c r="AD308" s="61">
        <v>2.7716042906970202</v>
      </c>
      <c r="AE308" s="60">
        <v>218.38783811515299</v>
      </c>
      <c r="AF308" s="61">
        <v>1.4691725612428601</v>
      </c>
      <c r="AG308" s="61">
        <v>1.2083207457098699E-2</v>
      </c>
      <c r="AH308" s="61">
        <v>0</v>
      </c>
      <c r="AI308" s="50">
        <v>14.512321996444101</v>
      </c>
      <c r="AJ308" s="65">
        <v>2.2158392695845699E-2</v>
      </c>
      <c r="AK308" s="61">
        <v>0.46384398879122901</v>
      </c>
      <c r="AL308" s="61">
        <v>1.2788180760275201</v>
      </c>
      <c r="AM308" s="61">
        <v>0.92036082245282802</v>
      </c>
      <c r="AN308" s="61">
        <v>5.8491268310328</v>
      </c>
      <c r="AO308" s="61">
        <v>1.7964657252640099</v>
      </c>
      <c r="AP308" s="50">
        <v>17.5423224887045</v>
      </c>
      <c r="AQ308" s="61">
        <v>6.0128908644260699</v>
      </c>
      <c r="AR308" s="50">
        <v>26.0174901983555</v>
      </c>
      <c r="AS308" s="61">
        <v>5.6053711639615997</v>
      </c>
      <c r="AT308" s="50">
        <v>53.648295908967697</v>
      </c>
      <c r="AU308" s="50">
        <v>11.628367921929399</v>
      </c>
      <c r="AV308" s="60">
        <v>6713.0530821467401</v>
      </c>
      <c r="AW308" s="61">
        <v>0.37056604868965898</v>
      </c>
      <c r="AX308" s="65">
        <v>0</v>
      </c>
      <c r="AY308" s="65">
        <v>0</v>
      </c>
      <c r="AZ308" s="63">
        <v>5.9945250949071001E-3</v>
      </c>
      <c r="BA308" s="65">
        <v>0</v>
      </c>
      <c r="BB308" s="61">
        <v>29.407222399125999</v>
      </c>
      <c r="BC308" s="61">
        <v>8.6274820145892992</v>
      </c>
      <c r="BD308" s="60">
        <v>288.43469395879299</v>
      </c>
    </row>
    <row r="309" spans="1:56" s="41" customFormat="1" ht="12" customHeight="1">
      <c r="A309" s="38" t="s">
        <v>404</v>
      </c>
      <c r="B309" s="41" t="s">
        <v>404</v>
      </c>
      <c r="C309" s="41" t="s">
        <v>135</v>
      </c>
      <c r="D309" s="61">
        <v>29.926920801206801</v>
      </c>
      <c r="E309" s="61">
        <v>8.5034611534442899</v>
      </c>
      <c r="F309" s="60">
        <v>292.61824735829902</v>
      </c>
      <c r="G309" s="122">
        <f t="shared" si="8"/>
        <v>2.9059914172174475E-2</v>
      </c>
      <c r="H309" s="63">
        <v>0</v>
      </c>
      <c r="I309" s="62">
        <v>6.1036021572328999E-2</v>
      </c>
      <c r="J309" s="62">
        <v>1.3006159177747E-3</v>
      </c>
      <c r="K309" s="62">
        <v>0.82778163994355403</v>
      </c>
      <c r="L309" s="62">
        <v>1.77110831684664E-2</v>
      </c>
      <c r="M309" s="62">
        <v>9.8242082967124097E-2</v>
      </c>
      <c r="N309" s="62">
        <v>8.3390624548543898E-4</v>
      </c>
      <c r="O309" s="62">
        <v>0.39672569684487502</v>
      </c>
      <c r="P309" s="62">
        <v>3.1720471782570703E-2</v>
      </c>
      <c r="Q309" s="62">
        <v>1.30851674848624E-3</v>
      </c>
      <c r="R309" s="62">
        <v>24.954215183832599</v>
      </c>
      <c r="S309" s="60">
        <v>638.90499999999997</v>
      </c>
      <c r="T309" s="69">
        <v>46.29</v>
      </c>
      <c r="U309" s="60">
        <v>612.38057867894202</v>
      </c>
      <c r="V309" s="69">
        <v>9.8478027777972201</v>
      </c>
      <c r="W309" s="60">
        <v>604.09859839906403</v>
      </c>
      <c r="X309" s="69">
        <v>4.9056851562713799</v>
      </c>
      <c r="Y309" s="60">
        <v>631.18281342474597</v>
      </c>
      <c r="Z309" s="69">
        <v>25.6348886220634</v>
      </c>
      <c r="AA309" s="71">
        <f t="shared" si="9"/>
        <v>0.98638368755349948</v>
      </c>
      <c r="AB309" s="50">
        <v>32.746940348651997</v>
      </c>
      <c r="AC309" s="60">
        <v>417.22556088638999</v>
      </c>
      <c r="AD309" s="61">
        <v>3.0724043704295698</v>
      </c>
      <c r="AE309" s="60">
        <v>216.79786460870699</v>
      </c>
      <c r="AF309" s="61">
        <v>1.60859459757533</v>
      </c>
      <c r="AG309" s="61">
        <v>0</v>
      </c>
      <c r="AH309" s="61">
        <v>2.8697224618437198E-3</v>
      </c>
      <c r="AI309" s="50">
        <v>14.6789917802214</v>
      </c>
      <c r="AJ309" s="65">
        <v>2.49928573690168E-2</v>
      </c>
      <c r="AK309" s="61">
        <v>0.60480348211085</v>
      </c>
      <c r="AL309" s="61">
        <v>1.32456625099199</v>
      </c>
      <c r="AM309" s="61">
        <v>0.822045171876152</v>
      </c>
      <c r="AN309" s="61">
        <v>6.18019870621296</v>
      </c>
      <c r="AO309" s="61">
        <v>1.63180589116496</v>
      </c>
      <c r="AP309" s="50">
        <v>17.738519223214499</v>
      </c>
      <c r="AQ309" s="61">
        <v>6.1080504704607002</v>
      </c>
      <c r="AR309" s="50">
        <v>26.377049460541699</v>
      </c>
      <c r="AS309" s="61">
        <v>5.5023477721043799</v>
      </c>
      <c r="AT309" s="50">
        <v>55.907143878584499</v>
      </c>
      <c r="AU309" s="50">
        <v>11.382312552315099</v>
      </c>
      <c r="AV309" s="60">
        <v>6620.1435528519196</v>
      </c>
      <c r="AW309" s="61">
        <v>0.392295296857186</v>
      </c>
      <c r="AX309" s="65">
        <v>3.7403224615716602E-2</v>
      </c>
      <c r="AY309" s="65">
        <v>0</v>
      </c>
      <c r="AZ309" s="63">
        <v>0</v>
      </c>
      <c r="BA309" s="65">
        <v>3.0515042842392502E-3</v>
      </c>
      <c r="BB309" s="61">
        <v>29.926920801206801</v>
      </c>
      <c r="BC309" s="61">
        <v>8.5034611534442899</v>
      </c>
      <c r="BD309" s="60">
        <v>292.61824735829902</v>
      </c>
    </row>
    <row r="310" spans="1:56" s="41" customFormat="1" ht="12" customHeight="1">
      <c r="A310" s="38" t="s">
        <v>404</v>
      </c>
      <c r="B310" s="41" t="s">
        <v>404</v>
      </c>
      <c r="C310" s="41" t="s">
        <v>135</v>
      </c>
      <c r="D310" s="61">
        <v>29.181009667909802</v>
      </c>
      <c r="E310" s="61">
        <v>8.4419471302826903</v>
      </c>
      <c r="F310" s="60">
        <v>287.057392833959</v>
      </c>
      <c r="G310" s="122">
        <f t="shared" si="8"/>
        <v>2.9408568951804416E-2</v>
      </c>
      <c r="H310" s="63">
        <v>0</v>
      </c>
      <c r="I310" s="62">
        <v>6.0300817119576001E-2</v>
      </c>
      <c r="J310" s="62">
        <v>1.2566448918303801E-3</v>
      </c>
      <c r="K310" s="62">
        <v>0.81335982998433998</v>
      </c>
      <c r="L310" s="62">
        <v>1.6537704160255899E-2</v>
      </c>
      <c r="M310" s="62">
        <v>9.77633299460412E-2</v>
      </c>
      <c r="N310" s="62">
        <v>8.0605097343933499E-4</v>
      </c>
      <c r="O310" s="62">
        <v>0.40550295383949198</v>
      </c>
      <c r="P310" s="62">
        <v>2.87293618176644E-2</v>
      </c>
      <c r="Q310" s="62">
        <v>1.2663802437747099E-3</v>
      </c>
      <c r="R310" s="62">
        <v>24.623463200532399</v>
      </c>
      <c r="S310" s="60">
        <v>612.98</v>
      </c>
      <c r="T310" s="69">
        <v>44.435000000000102</v>
      </c>
      <c r="U310" s="60">
        <v>604.33709114758801</v>
      </c>
      <c r="V310" s="69">
        <v>9.2693305115981808</v>
      </c>
      <c r="W310" s="60">
        <v>601.28782179934694</v>
      </c>
      <c r="X310" s="69">
        <v>4.74451024448721</v>
      </c>
      <c r="Y310" s="60">
        <v>572.49947228502401</v>
      </c>
      <c r="Z310" s="69">
        <v>24.8815360736785</v>
      </c>
      <c r="AA310" s="71">
        <f t="shared" si="9"/>
        <v>0.99494159532455628</v>
      </c>
      <c r="AB310" s="50">
        <v>32.746940348651997</v>
      </c>
      <c r="AC310" s="60">
        <v>403.56830190149799</v>
      </c>
      <c r="AD310" s="61">
        <v>4.0983759337158299</v>
      </c>
      <c r="AE310" s="60">
        <v>212.45798159831699</v>
      </c>
      <c r="AF310" s="61">
        <v>1.44611570046612</v>
      </c>
      <c r="AG310" s="61">
        <v>2.7945147102367399E-2</v>
      </c>
      <c r="AH310" s="61">
        <v>0</v>
      </c>
      <c r="AI310" s="50">
        <v>14.3756786797021</v>
      </c>
      <c r="AJ310" s="65">
        <v>2.80768555868076E-2</v>
      </c>
      <c r="AK310" s="61">
        <v>0.48922802198924398</v>
      </c>
      <c r="AL310" s="61">
        <v>1.3936008062095699</v>
      </c>
      <c r="AM310" s="61">
        <v>0.89880526264280203</v>
      </c>
      <c r="AN310" s="61">
        <v>5.7852176050614297</v>
      </c>
      <c r="AO310" s="61">
        <v>1.6268841035830199</v>
      </c>
      <c r="AP310" s="50">
        <v>17.702760564709202</v>
      </c>
      <c r="AQ310" s="61">
        <v>5.9536313693343699</v>
      </c>
      <c r="AR310" s="50">
        <v>25.281071206246299</v>
      </c>
      <c r="AS310" s="61">
        <v>5.5607413605001899</v>
      </c>
      <c r="AT310" s="50">
        <v>53.473569022030503</v>
      </c>
      <c r="AU310" s="50">
        <v>11.075782076692001</v>
      </c>
      <c r="AV310" s="60">
        <v>6474.5285185196499</v>
      </c>
      <c r="AW310" s="61">
        <v>0.37288777724646799</v>
      </c>
      <c r="AX310" s="65">
        <v>2.28846772989626E-2</v>
      </c>
      <c r="AY310" s="65">
        <v>0</v>
      </c>
      <c r="AZ310" s="63">
        <v>0</v>
      </c>
      <c r="BA310" s="65">
        <v>4.8915458691218099E-3</v>
      </c>
      <c r="BB310" s="61">
        <v>29.181009667909802</v>
      </c>
      <c r="BC310" s="61">
        <v>8.4419471302826903</v>
      </c>
      <c r="BD310" s="60">
        <v>287.057392833959</v>
      </c>
    </row>
    <row r="311" spans="1:56" s="41" customFormat="1" ht="12" customHeight="1">
      <c r="A311" s="38" t="s">
        <v>404</v>
      </c>
      <c r="B311" s="41" t="s">
        <v>404</v>
      </c>
      <c r="C311" s="41" t="s">
        <v>135</v>
      </c>
      <c r="D311" s="61">
        <v>29.4582168877055</v>
      </c>
      <c r="E311" s="61">
        <v>8.5134591458301507</v>
      </c>
      <c r="F311" s="60">
        <v>285.93602564001202</v>
      </c>
      <c r="G311" s="122">
        <f t="shared" si="8"/>
        <v>2.9773999714706928E-2</v>
      </c>
      <c r="H311" s="65">
        <v>5.6588289480150801E-2</v>
      </c>
      <c r="I311" s="62">
        <v>5.9377036081303403E-2</v>
      </c>
      <c r="J311" s="62">
        <v>1.2038958900118101E-3</v>
      </c>
      <c r="K311" s="62">
        <v>0.80508818410599403</v>
      </c>
      <c r="L311" s="62">
        <v>1.6052830639794902E-2</v>
      </c>
      <c r="M311" s="62">
        <v>9.7971489171477494E-2</v>
      </c>
      <c r="N311" s="62">
        <v>7.8216124628710103E-4</v>
      </c>
      <c r="O311" s="62">
        <v>0.40039478628195102</v>
      </c>
      <c r="P311" s="62">
        <v>3.1473854143041997E-2</v>
      </c>
      <c r="Q311" s="62">
        <v>1.37838625555749E-3</v>
      </c>
      <c r="R311" s="62">
        <v>24.383143350282602</v>
      </c>
      <c r="S311" s="60">
        <v>588.91499999999996</v>
      </c>
      <c r="T311" s="69">
        <v>16.662500000000001</v>
      </c>
      <c r="U311" s="60">
        <v>599.69482261444796</v>
      </c>
      <c r="V311" s="69">
        <v>9.0391068526968397</v>
      </c>
      <c r="W311" s="60">
        <v>602.51008286232002</v>
      </c>
      <c r="X311" s="69">
        <v>4.60373909093334</v>
      </c>
      <c r="Y311" s="60">
        <v>626.35079928213202</v>
      </c>
      <c r="Z311" s="69">
        <v>27.010144470785299</v>
      </c>
      <c r="AA311" s="71">
        <f t="shared" si="9"/>
        <v>0.99531650513976966</v>
      </c>
      <c r="AB311" s="50">
        <v>32.746940348651997</v>
      </c>
      <c r="AC311" s="60">
        <v>364.10978646868801</v>
      </c>
      <c r="AD311" s="61">
        <v>3.2551790533554801</v>
      </c>
      <c r="AE311" s="60">
        <v>211.90472855123201</v>
      </c>
      <c r="AF311" s="61">
        <v>1.4366749115091999</v>
      </c>
      <c r="AG311" s="61">
        <v>0</v>
      </c>
      <c r="AH311" s="61">
        <v>5.7160449633866196E-3</v>
      </c>
      <c r="AI311" s="50">
        <v>14.004353738047</v>
      </c>
      <c r="AJ311" s="65">
        <v>3.0344936858494601E-2</v>
      </c>
      <c r="AK311" s="61">
        <v>0.64341812599998904</v>
      </c>
      <c r="AL311" s="61">
        <v>1.0808415210797599</v>
      </c>
      <c r="AM311" s="61">
        <v>0.92593413646974299</v>
      </c>
      <c r="AN311" s="61">
        <v>6.0161400242309497</v>
      </c>
      <c r="AO311" s="61">
        <v>1.7728781361785899</v>
      </c>
      <c r="AP311" s="50">
        <v>17.139076660036402</v>
      </c>
      <c r="AQ311" s="61">
        <v>5.8920196226299897</v>
      </c>
      <c r="AR311" s="50">
        <v>25.4368642860757</v>
      </c>
      <c r="AS311" s="61">
        <v>5.2950836152627803</v>
      </c>
      <c r="AT311" s="50">
        <v>51.782898957840203</v>
      </c>
      <c r="AU311" s="50">
        <v>11.2127379107081</v>
      </c>
      <c r="AV311" s="60">
        <v>6466.7275146093098</v>
      </c>
      <c r="AW311" s="61">
        <v>0.38676063711680903</v>
      </c>
      <c r="AX311" s="65">
        <v>0</v>
      </c>
      <c r="AY311" s="65">
        <v>0</v>
      </c>
      <c r="AZ311" s="65">
        <v>5.6588289480150801E-2</v>
      </c>
      <c r="BA311" s="65">
        <v>6.1062430169039304E-3</v>
      </c>
      <c r="BB311" s="61">
        <v>29.4582168877055</v>
      </c>
      <c r="BC311" s="61">
        <v>8.5134591458301507</v>
      </c>
      <c r="BD311" s="60">
        <v>285.93602564001202</v>
      </c>
    </row>
    <row r="312" spans="1:56" s="41" customFormat="1" ht="12" customHeight="1">
      <c r="A312" s="38" t="s">
        <v>404</v>
      </c>
      <c r="B312" s="41" t="s">
        <v>404</v>
      </c>
      <c r="C312" s="41" t="s">
        <v>135</v>
      </c>
      <c r="D312" s="61">
        <v>30.2968566266449</v>
      </c>
      <c r="E312" s="61">
        <v>8.7988329325241601</v>
      </c>
      <c r="F312" s="60">
        <v>293.833883746092</v>
      </c>
      <c r="G312" s="122">
        <f t="shared" si="8"/>
        <v>2.9944922690153107E-2</v>
      </c>
      <c r="H312" s="63">
        <v>0</v>
      </c>
      <c r="I312" s="62">
        <v>5.98102933170176E-2</v>
      </c>
      <c r="J312" s="62">
        <v>1.24719895596336E-3</v>
      </c>
      <c r="K312" s="62">
        <v>0.81140757689781795</v>
      </c>
      <c r="L312" s="62">
        <v>1.63599093877238E-2</v>
      </c>
      <c r="M312" s="62">
        <v>9.8028144429244193E-2</v>
      </c>
      <c r="N312" s="62">
        <v>7.4903961273768401E-4</v>
      </c>
      <c r="O312" s="62">
        <v>0.378976402419122</v>
      </c>
      <c r="P312" s="62">
        <v>3.09182630924279E-2</v>
      </c>
      <c r="Q312" s="62">
        <v>1.1827985265042099E-3</v>
      </c>
      <c r="R312" s="62">
        <v>24.2085374293335</v>
      </c>
      <c r="S312" s="60">
        <v>598.16999999999996</v>
      </c>
      <c r="T312" s="69">
        <v>46.287500000000001</v>
      </c>
      <c r="U312" s="60">
        <v>603.24334654613801</v>
      </c>
      <c r="V312" s="69">
        <v>9.1797038136259506</v>
      </c>
      <c r="W312" s="60">
        <v>602.84270883515705</v>
      </c>
      <c r="X312" s="69">
        <v>4.4095698497590199</v>
      </c>
      <c r="Y312" s="60">
        <v>615.46079113207702</v>
      </c>
      <c r="Z312" s="69">
        <v>23.189999462247901</v>
      </c>
      <c r="AA312" s="71">
        <f t="shared" si="9"/>
        <v>0.99933563992520535</v>
      </c>
      <c r="AB312" s="50">
        <v>32.746940348651997</v>
      </c>
      <c r="AC312" s="60">
        <v>383.33951473891301</v>
      </c>
      <c r="AD312" s="61">
        <v>4.02126118548198</v>
      </c>
      <c r="AE312" s="60">
        <v>216.47653684568701</v>
      </c>
      <c r="AF312" s="61">
        <v>1.39380692564793</v>
      </c>
      <c r="AG312" s="61">
        <v>0</v>
      </c>
      <c r="AH312" s="61">
        <v>5.9188765529142803E-3</v>
      </c>
      <c r="AI312" s="50">
        <v>14.316061825985599</v>
      </c>
      <c r="AJ312" s="65">
        <v>2.9091903639393998E-2</v>
      </c>
      <c r="AK312" s="61">
        <v>0.52004722734852904</v>
      </c>
      <c r="AL312" s="61">
        <v>1.11593711815047</v>
      </c>
      <c r="AM312" s="61">
        <v>0.83334910324244305</v>
      </c>
      <c r="AN312" s="61">
        <v>5.8335077962084299</v>
      </c>
      <c r="AO312" s="61">
        <v>1.76187938672505</v>
      </c>
      <c r="AP312" s="50">
        <v>18.010146303983198</v>
      </c>
      <c r="AQ312" s="61">
        <v>5.8987594627840396</v>
      </c>
      <c r="AR312" s="50">
        <v>26.3262699049037</v>
      </c>
      <c r="AS312" s="61">
        <v>5.4018482778792496</v>
      </c>
      <c r="AT312" s="50">
        <v>53.033080618105103</v>
      </c>
      <c r="AU312" s="50">
        <v>11.332603931114001</v>
      </c>
      <c r="AV312" s="60">
        <v>6464.5451797599198</v>
      </c>
      <c r="AW312" s="61">
        <v>0.396587642983385</v>
      </c>
      <c r="AX312" s="65">
        <v>5.9182883832285902E-3</v>
      </c>
      <c r="AY312" s="65">
        <v>0</v>
      </c>
      <c r="AZ312" s="63">
        <v>0</v>
      </c>
      <c r="BA312" s="65">
        <v>7.8501017471609505E-4</v>
      </c>
      <c r="BB312" s="61">
        <v>30.2968566266449</v>
      </c>
      <c r="BC312" s="61">
        <v>8.7988329325241601</v>
      </c>
      <c r="BD312" s="60">
        <v>293.833883746092</v>
      </c>
    </row>
    <row r="313" spans="1:56" s="41" customFormat="1" ht="12" customHeight="1">
      <c r="A313" s="38" t="s">
        <v>404</v>
      </c>
      <c r="B313" s="41" t="s">
        <v>404</v>
      </c>
      <c r="C313" s="41" t="s">
        <v>135</v>
      </c>
      <c r="D313" s="61">
        <v>29.810672115920301</v>
      </c>
      <c r="E313" s="61">
        <v>8.4335318827267791</v>
      </c>
      <c r="F313" s="60">
        <v>288.23388463914398</v>
      </c>
      <c r="G313" s="122">
        <f t="shared" si="8"/>
        <v>2.9259335325148138E-2</v>
      </c>
      <c r="H313" s="61">
        <v>0.16912058156253201</v>
      </c>
      <c r="I313" s="62">
        <v>5.9903539926578799E-2</v>
      </c>
      <c r="J313" s="62">
        <v>1.44923881904015E-3</v>
      </c>
      <c r="K313" s="62">
        <v>0.80827765905255</v>
      </c>
      <c r="L313" s="62">
        <v>1.9033904976412799E-2</v>
      </c>
      <c r="M313" s="62">
        <v>9.7470425555263807E-2</v>
      </c>
      <c r="N313" s="62">
        <v>8.5027940951999995E-4</v>
      </c>
      <c r="O313" s="62">
        <v>0.37044307299752899</v>
      </c>
      <c r="P313" s="62">
        <v>3.0125166771887198E-2</v>
      </c>
      <c r="Q313" s="62">
        <v>1.2251939306494001E-3</v>
      </c>
      <c r="R313" s="62">
        <v>25.190022712385399</v>
      </c>
      <c r="S313" s="60">
        <v>611.13</v>
      </c>
      <c r="T313" s="69">
        <v>51.842500000000001</v>
      </c>
      <c r="U313" s="60">
        <v>601.48735610880397</v>
      </c>
      <c r="V313" s="69">
        <v>10.6957308947187</v>
      </c>
      <c r="W313" s="60">
        <v>599.56756487893301</v>
      </c>
      <c r="X313" s="69">
        <v>5.00492591568519</v>
      </c>
      <c r="Y313" s="60">
        <v>599.90532584544906</v>
      </c>
      <c r="Z313" s="69">
        <v>24.039699598791</v>
      </c>
      <c r="AA313" s="71">
        <f t="shared" si="9"/>
        <v>0.9968031582963881</v>
      </c>
      <c r="AB313" s="50">
        <v>32.746940348651997</v>
      </c>
      <c r="AC313" s="60">
        <v>363.87887610444102</v>
      </c>
      <c r="AD313" s="61">
        <v>3.7559285689638102</v>
      </c>
      <c r="AE313" s="60">
        <v>214.973135499319</v>
      </c>
      <c r="AF313" s="61">
        <v>1.4919439462780899</v>
      </c>
      <c r="AG313" s="61">
        <v>6.1809931254264401E-3</v>
      </c>
      <c r="AH313" s="61">
        <v>1.4307633097039401E-3</v>
      </c>
      <c r="AI313" s="50">
        <v>14.311530027981</v>
      </c>
      <c r="AJ313" s="65">
        <v>2.2203779851300801E-2</v>
      </c>
      <c r="AK313" s="61">
        <v>0.56999136795045902</v>
      </c>
      <c r="AL313" s="61">
        <v>1.3024001241154299</v>
      </c>
      <c r="AM313" s="61">
        <v>0.82033475924198795</v>
      </c>
      <c r="AN313" s="61">
        <v>5.9712574429268397</v>
      </c>
      <c r="AO313" s="61">
        <v>1.6219577112791801</v>
      </c>
      <c r="AP313" s="50">
        <v>17.513320892350201</v>
      </c>
      <c r="AQ313" s="61">
        <v>5.8660743846165904</v>
      </c>
      <c r="AR313" s="50">
        <v>25.0472499588308</v>
      </c>
      <c r="AS313" s="61">
        <v>5.4581018510956998</v>
      </c>
      <c r="AT313" s="50">
        <v>52.252562208810602</v>
      </c>
      <c r="AU313" s="50">
        <v>11.317693640875699</v>
      </c>
      <c r="AV313" s="60">
        <v>6559.7264283545801</v>
      </c>
      <c r="AW313" s="61">
        <v>0.37889638641325002</v>
      </c>
      <c r="AX313" s="65">
        <v>4.0665891940392801E-2</v>
      </c>
      <c r="AY313" s="65">
        <v>0</v>
      </c>
      <c r="AZ313" s="61">
        <v>0.16912058156253201</v>
      </c>
      <c r="BA313" s="65">
        <v>0</v>
      </c>
      <c r="BB313" s="61">
        <v>29.810672115920301</v>
      </c>
      <c r="BC313" s="61">
        <v>8.4335318827267791</v>
      </c>
      <c r="BD313" s="60">
        <v>288.23388463914398</v>
      </c>
    </row>
    <row r="314" spans="1:56" s="41" customFormat="1" ht="12" customHeight="1">
      <c r="A314" s="38" t="s">
        <v>404</v>
      </c>
      <c r="B314" s="41" t="s">
        <v>404</v>
      </c>
      <c r="C314" s="41" t="s">
        <v>135</v>
      </c>
      <c r="D314" s="61">
        <v>30.9489771850842</v>
      </c>
      <c r="E314" s="61">
        <v>8.7204195929412496</v>
      </c>
      <c r="F314" s="60">
        <v>296.16922169373998</v>
      </c>
      <c r="G314" s="122">
        <f t="shared" si="8"/>
        <v>2.9444043993061449E-2</v>
      </c>
      <c r="H314" s="65">
        <v>7.33451486635954E-2</v>
      </c>
      <c r="I314" s="62">
        <v>6.0716250470617801E-2</v>
      </c>
      <c r="J314" s="62">
        <v>1.2168816777621699E-3</v>
      </c>
      <c r="K314" s="62">
        <v>0.827164325658586</v>
      </c>
      <c r="L314" s="62">
        <v>1.7493244923758301E-2</v>
      </c>
      <c r="M314" s="62">
        <v>9.8145750271499202E-2</v>
      </c>
      <c r="N314" s="62">
        <v>8.3517695860893797E-4</v>
      </c>
      <c r="O314" s="62">
        <v>0.40237262274477198</v>
      </c>
      <c r="P314" s="62">
        <v>2.8431762419808701E-2</v>
      </c>
      <c r="Q314" s="62">
        <v>1.22248030934102E-3</v>
      </c>
      <c r="R314" s="62">
        <v>24.922946385881598</v>
      </c>
      <c r="S314" s="60">
        <v>627.79499999999996</v>
      </c>
      <c r="T314" s="69">
        <v>42.585000000000001</v>
      </c>
      <c r="U314" s="60">
        <v>612.03758566325905</v>
      </c>
      <c r="V314" s="69">
        <v>9.7301674849822408</v>
      </c>
      <c r="W314" s="60">
        <v>603.53312408138697</v>
      </c>
      <c r="X314" s="69">
        <v>4.9135362808369001</v>
      </c>
      <c r="Y314" s="60">
        <v>566.65146458964898</v>
      </c>
      <c r="Z314" s="69">
        <v>24.025951091340598</v>
      </c>
      <c r="AA314" s="71">
        <f t="shared" si="9"/>
        <v>0.98600745886077068</v>
      </c>
      <c r="AB314" s="50">
        <v>32.746940348651997</v>
      </c>
      <c r="AC314" s="60">
        <v>360.61078134392397</v>
      </c>
      <c r="AD314" s="61">
        <v>3.1677822038379899</v>
      </c>
      <c r="AE314" s="60">
        <v>217.72699905369299</v>
      </c>
      <c r="AF314" s="61">
        <v>1.5117907311152801</v>
      </c>
      <c r="AG314" s="61">
        <v>0</v>
      </c>
      <c r="AH314" s="61">
        <v>5.8800427157988298E-4</v>
      </c>
      <c r="AI314" s="50">
        <v>14.1494388296781</v>
      </c>
      <c r="AJ314" s="65">
        <v>2.7787105723060701E-2</v>
      </c>
      <c r="AK314" s="61">
        <v>0.61530980804754198</v>
      </c>
      <c r="AL314" s="61">
        <v>1.27578903904907</v>
      </c>
      <c r="AM314" s="61">
        <v>0.77725832501746195</v>
      </c>
      <c r="AN314" s="61">
        <v>6.4183383477913001</v>
      </c>
      <c r="AO314" s="61">
        <v>1.6944381664040999</v>
      </c>
      <c r="AP314" s="50">
        <v>17.5069481793001</v>
      </c>
      <c r="AQ314" s="61">
        <v>5.97423859803789</v>
      </c>
      <c r="AR314" s="50">
        <v>26.141345221184501</v>
      </c>
      <c r="AS314" s="61">
        <v>5.5581839121893903</v>
      </c>
      <c r="AT314" s="50">
        <v>52.8151457866811</v>
      </c>
      <c r="AU314" s="50">
        <v>11.6845806094701</v>
      </c>
      <c r="AV314" s="60">
        <v>6606.2297540301597</v>
      </c>
      <c r="AW314" s="61">
        <v>0.43337441801469101</v>
      </c>
      <c r="AX314" s="65">
        <v>0.141880038509483</v>
      </c>
      <c r="AY314" s="65">
        <v>0</v>
      </c>
      <c r="AZ314" s="65">
        <v>7.33451486635954E-2</v>
      </c>
      <c r="BA314" s="65">
        <v>8.4524417423312501E-3</v>
      </c>
      <c r="BB314" s="61">
        <v>30.9489771850842</v>
      </c>
      <c r="BC314" s="61">
        <v>8.7204195929412496</v>
      </c>
      <c r="BD314" s="60">
        <v>296.16922169373998</v>
      </c>
    </row>
    <row r="315" spans="1:56" s="41" customFormat="1" ht="12" customHeight="1">
      <c r="A315" s="38" t="s">
        <v>404</v>
      </c>
      <c r="B315" s="41" t="s">
        <v>404</v>
      </c>
      <c r="C315" s="41" t="s">
        <v>135</v>
      </c>
      <c r="D315" s="61">
        <v>29.8290499361119</v>
      </c>
      <c r="E315" s="61">
        <v>8.5049185549439201</v>
      </c>
      <c r="F315" s="60">
        <v>285.71627863849602</v>
      </c>
      <c r="G315" s="122">
        <f t="shared" si="8"/>
        <v>2.9767007310440338E-2</v>
      </c>
      <c r="H315" s="65">
        <v>4.4956921973570499E-2</v>
      </c>
      <c r="I315" s="62">
        <v>6.1021628786342798E-2</v>
      </c>
      <c r="J315" s="62">
        <v>1.4015315261888799E-3</v>
      </c>
      <c r="K315" s="62">
        <v>0.82158382303760902</v>
      </c>
      <c r="L315" s="62">
        <v>1.9516062808933799E-2</v>
      </c>
      <c r="M315" s="62">
        <v>9.77043510179815E-2</v>
      </c>
      <c r="N315" s="62">
        <v>7.28666452248291E-4</v>
      </c>
      <c r="O315" s="62">
        <v>0.313960160928481</v>
      </c>
      <c r="P315" s="62">
        <v>2.7025855178877199E-2</v>
      </c>
      <c r="Q315" s="62">
        <v>1.2350648126167401E-3</v>
      </c>
      <c r="R315" s="62">
        <v>24.346296913086999</v>
      </c>
      <c r="S315" s="60">
        <v>638.90499999999997</v>
      </c>
      <c r="T315" s="69">
        <v>48.91</v>
      </c>
      <c r="U315" s="60">
        <v>608.93166989311703</v>
      </c>
      <c r="V315" s="69">
        <v>10.886476333703101</v>
      </c>
      <c r="W315" s="60">
        <v>600.94146953766096</v>
      </c>
      <c r="X315" s="69">
        <v>4.2914770010189196</v>
      </c>
      <c r="Y315" s="60">
        <v>539.00163863506202</v>
      </c>
      <c r="Z315" s="69">
        <v>24.3065079163154</v>
      </c>
      <c r="AA315" s="71">
        <f t="shared" si="9"/>
        <v>0.98679167245713828</v>
      </c>
      <c r="AB315" s="50">
        <v>32.746940348651997</v>
      </c>
      <c r="AC315" s="60">
        <v>347.87490406581099</v>
      </c>
      <c r="AD315" s="61">
        <v>2.1367732199243901</v>
      </c>
      <c r="AE315" s="60">
        <v>211.69193054881001</v>
      </c>
      <c r="AF315" s="61">
        <v>1.40369053782417</v>
      </c>
      <c r="AG315" s="61">
        <v>0</v>
      </c>
      <c r="AH315" s="61">
        <v>5.9036666918017497E-3</v>
      </c>
      <c r="AI315" s="50">
        <v>14.253654529497901</v>
      </c>
      <c r="AJ315" s="65">
        <v>3.0823473167581199E-2</v>
      </c>
      <c r="AK315" s="61">
        <v>0.48303068923574799</v>
      </c>
      <c r="AL315" s="61">
        <v>1.27469688016558</v>
      </c>
      <c r="AM315" s="61">
        <v>0.87732227791460005</v>
      </c>
      <c r="AN315" s="61">
        <v>5.9569802355870598</v>
      </c>
      <c r="AO315" s="61">
        <v>1.7387813144606199</v>
      </c>
      <c r="AP315" s="50">
        <v>17.1920485841888</v>
      </c>
      <c r="AQ315" s="61">
        <v>6.0281669945716603</v>
      </c>
      <c r="AR315" s="50">
        <v>25.783165360906299</v>
      </c>
      <c r="AS315" s="61">
        <v>5.3765644066279696</v>
      </c>
      <c r="AT315" s="50">
        <v>52.768449016534298</v>
      </c>
      <c r="AU315" s="50">
        <v>11.115817067350401</v>
      </c>
      <c r="AV315" s="60">
        <v>6489.6933759046697</v>
      </c>
      <c r="AW315" s="61">
        <v>0.36414307130522</v>
      </c>
      <c r="AX315" s="65">
        <v>1.1943508113389401E-2</v>
      </c>
      <c r="AY315" s="65">
        <v>0</v>
      </c>
      <c r="AZ315" s="65">
        <v>4.4956921973570499E-2</v>
      </c>
      <c r="BA315" s="65">
        <v>2.1780817035909499E-3</v>
      </c>
      <c r="BB315" s="61">
        <v>29.8290499361119</v>
      </c>
      <c r="BC315" s="61">
        <v>8.5049185549439201</v>
      </c>
      <c r="BD315" s="60">
        <v>285.71627863849602</v>
      </c>
    </row>
    <row r="316" spans="1:56" s="41" customFormat="1" ht="12" customHeight="1">
      <c r="A316" s="38" t="s">
        <v>404</v>
      </c>
      <c r="B316" s="41" t="s">
        <v>404</v>
      </c>
      <c r="C316" s="41" t="s">
        <v>135</v>
      </c>
      <c r="D316" s="61">
        <v>30.020949559128301</v>
      </c>
      <c r="E316" s="61">
        <v>8.4180363276634491</v>
      </c>
      <c r="F316" s="60">
        <v>286.74423807744103</v>
      </c>
      <c r="G316" s="122">
        <f t="shared" si="8"/>
        <v>2.9357298978715623E-2</v>
      </c>
      <c r="H316" s="65">
        <v>6.8614996670641401E-2</v>
      </c>
      <c r="I316" s="62">
        <v>6.09824949092913E-2</v>
      </c>
      <c r="J316" s="62">
        <v>1.32570785839288E-3</v>
      </c>
      <c r="K316" s="62">
        <v>0.82408481526851296</v>
      </c>
      <c r="L316" s="62">
        <v>1.8629353282223201E-2</v>
      </c>
      <c r="M316" s="62">
        <v>9.8013843287723196E-2</v>
      </c>
      <c r="N316" s="62">
        <v>7.6513696123768496E-4</v>
      </c>
      <c r="O316" s="62">
        <v>0.345323310783483</v>
      </c>
      <c r="P316" s="62">
        <v>2.8613705891411299E-2</v>
      </c>
      <c r="Q316" s="62">
        <v>1.25262160522538E-3</v>
      </c>
      <c r="R316" s="62">
        <v>24.668734487919</v>
      </c>
      <c r="S316" s="60">
        <v>638.90499999999997</v>
      </c>
      <c r="T316" s="69">
        <v>46.287500000000001</v>
      </c>
      <c r="U316" s="60">
        <v>610.32481105755403</v>
      </c>
      <c r="V316" s="69">
        <v>10.3783946818918</v>
      </c>
      <c r="W316" s="60">
        <v>602.75874770687597</v>
      </c>
      <c r="X316" s="69">
        <v>4.5038783805840703</v>
      </c>
      <c r="Y316" s="60">
        <v>570.22696456748804</v>
      </c>
      <c r="Z316" s="69">
        <v>24.613976885880799</v>
      </c>
      <c r="AA316" s="71">
        <f t="shared" si="9"/>
        <v>0.98752589910890498</v>
      </c>
      <c r="AB316" s="50">
        <v>32.746940348651997</v>
      </c>
      <c r="AC316" s="60">
        <v>373.474321734451</v>
      </c>
      <c r="AD316" s="61">
        <v>3.0180561856538901</v>
      </c>
      <c r="AE316" s="60">
        <v>213.40540074584001</v>
      </c>
      <c r="AF316" s="61">
        <v>1.43887031948127</v>
      </c>
      <c r="AG316" s="61">
        <v>3.6361757248520997E-2</v>
      </c>
      <c r="AH316" s="61">
        <v>0</v>
      </c>
      <c r="AI316" s="50">
        <v>14.166683565087</v>
      </c>
      <c r="AJ316" s="65">
        <v>3.2528570683214103E-2</v>
      </c>
      <c r="AK316" s="61">
        <v>0.60007888933194797</v>
      </c>
      <c r="AL316" s="61">
        <v>1.12994519947945</v>
      </c>
      <c r="AM316" s="61">
        <v>0.82685173665931799</v>
      </c>
      <c r="AN316" s="61">
        <v>6.0937530169738796</v>
      </c>
      <c r="AO316" s="61">
        <v>1.68352542656051</v>
      </c>
      <c r="AP316" s="50">
        <v>17.657402911855399</v>
      </c>
      <c r="AQ316" s="61">
        <v>6.1557169060014303</v>
      </c>
      <c r="AR316" s="50">
        <v>25.767106107450399</v>
      </c>
      <c r="AS316" s="61">
        <v>5.3774852197540204</v>
      </c>
      <c r="AT316" s="50">
        <v>53.684044751142899</v>
      </c>
      <c r="AU316" s="50">
        <v>11.4677596863768</v>
      </c>
      <c r="AV316" s="60">
        <v>6516.57146833758</v>
      </c>
      <c r="AW316" s="61">
        <v>0.38911186454979002</v>
      </c>
      <c r="AX316" s="65">
        <v>5.8766077919330103E-3</v>
      </c>
      <c r="AY316" s="65">
        <v>0</v>
      </c>
      <c r="AZ316" s="65">
        <v>6.8614996670641401E-2</v>
      </c>
      <c r="BA316" s="65">
        <v>2.9428982531767502E-3</v>
      </c>
      <c r="BB316" s="61">
        <v>30.020949559128301</v>
      </c>
      <c r="BC316" s="61">
        <v>8.4180363276634491</v>
      </c>
      <c r="BD316" s="60">
        <v>286.74423807744103</v>
      </c>
    </row>
    <row r="317" spans="1:56" s="41" customFormat="1" ht="12" customHeight="1">
      <c r="A317" s="38" t="s">
        <v>404</v>
      </c>
      <c r="B317" s="41" t="s">
        <v>404</v>
      </c>
      <c r="C317" s="41" t="s">
        <v>135</v>
      </c>
      <c r="D317" s="61">
        <v>30.8160157240637</v>
      </c>
      <c r="E317" s="61">
        <v>8.9252415930686304</v>
      </c>
      <c r="F317" s="60">
        <v>299.467326340547</v>
      </c>
      <c r="G317" s="122">
        <f t="shared" si="8"/>
        <v>2.9803724172963904E-2</v>
      </c>
      <c r="H317" s="65">
        <v>2.3880536878039999E-2</v>
      </c>
      <c r="I317" s="62">
        <v>6.2401015592668398E-2</v>
      </c>
      <c r="J317" s="62">
        <v>1.7046606297153901E-3</v>
      </c>
      <c r="K317" s="62">
        <v>0.848413029588307</v>
      </c>
      <c r="L317" s="62">
        <v>2.3092241297348898E-2</v>
      </c>
      <c r="M317" s="62">
        <v>9.8512151035742804E-2</v>
      </c>
      <c r="N317" s="62">
        <v>1.04570461345402E-3</v>
      </c>
      <c r="O317" s="62">
        <v>0.38999628013492899</v>
      </c>
      <c r="P317" s="62">
        <v>3.3638725030209503E-2</v>
      </c>
      <c r="Q317" s="62">
        <v>1.47261165861959E-3</v>
      </c>
      <c r="R317" s="62">
        <v>24.9117907858022</v>
      </c>
      <c r="S317" s="60">
        <v>687.05</v>
      </c>
      <c r="T317" s="69">
        <v>59.252499999999898</v>
      </c>
      <c r="U317" s="60">
        <v>623.77768097311196</v>
      </c>
      <c r="V317" s="69">
        <v>12.692279719325199</v>
      </c>
      <c r="W317" s="60">
        <v>605.68363746215095</v>
      </c>
      <c r="X317" s="69">
        <v>6.1452329835963804</v>
      </c>
      <c r="Y317" s="60">
        <v>668.72803459038698</v>
      </c>
      <c r="Z317" s="69">
        <v>28.7960991254206</v>
      </c>
      <c r="AA317" s="71">
        <f t="shared" si="9"/>
        <v>0.97056590030178536</v>
      </c>
      <c r="AB317" s="50">
        <v>32.731290000000001</v>
      </c>
      <c r="AC317" s="60">
        <v>368.97144475995799</v>
      </c>
      <c r="AD317" s="61">
        <v>3.1675872374982901</v>
      </c>
      <c r="AE317" s="60">
        <v>224.475914118443</v>
      </c>
      <c r="AF317" s="61">
        <v>1.3638209803877901</v>
      </c>
      <c r="AG317" s="61">
        <v>6.01206715016433E-3</v>
      </c>
      <c r="AH317" s="61">
        <v>0</v>
      </c>
      <c r="AI317" s="50">
        <v>14.760182286908201</v>
      </c>
      <c r="AJ317" s="65">
        <v>3.3890134562857402E-2</v>
      </c>
      <c r="AK317" s="61">
        <v>0.58185352077056995</v>
      </c>
      <c r="AL317" s="61">
        <v>1.2493666340444201</v>
      </c>
      <c r="AM317" s="61">
        <v>0.92921496634039402</v>
      </c>
      <c r="AN317" s="61">
        <v>6.0624745187276199</v>
      </c>
      <c r="AO317" s="61">
        <v>1.69292502576047</v>
      </c>
      <c r="AP317" s="50">
        <v>18.0237109149402</v>
      </c>
      <c r="AQ317" s="61">
        <v>6.24889423704147</v>
      </c>
      <c r="AR317" s="50">
        <v>26.5354762501618</v>
      </c>
      <c r="AS317" s="61">
        <v>5.7349747407084903</v>
      </c>
      <c r="AT317" s="50">
        <v>55.939636118562397</v>
      </c>
      <c r="AU317" s="50">
        <v>11.584332085060799</v>
      </c>
      <c r="AV317" s="60">
        <v>6601.0819433548704</v>
      </c>
      <c r="AW317" s="61">
        <v>0.40095247511072701</v>
      </c>
      <c r="AX317" s="65">
        <v>0</v>
      </c>
      <c r="AY317" s="65">
        <v>0</v>
      </c>
      <c r="AZ317" s="65">
        <v>2.3880536878039999E-2</v>
      </c>
      <c r="BA317" s="65">
        <v>0</v>
      </c>
      <c r="BB317" s="61">
        <v>30.8160157240637</v>
      </c>
      <c r="BC317" s="61">
        <v>8.9252415930686304</v>
      </c>
      <c r="BD317" s="60">
        <v>299.467326340547</v>
      </c>
    </row>
    <row r="318" spans="1:56" s="41" customFormat="1" ht="12" customHeight="1">
      <c r="A318" s="38" t="s">
        <v>404</v>
      </c>
      <c r="B318" s="41" t="s">
        <v>404</v>
      </c>
      <c r="C318" s="41" t="s">
        <v>135</v>
      </c>
      <c r="D318" s="61">
        <v>30.2631702636928</v>
      </c>
      <c r="E318" s="61">
        <v>8.6830086062721605</v>
      </c>
      <c r="F318" s="60">
        <v>291.92526168656798</v>
      </c>
      <c r="G318" s="122">
        <f t="shared" si="8"/>
        <v>2.9743943898883494E-2</v>
      </c>
      <c r="H318" s="65">
        <v>5.86963995431415E-2</v>
      </c>
      <c r="I318" s="62">
        <v>5.7925975533848997E-2</v>
      </c>
      <c r="J318" s="62">
        <v>1.3998043924655799E-3</v>
      </c>
      <c r="K318" s="62">
        <v>0.78466646073759005</v>
      </c>
      <c r="L318" s="62">
        <v>1.8363174172815199E-2</v>
      </c>
      <c r="M318" s="62">
        <v>9.7840285615396705E-2</v>
      </c>
      <c r="N318" s="62">
        <v>7.8222262503130997E-4</v>
      </c>
      <c r="O318" s="62">
        <v>0.34162527779944102</v>
      </c>
      <c r="P318" s="62">
        <v>3.0109844328740001E-2</v>
      </c>
      <c r="Q318" s="62">
        <v>1.2697428701990299E-3</v>
      </c>
      <c r="R318" s="62">
        <v>24.557969196680901</v>
      </c>
      <c r="S318" s="60">
        <v>527.81500000000005</v>
      </c>
      <c r="T318" s="69">
        <v>58.325000000000003</v>
      </c>
      <c r="U318" s="60">
        <v>588.14189068595999</v>
      </c>
      <c r="V318" s="69">
        <v>10.4553497575364</v>
      </c>
      <c r="W318" s="60">
        <v>601.73971403983603</v>
      </c>
      <c r="X318" s="69">
        <v>4.6046166730582296</v>
      </c>
      <c r="Y318" s="60">
        <v>599.60467983288595</v>
      </c>
      <c r="Z318" s="69">
        <v>24.9141710864325</v>
      </c>
      <c r="AA318" s="71">
        <f t="shared" si="9"/>
        <v>0.97714424141045597</v>
      </c>
      <c r="AB318" s="50">
        <v>32.731290000000001</v>
      </c>
      <c r="AC318" s="60">
        <v>389.34842683376399</v>
      </c>
      <c r="AD318" s="61">
        <v>2.72657244483579</v>
      </c>
      <c r="AE318" s="60">
        <v>219.00326498375301</v>
      </c>
      <c r="AF318" s="61">
        <v>1.5129866772226099</v>
      </c>
      <c r="AG318" s="61">
        <v>0</v>
      </c>
      <c r="AH318" s="61">
        <v>4.5246122868495796E-3</v>
      </c>
      <c r="AI318" s="50">
        <v>14.387847221259999</v>
      </c>
      <c r="AJ318" s="65">
        <v>2.8736425239346199E-2</v>
      </c>
      <c r="AK318" s="61">
        <v>0.44849406332956399</v>
      </c>
      <c r="AL318" s="61">
        <v>1.2377753335907</v>
      </c>
      <c r="AM318" s="61">
        <v>0.83470968254050104</v>
      </c>
      <c r="AN318" s="61">
        <v>6.3447105273505002</v>
      </c>
      <c r="AO318" s="61">
        <v>1.7182937600271699</v>
      </c>
      <c r="AP318" s="50">
        <v>17.938654545027202</v>
      </c>
      <c r="AQ318" s="61">
        <v>6.09319534095793</v>
      </c>
      <c r="AR318" s="50">
        <v>25.8683693571984</v>
      </c>
      <c r="AS318" s="61">
        <v>5.5710553072596598</v>
      </c>
      <c r="AT318" s="50">
        <v>53.402654357047098</v>
      </c>
      <c r="AU318" s="50">
        <v>11.5104895094843</v>
      </c>
      <c r="AV318" s="60">
        <v>6506.6381451212501</v>
      </c>
      <c r="AW318" s="61">
        <v>0.39168062160235201</v>
      </c>
      <c r="AX318" s="65">
        <v>0</v>
      </c>
      <c r="AY318" s="65">
        <v>0</v>
      </c>
      <c r="AZ318" s="65">
        <v>5.86963995431415E-2</v>
      </c>
      <c r="BA318" s="65">
        <v>0</v>
      </c>
      <c r="BB318" s="61">
        <v>30.2631702636928</v>
      </c>
      <c r="BC318" s="61">
        <v>8.6830086062721605</v>
      </c>
      <c r="BD318" s="60">
        <v>291.92526168656798</v>
      </c>
    </row>
    <row r="319" spans="1:56" s="41" customFormat="1" ht="12" customHeight="1">
      <c r="A319" s="38" t="s">
        <v>404</v>
      </c>
      <c r="B319" s="41" t="s">
        <v>404</v>
      </c>
      <c r="C319" s="41" t="s">
        <v>135</v>
      </c>
      <c r="D319" s="61">
        <v>31.072248353663099</v>
      </c>
      <c r="E319" s="61">
        <v>8.6540246668439007</v>
      </c>
      <c r="F319" s="60">
        <v>295.564645362318</v>
      </c>
      <c r="G319" s="122">
        <f t="shared" si="8"/>
        <v>2.9279634092350126E-2</v>
      </c>
      <c r="H319" s="63">
        <v>0</v>
      </c>
      <c r="I319" s="62">
        <v>5.9235767229302003E-2</v>
      </c>
      <c r="J319" s="62">
        <v>1.4144578511941599E-3</v>
      </c>
      <c r="K319" s="62">
        <v>0.81683586033733202</v>
      </c>
      <c r="L319" s="62">
        <v>1.9601465188601501E-2</v>
      </c>
      <c r="M319" s="62">
        <v>9.9803874228279493E-2</v>
      </c>
      <c r="N319" s="62">
        <v>8.6925554546521703E-4</v>
      </c>
      <c r="O319" s="62">
        <v>0.36294960642477297</v>
      </c>
      <c r="P319" s="62">
        <v>3.27615315894857E-2</v>
      </c>
      <c r="Q319" s="62">
        <v>1.5952036522904401E-3</v>
      </c>
      <c r="R319" s="62">
        <v>25.829357339035401</v>
      </c>
      <c r="S319" s="60">
        <v>575.96</v>
      </c>
      <c r="T319" s="69">
        <v>51.842500000000001</v>
      </c>
      <c r="U319" s="60">
        <v>606.28161628773</v>
      </c>
      <c r="V319" s="69">
        <v>10.962512088057499</v>
      </c>
      <c r="W319" s="60">
        <v>613.25942144442399</v>
      </c>
      <c r="X319" s="69">
        <v>5.1058239490551802</v>
      </c>
      <c r="Y319" s="60">
        <v>651.56772386984596</v>
      </c>
      <c r="Z319" s="69">
        <v>31.2198117140201</v>
      </c>
      <c r="AA319" s="71">
        <f t="shared" si="9"/>
        <v>0.98855667018853277</v>
      </c>
      <c r="AB319" s="50">
        <v>32.731290000000001</v>
      </c>
      <c r="AC319" s="60">
        <v>404.19454996978601</v>
      </c>
      <c r="AD319" s="61">
        <v>3.5153897722315501</v>
      </c>
      <c r="AE319" s="60">
        <v>215.305256034678</v>
      </c>
      <c r="AF319" s="61">
        <v>1.3035539054621701</v>
      </c>
      <c r="AG319" s="61">
        <v>1.9129980739429699E-2</v>
      </c>
      <c r="AH319" s="61">
        <v>3.1568099983769801E-3</v>
      </c>
      <c r="AI319" s="50">
        <v>14.3181822974509</v>
      </c>
      <c r="AJ319" s="65">
        <v>1.8719894988428399E-2</v>
      </c>
      <c r="AK319" s="61">
        <v>0.49801161697850499</v>
      </c>
      <c r="AL319" s="61">
        <v>1.4344542970951499</v>
      </c>
      <c r="AM319" s="61">
        <v>0.85407001228319102</v>
      </c>
      <c r="AN319" s="61">
        <v>6.2463084107330298</v>
      </c>
      <c r="AO319" s="61">
        <v>1.6820790049422201</v>
      </c>
      <c r="AP319" s="50">
        <v>17.551601818720801</v>
      </c>
      <c r="AQ319" s="61">
        <v>6.3497966920970397</v>
      </c>
      <c r="AR319" s="50">
        <v>26.2174297810631</v>
      </c>
      <c r="AS319" s="61">
        <v>5.7171969507104299</v>
      </c>
      <c r="AT319" s="50">
        <v>54.350602522401402</v>
      </c>
      <c r="AU319" s="50">
        <v>11.422510681601899</v>
      </c>
      <c r="AV319" s="60">
        <v>6507.1278286841498</v>
      </c>
      <c r="AW319" s="61">
        <v>0.37451653922634998</v>
      </c>
      <c r="AX319" s="65">
        <v>6.3419469473658804E-3</v>
      </c>
      <c r="AY319" s="65">
        <v>0</v>
      </c>
      <c r="AZ319" s="63">
        <v>0</v>
      </c>
      <c r="BA319" s="65">
        <v>0</v>
      </c>
      <c r="BB319" s="61">
        <v>31.072248353663099</v>
      </c>
      <c r="BC319" s="61">
        <v>8.6540246668439007</v>
      </c>
      <c r="BD319" s="60">
        <v>295.564645362318</v>
      </c>
    </row>
    <row r="320" spans="1:56" s="41" customFormat="1" ht="12" customHeight="1">
      <c r="A320" s="38" t="s">
        <v>404</v>
      </c>
      <c r="B320" s="41" t="s">
        <v>404</v>
      </c>
      <c r="C320" s="41" t="s">
        <v>135</v>
      </c>
      <c r="D320" s="61">
        <v>30.1629333115119</v>
      </c>
      <c r="E320" s="61">
        <v>8.4057173864952599</v>
      </c>
      <c r="F320" s="60">
        <v>286.05864340463899</v>
      </c>
      <c r="G320" s="122">
        <f t="shared" si="8"/>
        <v>2.9384595013285816E-2</v>
      </c>
      <c r="H320" s="63">
        <v>0</v>
      </c>
      <c r="I320" s="62">
        <v>6.0164692544047799E-2</v>
      </c>
      <c r="J320" s="62">
        <v>1.7852471116412199E-3</v>
      </c>
      <c r="K320" s="62">
        <v>0.83313912622492403</v>
      </c>
      <c r="L320" s="62">
        <v>2.4994969769775201E-2</v>
      </c>
      <c r="M320" s="62">
        <v>9.9682635587472104E-2</v>
      </c>
      <c r="N320" s="62">
        <v>1.02972062194211E-3</v>
      </c>
      <c r="O320" s="62">
        <v>0.344322032174112</v>
      </c>
      <c r="P320" s="62">
        <v>2.92004158266948E-2</v>
      </c>
      <c r="Q320" s="62">
        <v>1.7191024444496101E-3</v>
      </c>
      <c r="R320" s="62">
        <v>25.617733953515</v>
      </c>
      <c r="S320" s="60">
        <v>609.28</v>
      </c>
      <c r="T320" s="69">
        <v>64.802499999999995</v>
      </c>
      <c r="U320" s="60">
        <v>615.35245652553499</v>
      </c>
      <c r="V320" s="69">
        <v>13.851135098773399</v>
      </c>
      <c r="W320" s="60">
        <v>612.54875148502595</v>
      </c>
      <c r="X320" s="69">
        <v>6.0453482490741797</v>
      </c>
      <c r="Y320" s="60">
        <v>581.75251044804497</v>
      </c>
      <c r="Z320" s="69">
        <v>33.761054419295498</v>
      </c>
      <c r="AA320" s="71">
        <f t="shared" si="9"/>
        <v>0.99543333776004406</v>
      </c>
      <c r="AB320" s="50">
        <v>32.731290000000001</v>
      </c>
      <c r="AC320" s="60">
        <v>454.31609283325798</v>
      </c>
      <c r="AD320" s="61">
        <v>3.44182114432778</v>
      </c>
      <c r="AE320" s="60">
        <v>211.082895913524</v>
      </c>
      <c r="AF320" s="61">
        <v>1.3942377207182901</v>
      </c>
      <c r="AG320" s="61">
        <v>1.2782666110152901E-2</v>
      </c>
      <c r="AH320" s="61">
        <v>1.54215368159875E-3</v>
      </c>
      <c r="AI320" s="50">
        <v>13.7834964721094</v>
      </c>
      <c r="AJ320" s="65">
        <v>1.8812284641236899E-2</v>
      </c>
      <c r="AK320" s="61">
        <v>0.51425182831618399</v>
      </c>
      <c r="AL320" s="61">
        <v>1.1578853875484001</v>
      </c>
      <c r="AM320" s="61">
        <v>0.895847534133972</v>
      </c>
      <c r="AN320" s="61">
        <v>6.5733137901846099</v>
      </c>
      <c r="AO320" s="61">
        <v>1.68593807874474</v>
      </c>
      <c r="AP320" s="50">
        <v>17.164103369219099</v>
      </c>
      <c r="AQ320" s="61">
        <v>5.7990200272758798</v>
      </c>
      <c r="AR320" s="50">
        <v>24.815485204669301</v>
      </c>
      <c r="AS320" s="61">
        <v>5.31259998172143</v>
      </c>
      <c r="AT320" s="50">
        <v>52.4165614838019</v>
      </c>
      <c r="AU320" s="50">
        <v>11.149855088843999</v>
      </c>
      <c r="AV320" s="60">
        <v>6365.6863334926002</v>
      </c>
      <c r="AW320" s="61">
        <v>0.36592407797631799</v>
      </c>
      <c r="AX320" s="65">
        <v>0</v>
      </c>
      <c r="AY320" s="65">
        <v>0</v>
      </c>
      <c r="AZ320" s="63">
        <v>0</v>
      </c>
      <c r="BA320" s="65">
        <v>8.9727414329747099E-4</v>
      </c>
      <c r="BB320" s="61">
        <v>30.1629333115119</v>
      </c>
      <c r="BC320" s="61">
        <v>8.4057173864952599</v>
      </c>
      <c r="BD320" s="60">
        <v>286.05864340463899</v>
      </c>
    </row>
    <row r="321" spans="1:56" s="41" customFormat="1" ht="12" customHeight="1">
      <c r="A321" s="38" t="s">
        <v>404</v>
      </c>
      <c r="B321" s="41" t="s">
        <v>404</v>
      </c>
      <c r="C321" s="41" t="s">
        <v>135</v>
      </c>
      <c r="D321" s="61">
        <v>30.670551067504601</v>
      </c>
      <c r="E321" s="61">
        <v>8.7759061307627793</v>
      </c>
      <c r="F321" s="60">
        <v>295.23274200123598</v>
      </c>
      <c r="G321" s="122">
        <f t="shared" si="8"/>
        <v>2.9725382324722098E-2</v>
      </c>
      <c r="H321" s="63">
        <v>0</v>
      </c>
      <c r="I321" s="62">
        <v>5.9668905255245097E-2</v>
      </c>
      <c r="J321" s="62">
        <v>1.51437687641057E-3</v>
      </c>
      <c r="K321" s="62">
        <v>0.80066933642645499</v>
      </c>
      <c r="L321" s="62">
        <v>1.9771180614242798E-2</v>
      </c>
      <c r="M321" s="62">
        <v>9.7312676926554903E-2</v>
      </c>
      <c r="N321" s="62">
        <v>1.1426904951530299E-3</v>
      </c>
      <c r="O321" s="62">
        <v>0.47553204504964702</v>
      </c>
      <c r="P321" s="62">
        <v>2.8715378552225099E-2</v>
      </c>
      <c r="Q321" s="62">
        <v>1.19742013679315E-3</v>
      </c>
      <c r="R321" s="62">
        <v>25.461649984402499</v>
      </c>
      <c r="S321" s="60">
        <v>590.77</v>
      </c>
      <c r="T321" s="69">
        <v>27.772500000000001</v>
      </c>
      <c r="U321" s="60">
        <v>597.20612210181002</v>
      </c>
      <c r="V321" s="69">
        <v>11.1562045299302</v>
      </c>
      <c r="W321" s="60">
        <v>598.64090110252596</v>
      </c>
      <c r="X321" s="69">
        <v>6.7207755226347903</v>
      </c>
      <c r="Y321" s="60">
        <v>572.22473056363503</v>
      </c>
      <c r="Z321" s="69">
        <v>23.526944184994999</v>
      </c>
      <c r="AA321" s="71">
        <f t="shared" si="9"/>
        <v>0.99760039708612336</v>
      </c>
      <c r="AB321" s="50">
        <v>32.731290000000001</v>
      </c>
      <c r="AC321" s="60">
        <v>401.12530680434497</v>
      </c>
      <c r="AD321" s="61">
        <v>3.54548504023724</v>
      </c>
      <c r="AE321" s="60">
        <v>218.727608917097</v>
      </c>
      <c r="AF321" s="61">
        <v>1.46376833064413</v>
      </c>
      <c r="AG321" s="61">
        <v>0</v>
      </c>
      <c r="AH321" s="61">
        <v>6.1924167630065703E-3</v>
      </c>
      <c r="AI321" s="50">
        <v>14.385684854191799</v>
      </c>
      <c r="AJ321" s="65">
        <v>1.8186612344456E-2</v>
      </c>
      <c r="AK321" s="61">
        <v>0.52706933597400096</v>
      </c>
      <c r="AL321" s="61">
        <v>1.34705962936295</v>
      </c>
      <c r="AM321" s="61">
        <v>0.92785891330759196</v>
      </c>
      <c r="AN321" s="61">
        <v>6.1520615503068399</v>
      </c>
      <c r="AO321" s="61">
        <v>1.7474549020536301</v>
      </c>
      <c r="AP321" s="50">
        <v>17.301290479942601</v>
      </c>
      <c r="AQ321" s="61">
        <v>5.9933416095331999</v>
      </c>
      <c r="AR321" s="50">
        <v>26.294774786730098</v>
      </c>
      <c r="AS321" s="61">
        <v>5.6030968200633202</v>
      </c>
      <c r="AT321" s="50">
        <v>54.746053644044402</v>
      </c>
      <c r="AU321" s="50">
        <v>11.573629924617601</v>
      </c>
      <c r="AV321" s="60">
        <v>6586.0331756240603</v>
      </c>
      <c r="AW321" s="61">
        <v>0.41465733682324801</v>
      </c>
      <c r="AX321" s="65">
        <v>3.69841573467121E-2</v>
      </c>
      <c r="AY321" s="65">
        <v>0</v>
      </c>
      <c r="AZ321" s="63">
        <v>0</v>
      </c>
      <c r="BA321" s="65">
        <v>0</v>
      </c>
      <c r="BB321" s="61">
        <v>30.670551067504601</v>
      </c>
      <c r="BC321" s="61">
        <v>8.7759061307627793</v>
      </c>
      <c r="BD321" s="60">
        <v>295.23274200123598</v>
      </c>
    </row>
    <row r="322" spans="1:56" s="41" customFormat="1" ht="12" customHeight="1">
      <c r="A322" s="38" t="s">
        <v>404</v>
      </c>
      <c r="B322" s="41" t="s">
        <v>404</v>
      </c>
      <c r="C322" s="41" t="s">
        <v>135</v>
      </c>
      <c r="D322" s="61">
        <v>30.136323328845101</v>
      </c>
      <c r="E322" s="61">
        <v>8.6870150388721807</v>
      </c>
      <c r="F322" s="60">
        <v>295.75294009471799</v>
      </c>
      <c r="G322" s="122">
        <f t="shared" si="8"/>
        <v>2.9372539918250933E-2</v>
      </c>
      <c r="H322" s="63">
        <v>0</v>
      </c>
      <c r="I322" s="62">
        <v>6.0797982593234497E-2</v>
      </c>
      <c r="J322" s="62">
        <v>1.39279561050651E-3</v>
      </c>
      <c r="K322" s="62">
        <v>0.81282715585114995</v>
      </c>
      <c r="L322" s="62">
        <v>1.8035438483904698E-2</v>
      </c>
      <c r="M322" s="62">
        <v>9.6855486501499805E-2</v>
      </c>
      <c r="N322" s="62">
        <v>9.7032174385127995E-4</v>
      </c>
      <c r="O322" s="62">
        <v>0.45150549033042803</v>
      </c>
      <c r="P322" s="62">
        <v>2.8088492063613101E-2</v>
      </c>
      <c r="Q322" s="62">
        <v>1.2954570924447199E-3</v>
      </c>
      <c r="R322" s="62">
        <v>25.307566352354598</v>
      </c>
      <c r="S322" s="60">
        <v>631.5</v>
      </c>
      <c r="T322" s="69">
        <v>48.14</v>
      </c>
      <c r="U322" s="60">
        <v>604.03877873636895</v>
      </c>
      <c r="V322" s="69">
        <v>10.1101809199636</v>
      </c>
      <c r="W322" s="60">
        <v>595.95447174694903</v>
      </c>
      <c r="X322" s="69">
        <v>5.7118259997737999</v>
      </c>
      <c r="Y322" s="60">
        <v>559.90389291748897</v>
      </c>
      <c r="Z322" s="69">
        <v>25.4686973297196</v>
      </c>
      <c r="AA322" s="71">
        <f t="shared" si="9"/>
        <v>0.98652607923225599</v>
      </c>
      <c r="AB322" s="50">
        <v>32.731290000000001</v>
      </c>
      <c r="AC322" s="60">
        <v>397.56482273342698</v>
      </c>
      <c r="AD322" s="61">
        <v>3.29993353441813</v>
      </c>
      <c r="AE322" s="60">
        <v>219.78458933982299</v>
      </c>
      <c r="AF322" s="61">
        <v>1.4732825138663601</v>
      </c>
      <c r="AG322" s="61">
        <v>1.2094524786429001E-2</v>
      </c>
      <c r="AH322" s="61">
        <v>5.8875573578870098E-3</v>
      </c>
      <c r="AI322" s="50">
        <v>14.4295559339128</v>
      </c>
      <c r="AJ322" s="65">
        <v>1.8560550164786301E-2</v>
      </c>
      <c r="AK322" s="61">
        <v>0.46150273150750099</v>
      </c>
      <c r="AL322" s="61">
        <v>1.19928397571422</v>
      </c>
      <c r="AM322" s="61">
        <v>0.84641735093508097</v>
      </c>
      <c r="AN322" s="61">
        <v>6.1206115954312104</v>
      </c>
      <c r="AO322" s="61">
        <v>1.75826837451728</v>
      </c>
      <c r="AP322" s="50">
        <v>17.819431862688699</v>
      </c>
      <c r="AQ322" s="61">
        <v>6.0906939407648899</v>
      </c>
      <c r="AR322" s="50">
        <v>25.9954269434606</v>
      </c>
      <c r="AS322" s="61">
        <v>5.6058288699013596</v>
      </c>
      <c r="AT322" s="50">
        <v>53.048947744535603</v>
      </c>
      <c r="AU322" s="50">
        <v>11.464344352187</v>
      </c>
      <c r="AV322" s="60">
        <v>6497.1100560935702</v>
      </c>
      <c r="AW322" s="61">
        <v>0.383378726171415</v>
      </c>
      <c r="AX322" s="65">
        <v>2.9458094580187302E-2</v>
      </c>
      <c r="AY322" s="65">
        <v>0</v>
      </c>
      <c r="AZ322" s="63">
        <v>0</v>
      </c>
      <c r="BA322" s="65">
        <v>0</v>
      </c>
      <c r="BB322" s="61">
        <v>30.136323328845101</v>
      </c>
      <c r="BC322" s="61">
        <v>8.6870150388721807</v>
      </c>
      <c r="BD322" s="60">
        <v>295.75294009471799</v>
      </c>
    </row>
    <row r="323" spans="1:56" s="41" customFormat="1" ht="12" customHeight="1">
      <c r="A323" s="38" t="s">
        <v>404</v>
      </c>
      <c r="B323" s="41" t="s">
        <v>404</v>
      </c>
      <c r="C323" s="41" t="s">
        <v>135</v>
      </c>
      <c r="D323" s="61">
        <v>30.4604676219471</v>
      </c>
      <c r="E323" s="61">
        <v>8.7743047120638504</v>
      </c>
      <c r="F323" s="60">
        <v>295.73106788101001</v>
      </c>
      <c r="G323" s="122">
        <f t="shared" si="8"/>
        <v>2.9669878024429511E-2</v>
      </c>
      <c r="H323" s="65">
        <v>9.6288059527551803E-2</v>
      </c>
      <c r="I323" s="62">
        <v>6.1481732983827801E-2</v>
      </c>
      <c r="J323" s="62">
        <v>1.79981024549379E-3</v>
      </c>
      <c r="K323" s="62">
        <v>0.83534252245218898</v>
      </c>
      <c r="L323" s="62">
        <v>2.4028489897685201E-2</v>
      </c>
      <c r="M323" s="62">
        <v>9.8187038011802605E-2</v>
      </c>
      <c r="N323" s="62">
        <v>1.09875814722124E-3</v>
      </c>
      <c r="O323" s="62">
        <v>0.389032658455502</v>
      </c>
      <c r="P323" s="62">
        <v>3.0945674734960502E-2</v>
      </c>
      <c r="Q323" s="62">
        <v>1.5513710708777201E-3</v>
      </c>
      <c r="R323" s="62">
        <v>24.4247331162221</v>
      </c>
      <c r="S323" s="60">
        <v>657.42</v>
      </c>
      <c r="T323" s="69">
        <v>62.952500000000001</v>
      </c>
      <c r="U323" s="60">
        <v>616.57219355686004</v>
      </c>
      <c r="V323" s="69">
        <v>13.300107717673701</v>
      </c>
      <c r="W323" s="60">
        <v>603.77548978852496</v>
      </c>
      <c r="X323" s="69">
        <v>6.4580020711954296</v>
      </c>
      <c r="Y323" s="60">
        <v>615.99821784536198</v>
      </c>
      <c r="Z323" s="69">
        <v>30.415440098696099</v>
      </c>
      <c r="AA323" s="71">
        <f t="shared" si="9"/>
        <v>0.97902777389923012</v>
      </c>
      <c r="AB323" s="50">
        <v>32.731290000000001</v>
      </c>
      <c r="AC323" s="60">
        <v>393.88363096613801</v>
      </c>
      <c r="AD323" s="61">
        <v>4.2133267453089003</v>
      </c>
      <c r="AE323" s="60">
        <v>218.48444953037</v>
      </c>
      <c r="AF323" s="61">
        <v>1.4511486268817699</v>
      </c>
      <c r="AG323" s="61">
        <v>2.5009254878395198E-2</v>
      </c>
      <c r="AH323" s="61">
        <v>0</v>
      </c>
      <c r="AI323" s="50">
        <v>14.364782063343601</v>
      </c>
      <c r="AJ323" s="65">
        <v>2.3849863332576798E-2</v>
      </c>
      <c r="AK323" s="61">
        <v>0.542363600025764</v>
      </c>
      <c r="AL323" s="61">
        <v>1.2076775998357401</v>
      </c>
      <c r="AM323" s="61">
        <v>0.87278609624185099</v>
      </c>
      <c r="AN323" s="61">
        <v>5.9254058404380601</v>
      </c>
      <c r="AO323" s="61">
        <v>1.68696089402056</v>
      </c>
      <c r="AP323" s="50">
        <v>18.297475132880798</v>
      </c>
      <c r="AQ323" s="61">
        <v>5.9320580572199697</v>
      </c>
      <c r="AR323" s="50">
        <v>26.3313998422474</v>
      </c>
      <c r="AS323" s="61">
        <v>5.6410414915934997</v>
      </c>
      <c r="AT323" s="50">
        <v>55.305330604939002</v>
      </c>
      <c r="AU323" s="50">
        <v>11.631127675018799</v>
      </c>
      <c r="AV323" s="60">
        <v>6520.6717707846701</v>
      </c>
      <c r="AW323" s="61">
        <v>0.42974133836497602</v>
      </c>
      <c r="AX323" s="65">
        <v>2.0922894406820901E-2</v>
      </c>
      <c r="AY323" s="65">
        <v>0</v>
      </c>
      <c r="AZ323" s="65">
        <v>9.6288059527551803E-2</v>
      </c>
      <c r="BA323" s="65">
        <v>0</v>
      </c>
      <c r="BB323" s="61">
        <v>30.4604676219471</v>
      </c>
      <c r="BC323" s="61">
        <v>8.7743047120638504</v>
      </c>
      <c r="BD323" s="60">
        <v>295.73106788101001</v>
      </c>
    </row>
    <row r="324" spans="1:56" s="41" customFormat="1" ht="12" customHeight="1">
      <c r="A324" s="38" t="s">
        <v>404</v>
      </c>
      <c r="B324" s="41" t="s">
        <v>404</v>
      </c>
      <c r="C324" s="41" t="s">
        <v>135</v>
      </c>
      <c r="D324" s="61">
        <v>30.465979984339</v>
      </c>
      <c r="E324" s="61">
        <v>8.6928358286018295</v>
      </c>
      <c r="F324" s="60">
        <v>293.87885326023098</v>
      </c>
      <c r="G324" s="122">
        <f t="shared" ref="G324:G367" si="10">E324/F324</f>
        <v>2.9579657509090272E-2</v>
      </c>
      <c r="H324" s="63">
        <v>3.9401195616322396E-3</v>
      </c>
      <c r="I324" s="62">
        <v>5.9375864181086098E-2</v>
      </c>
      <c r="J324" s="62">
        <v>1.31721139972213E-3</v>
      </c>
      <c r="K324" s="62">
        <v>0.81188622353788997</v>
      </c>
      <c r="L324" s="62">
        <v>1.81166763485004E-2</v>
      </c>
      <c r="M324" s="62">
        <v>9.8803901820627094E-2</v>
      </c>
      <c r="N324" s="62">
        <v>8.1533548262442701E-4</v>
      </c>
      <c r="O324" s="62">
        <v>0.36981020693863098</v>
      </c>
      <c r="P324" s="62">
        <v>3.0877644609223698E-2</v>
      </c>
      <c r="Q324" s="62">
        <v>1.33563056209787E-3</v>
      </c>
      <c r="R324" s="62">
        <v>24.4153847777281</v>
      </c>
      <c r="S324" s="60">
        <v>588.91499999999996</v>
      </c>
      <c r="T324" s="69">
        <v>48.137500000000003</v>
      </c>
      <c r="U324" s="60">
        <v>603.51161609115695</v>
      </c>
      <c r="V324" s="69">
        <v>10.1608965089516</v>
      </c>
      <c r="W324" s="60">
        <v>607.39549534980199</v>
      </c>
      <c r="X324" s="69">
        <v>4.7946061742232997</v>
      </c>
      <c r="Y324" s="60">
        <v>614.66440769107203</v>
      </c>
      <c r="Z324" s="69">
        <v>26.1874628069429</v>
      </c>
      <c r="AA324" s="71">
        <f t="shared" si="9"/>
        <v>0.99358517392135337</v>
      </c>
      <c r="AB324" s="50">
        <v>32.731290000000001</v>
      </c>
      <c r="AC324" s="60">
        <v>386.33521100872701</v>
      </c>
      <c r="AD324" s="61">
        <v>3.00986073472431</v>
      </c>
      <c r="AE324" s="60">
        <v>217.76597283060701</v>
      </c>
      <c r="AF324" s="61">
        <v>1.4928129563199299</v>
      </c>
      <c r="AG324" s="61">
        <v>0</v>
      </c>
      <c r="AH324" s="61">
        <v>1.5577561062615E-3</v>
      </c>
      <c r="AI324" s="50">
        <v>14.275440321064901</v>
      </c>
      <c r="AJ324" s="65">
        <v>3.0683239603761299E-2</v>
      </c>
      <c r="AK324" s="61">
        <v>0.39186285231761703</v>
      </c>
      <c r="AL324" s="61">
        <v>1.1098582216310999</v>
      </c>
      <c r="AM324" s="61">
        <v>0.92053190301177801</v>
      </c>
      <c r="AN324" s="61">
        <v>6.1193159171206704</v>
      </c>
      <c r="AO324" s="61">
        <v>1.7751366602702401</v>
      </c>
      <c r="AP324" s="50">
        <v>17.943820032142501</v>
      </c>
      <c r="AQ324" s="61">
        <v>6.2466961017030096</v>
      </c>
      <c r="AR324" s="50">
        <v>25.908448570126701</v>
      </c>
      <c r="AS324" s="61">
        <v>5.69468411623376</v>
      </c>
      <c r="AT324" s="50">
        <v>53.781019875913401</v>
      </c>
      <c r="AU324" s="50">
        <v>11.6044439920767</v>
      </c>
      <c r="AV324" s="60">
        <v>6541.3248271170696</v>
      </c>
      <c r="AW324" s="61">
        <v>0.42686324864452801</v>
      </c>
      <c r="AX324" s="65">
        <v>0</v>
      </c>
      <c r="AY324" s="65">
        <v>0</v>
      </c>
      <c r="AZ324" s="63">
        <v>3.9401195616322396E-3</v>
      </c>
      <c r="BA324" s="65">
        <v>0</v>
      </c>
      <c r="BB324" s="61">
        <v>30.465979984339</v>
      </c>
      <c r="BC324" s="61">
        <v>8.6928358286018295</v>
      </c>
      <c r="BD324" s="60">
        <v>293.87885326023098</v>
      </c>
    </row>
    <row r="325" spans="1:56" s="41" customFormat="1" ht="12" customHeight="1">
      <c r="A325" s="38" t="s">
        <v>404</v>
      </c>
      <c r="B325" s="41" t="s">
        <v>404</v>
      </c>
      <c r="C325" s="41" t="s">
        <v>135</v>
      </c>
      <c r="D325" s="61">
        <v>29.9174442007556</v>
      </c>
      <c r="E325" s="61">
        <v>8.4889920474967901</v>
      </c>
      <c r="F325" s="60">
        <v>289.235250643158</v>
      </c>
      <c r="G325" s="122">
        <f t="shared" si="10"/>
        <v>2.9349783709351616E-2</v>
      </c>
      <c r="H325" s="63">
        <v>9.3964693061637499E-3</v>
      </c>
      <c r="I325" s="62">
        <v>6.12995711337362E-2</v>
      </c>
      <c r="J325" s="62">
        <v>1.3947991087440599E-3</v>
      </c>
      <c r="K325" s="62">
        <v>0.82652226997186695</v>
      </c>
      <c r="L325" s="62">
        <v>1.9811129006758299E-2</v>
      </c>
      <c r="M325" s="62">
        <v>9.7544842656000302E-2</v>
      </c>
      <c r="N325" s="62">
        <v>9.5856508037356304E-4</v>
      </c>
      <c r="O325" s="62">
        <v>0.40997995667550102</v>
      </c>
      <c r="P325" s="62">
        <v>3.0420208408807398E-2</v>
      </c>
      <c r="Q325" s="62">
        <v>1.5736204096151499E-3</v>
      </c>
      <c r="R325" s="62">
        <v>24.393431805413201</v>
      </c>
      <c r="S325" s="60">
        <v>650.01499999999999</v>
      </c>
      <c r="T325" s="69">
        <v>43.515000000000001</v>
      </c>
      <c r="U325" s="60">
        <v>611.68072283269601</v>
      </c>
      <c r="V325" s="69">
        <v>11.0210679894629</v>
      </c>
      <c r="W325" s="60">
        <v>600.00466749111899</v>
      </c>
      <c r="X325" s="69">
        <v>5.6394336598949204</v>
      </c>
      <c r="Y325" s="60">
        <v>605.693549744802</v>
      </c>
      <c r="Z325" s="69">
        <v>30.8673829100231</v>
      </c>
      <c r="AA325" s="71">
        <f t="shared" ref="AA325:AA367" si="11">1-2*ABS(U325-W325)/(U325+W325)</f>
        <v>0.98072757923002329</v>
      </c>
      <c r="AB325" s="50">
        <v>32.731290000000001</v>
      </c>
      <c r="AC325" s="60">
        <v>358.21425562544403</v>
      </c>
      <c r="AD325" s="61">
        <v>3.69563814809942</v>
      </c>
      <c r="AE325" s="60">
        <v>211.04664117726199</v>
      </c>
      <c r="AF325" s="61">
        <v>1.3751510544071901</v>
      </c>
      <c r="AG325" s="61">
        <v>1.23212253356451E-2</v>
      </c>
      <c r="AH325" s="61">
        <v>2.02691028805645E-3</v>
      </c>
      <c r="AI325" s="50">
        <v>14.158568607714001</v>
      </c>
      <c r="AJ325" s="65">
        <v>1.9721184197525499E-2</v>
      </c>
      <c r="AK325" s="61">
        <v>0.53501744740230905</v>
      </c>
      <c r="AL325" s="61">
        <v>1.2131823488840501</v>
      </c>
      <c r="AM325" s="61">
        <v>0.91854576049838499</v>
      </c>
      <c r="AN325" s="61">
        <v>5.8486231863785196</v>
      </c>
      <c r="AO325" s="61">
        <v>1.6406495792981399</v>
      </c>
      <c r="AP325" s="50">
        <v>17.160384780969601</v>
      </c>
      <c r="AQ325" s="61">
        <v>5.9552549510651298</v>
      </c>
      <c r="AR325" s="50">
        <v>25.201042315015599</v>
      </c>
      <c r="AS325" s="61">
        <v>5.5731754766829003</v>
      </c>
      <c r="AT325" s="50">
        <v>52.394548892411002</v>
      </c>
      <c r="AU325" s="50">
        <v>11.0751185873858</v>
      </c>
      <c r="AV325" s="60">
        <v>6414.7600964066596</v>
      </c>
      <c r="AW325" s="61">
        <v>0.41851019313551502</v>
      </c>
      <c r="AX325" s="65">
        <v>4.4126433826765801E-2</v>
      </c>
      <c r="AY325" s="65">
        <v>0</v>
      </c>
      <c r="AZ325" s="63">
        <v>9.3964693061637499E-3</v>
      </c>
      <c r="BA325" s="65">
        <v>0</v>
      </c>
      <c r="BB325" s="61">
        <v>29.9174442007556</v>
      </c>
      <c r="BC325" s="61">
        <v>8.4889920474967901</v>
      </c>
      <c r="BD325" s="60">
        <v>289.235250643158</v>
      </c>
    </row>
    <row r="326" spans="1:56" s="41" customFormat="1" ht="12" customHeight="1">
      <c r="A326" s="38"/>
      <c r="D326" s="61"/>
      <c r="E326" s="61"/>
      <c r="F326" s="60"/>
      <c r="G326" s="122"/>
      <c r="H326" s="63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0"/>
      <c r="T326" s="69"/>
      <c r="U326" s="60"/>
      <c r="V326" s="69"/>
      <c r="W326" s="60"/>
      <c r="X326" s="69"/>
      <c r="Y326" s="60"/>
      <c r="Z326" s="69"/>
      <c r="AA326" s="71"/>
      <c r="AB326" s="50"/>
      <c r="AC326" s="60"/>
      <c r="AD326" s="61"/>
      <c r="AE326" s="60"/>
      <c r="AF326" s="61"/>
      <c r="AG326" s="61"/>
      <c r="AH326" s="61"/>
      <c r="AI326" s="50"/>
      <c r="AJ326" s="65"/>
      <c r="AK326" s="61"/>
      <c r="AL326" s="61"/>
      <c r="AM326" s="61"/>
      <c r="AN326" s="61"/>
      <c r="AO326" s="61"/>
      <c r="AP326" s="50"/>
      <c r="AQ326" s="61"/>
      <c r="AR326" s="50"/>
      <c r="AS326" s="61"/>
      <c r="AT326" s="50"/>
      <c r="AU326" s="50"/>
      <c r="AV326" s="60"/>
      <c r="AW326" s="61"/>
      <c r="AX326" s="65"/>
      <c r="AY326" s="65"/>
      <c r="AZ326" s="63"/>
      <c r="BA326" s="65"/>
      <c r="BB326" s="61"/>
      <c r="BC326" s="61"/>
      <c r="BD326" s="60"/>
    </row>
    <row r="327" spans="1:56" s="41" customFormat="1" ht="12" customHeight="1">
      <c r="A327" s="38" t="s">
        <v>405</v>
      </c>
      <c r="B327" s="41" t="s">
        <v>405</v>
      </c>
      <c r="C327" s="41" t="s">
        <v>135</v>
      </c>
      <c r="D327" s="61">
        <v>32.719647594831599</v>
      </c>
      <c r="E327" s="50">
        <v>50.849451733734902</v>
      </c>
      <c r="F327" s="60">
        <v>567.62320040516397</v>
      </c>
      <c r="G327" s="122">
        <f t="shared" si="10"/>
        <v>8.9583110234816077E-2</v>
      </c>
      <c r="H327" s="63">
        <v>0</v>
      </c>
      <c r="I327" s="62">
        <v>5.12173630969519E-2</v>
      </c>
      <c r="J327" s="62">
        <v>1.09679970099087E-3</v>
      </c>
      <c r="K327" s="62">
        <v>0.38322267516847602</v>
      </c>
      <c r="L327" s="62">
        <v>8.4766046514889101E-3</v>
      </c>
      <c r="M327" s="62">
        <v>5.4106719276226498E-2</v>
      </c>
      <c r="N327" s="62">
        <v>4.3120380286660199E-4</v>
      </c>
      <c r="O327" s="62">
        <v>0.36029700400085302</v>
      </c>
      <c r="P327" s="62">
        <v>1.6256403523674998E-2</v>
      </c>
      <c r="Q327" s="62">
        <v>4.3247806564639102E-4</v>
      </c>
      <c r="R327" s="62">
        <v>8.1609915359161302</v>
      </c>
      <c r="S327" s="60">
        <v>250.065</v>
      </c>
      <c r="T327" s="69">
        <v>43.512500000000003</v>
      </c>
      <c r="U327" s="60">
        <v>329.40655787247198</v>
      </c>
      <c r="V327" s="69">
        <v>6.2264564167483201</v>
      </c>
      <c r="W327" s="60">
        <v>339.685393578012</v>
      </c>
      <c r="X327" s="69">
        <v>2.6434088200791699</v>
      </c>
      <c r="Y327" s="60">
        <v>325.935987677387</v>
      </c>
      <c r="Z327" s="69">
        <v>8.6015157294353894</v>
      </c>
      <c r="AA327" s="71">
        <f t="shared" si="11"/>
        <v>0.96927526722371371</v>
      </c>
      <c r="AB327" s="50">
        <v>32.731290000000001</v>
      </c>
      <c r="AC327" s="60">
        <v>567.26921024258797</v>
      </c>
      <c r="AD327" s="50">
        <v>61.912450212990997</v>
      </c>
      <c r="AE327" s="60">
        <v>432.58599860785802</v>
      </c>
      <c r="AF327" s="61">
        <v>3.5911749041031902</v>
      </c>
      <c r="AG327" s="61">
        <v>0</v>
      </c>
      <c r="AH327" s="61">
        <v>2.6507319733999099E-2</v>
      </c>
      <c r="AI327" s="61">
        <v>1.8761108625048399</v>
      </c>
      <c r="AJ327" s="61">
        <v>0.10308435757506899</v>
      </c>
      <c r="AK327" s="61">
        <v>1.48404465659365</v>
      </c>
      <c r="AL327" s="61">
        <v>2.8085462908202201</v>
      </c>
      <c r="AM327" s="61">
        <v>0.75900053206481199</v>
      </c>
      <c r="AN327" s="50">
        <v>10.8370297091796</v>
      </c>
      <c r="AO327" s="61">
        <v>4.0325347728403704</v>
      </c>
      <c r="AP327" s="50">
        <v>44.857154620444902</v>
      </c>
      <c r="AQ327" s="50">
        <v>13.341649989106401</v>
      </c>
      <c r="AR327" s="50">
        <v>47.513052661308102</v>
      </c>
      <c r="AS327" s="61">
        <v>8.5597736692951507</v>
      </c>
      <c r="AT327" s="50">
        <v>61.694470947925801</v>
      </c>
      <c r="AU327" s="61">
        <v>8.9160976844231001</v>
      </c>
      <c r="AV327" s="60">
        <v>10622.2399282363</v>
      </c>
      <c r="AW327" s="61">
        <v>1.99061342502837</v>
      </c>
      <c r="AX327" s="65">
        <v>6.1298770113196602E-3</v>
      </c>
      <c r="AY327" s="65">
        <v>0</v>
      </c>
      <c r="AZ327" s="63">
        <v>0</v>
      </c>
      <c r="BA327" s="65">
        <v>4.3459001098223498E-3</v>
      </c>
      <c r="BB327" s="61">
        <v>32.719647594831599</v>
      </c>
      <c r="BC327" s="50">
        <v>50.849451733734902</v>
      </c>
      <c r="BD327" s="60">
        <v>567.62320040516397</v>
      </c>
    </row>
    <row r="328" spans="1:56" s="41" customFormat="1" ht="12" customHeight="1">
      <c r="A328" s="38" t="s">
        <v>405</v>
      </c>
      <c r="B328" s="41" t="s">
        <v>405</v>
      </c>
      <c r="C328" s="41" t="s">
        <v>135</v>
      </c>
      <c r="D328" s="61">
        <v>50.207371247010698</v>
      </c>
      <c r="E328" s="60">
        <v>106.245231562943</v>
      </c>
      <c r="F328" s="60">
        <v>864.20296793666603</v>
      </c>
      <c r="G328" s="122">
        <f t="shared" si="10"/>
        <v>0.12294013733441528</v>
      </c>
      <c r="H328" s="63">
        <v>0</v>
      </c>
      <c r="I328" s="62">
        <v>5.16457096054685E-2</v>
      </c>
      <c r="J328" s="62">
        <v>9.1440837233794999E-4</v>
      </c>
      <c r="K328" s="62">
        <v>0.38533149252854598</v>
      </c>
      <c r="L328" s="62">
        <v>7.0947149420977802E-3</v>
      </c>
      <c r="M328" s="62">
        <v>5.39935918801095E-2</v>
      </c>
      <c r="N328" s="62">
        <v>4.67798318435817E-4</v>
      </c>
      <c r="O328" s="62">
        <v>0.47056106579478801</v>
      </c>
      <c r="P328" s="62">
        <v>1.6569594415662001E-2</v>
      </c>
      <c r="Q328" s="62">
        <v>3.3704740334583897E-4</v>
      </c>
      <c r="R328" s="62">
        <v>5.9338422739381897</v>
      </c>
      <c r="S328" s="60">
        <v>333.39</v>
      </c>
      <c r="T328" s="69">
        <v>40.737499999999997</v>
      </c>
      <c r="U328" s="60">
        <v>330.95339979373699</v>
      </c>
      <c r="V328" s="69">
        <v>5.2049610352171296</v>
      </c>
      <c r="W328" s="60">
        <v>338.99352322672502</v>
      </c>
      <c r="X328" s="69">
        <v>2.8669885901307199</v>
      </c>
      <c r="Y328" s="60">
        <v>332.16405234950099</v>
      </c>
      <c r="Z328" s="69">
        <v>6.7014389716778897</v>
      </c>
      <c r="AA328" s="71">
        <f t="shared" si="11"/>
        <v>0.9759977300985605</v>
      </c>
      <c r="AB328" s="50">
        <v>32.731290000000001</v>
      </c>
      <c r="AC328" s="60">
        <v>588.77407550171597</v>
      </c>
      <c r="AD328" s="50">
        <v>58.682974749704499</v>
      </c>
      <c r="AE328" s="60">
        <v>525.913096506751</v>
      </c>
      <c r="AF328" s="61">
        <v>4.4488265214877503</v>
      </c>
      <c r="AG328" s="61">
        <v>0</v>
      </c>
      <c r="AH328" s="61">
        <v>1.0360844698802199E-2</v>
      </c>
      <c r="AI328" s="61">
        <v>2.25965680791797</v>
      </c>
      <c r="AJ328" s="61">
        <v>0.12472426078849699</v>
      </c>
      <c r="AK328" s="61">
        <v>2.18795340644348</v>
      </c>
      <c r="AL328" s="61">
        <v>3.9918567687038302</v>
      </c>
      <c r="AM328" s="61">
        <v>1.1427439758307301</v>
      </c>
      <c r="AN328" s="50">
        <v>17.252400330007099</v>
      </c>
      <c r="AO328" s="61">
        <v>6.1566155023241</v>
      </c>
      <c r="AP328" s="50">
        <v>60.855597313006399</v>
      </c>
      <c r="AQ328" s="50">
        <v>16.612976849100701</v>
      </c>
      <c r="AR328" s="50">
        <v>55.958982919068497</v>
      </c>
      <c r="AS328" s="61">
        <v>9.3686174107803293</v>
      </c>
      <c r="AT328" s="50">
        <v>64.515033568302798</v>
      </c>
      <c r="AU328" s="61">
        <v>8.5874362530858601</v>
      </c>
      <c r="AV328" s="60">
        <v>10415.8783108854</v>
      </c>
      <c r="AW328" s="61">
        <v>2.4450835683648902</v>
      </c>
      <c r="AX328" s="65">
        <v>2.3982400183806801E-2</v>
      </c>
      <c r="AY328" s="65">
        <v>0</v>
      </c>
      <c r="AZ328" s="63">
        <v>0</v>
      </c>
      <c r="BA328" s="65">
        <v>0</v>
      </c>
      <c r="BB328" s="61">
        <v>50.207371247010698</v>
      </c>
      <c r="BC328" s="60">
        <v>106.245231562943</v>
      </c>
      <c r="BD328" s="60">
        <v>864.20296793666603</v>
      </c>
    </row>
    <row r="329" spans="1:56" s="41" customFormat="1" ht="12" customHeight="1">
      <c r="A329" s="38" t="s">
        <v>405</v>
      </c>
      <c r="B329" s="41" t="s">
        <v>405</v>
      </c>
      <c r="C329" s="41" t="s">
        <v>135</v>
      </c>
      <c r="D329" s="61">
        <v>51.597427341082501</v>
      </c>
      <c r="E329" s="60">
        <v>124.750101590171</v>
      </c>
      <c r="F329" s="60">
        <v>891.63393599036704</v>
      </c>
      <c r="G329" s="122">
        <f t="shared" si="10"/>
        <v>0.13991179177316415</v>
      </c>
      <c r="H329" s="63">
        <v>0</v>
      </c>
      <c r="I329" s="62">
        <v>5.2366204282578703E-2</v>
      </c>
      <c r="J329" s="62">
        <v>1.05501779984397E-3</v>
      </c>
      <c r="K329" s="62">
        <v>0.39039008892329502</v>
      </c>
      <c r="L329" s="62">
        <v>7.9081404950118901E-3</v>
      </c>
      <c r="M329" s="62">
        <v>5.3852780055939901E-2</v>
      </c>
      <c r="N329" s="62">
        <v>4.7016062490963002E-4</v>
      </c>
      <c r="O329" s="62">
        <v>0.43098537600817799</v>
      </c>
      <c r="P329" s="62">
        <v>1.6760160746987201E-2</v>
      </c>
      <c r="Q329" s="62">
        <v>3.8068013536087902E-4</v>
      </c>
      <c r="R329" s="62">
        <v>5.1937722083128799</v>
      </c>
      <c r="S329" s="60">
        <v>301.91000000000003</v>
      </c>
      <c r="T329" s="69">
        <v>46.29</v>
      </c>
      <c r="U329" s="60">
        <v>334.65436085074901</v>
      </c>
      <c r="V329" s="69">
        <v>5.7796896311446302</v>
      </c>
      <c r="W329" s="60">
        <v>338.13223527540902</v>
      </c>
      <c r="X329" s="69">
        <v>2.8817614899097599</v>
      </c>
      <c r="Y329" s="60">
        <v>335.95268546741403</v>
      </c>
      <c r="Z329" s="69">
        <v>7.5675603152189197</v>
      </c>
      <c r="AA329" s="71">
        <f t="shared" si="11"/>
        <v>0.98966128503544726</v>
      </c>
      <c r="AB329" s="50">
        <v>32.731290000000001</v>
      </c>
      <c r="AC329" s="60">
        <v>604.37905474474405</v>
      </c>
      <c r="AD329" s="50">
        <v>60.964523192562297</v>
      </c>
      <c r="AE329" s="60">
        <v>559.56517878145701</v>
      </c>
      <c r="AF329" s="61">
        <v>4.4895107295309398</v>
      </c>
      <c r="AG329" s="61">
        <v>0</v>
      </c>
      <c r="AH329" s="61">
        <v>2.20910130736118E-2</v>
      </c>
      <c r="AI329" s="61">
        <v>2.6380883301669198</v>
      </c>
      <c r="AJ329" s="61">
        <v>0.176707044300382</v>
      </c>
      <c r="AK329" s="61">
        <v>2.7113851945530199</v>
      </c>
      <c r="AL329" s="61">
        <v>5.3472614090144504</v>
      </c>
      <c r="AM329" s="61">
        <v>1.2931585077971499</v>
      </c>
      <c r="AN329" s="50">
        <v>19.124530184685799</v>
      </c>
      <c r="AO329" s="61">
        <v>6.7078952522575204</v>
      </c>
      <c r="AP329" s="50">
        <v>65.861956167855894</v>
      </c>
      <c r="AQ329" s="50">
        <v>17.704978346448499</v>
      </c>
      <c r="AR329" s="50">
        <v>58.011831897421601</v>
      </c>
      <c r="AS329" s="61">
        <v>9.3883700258767906</v>
      </c>
      <c r="AT329" s="50">
        <v>65.745043693666304</v>
      </c>
      <c r="AU329" s="61">
        <v>8.9434275072259108</v>
      </c>
      <c r="AV329" s="60">
        <v>10349.864996902301</v>
      </c>
      <c r="AW329" s="61">
        <v>2.3390575720347</v>
      </c>
      <c r="AX329" s="65">
        <v>4.4397510638273602E-2</v>
      </c>
      <c r="AY329" s="65">
        <v>0</v>
      </c>
      <c r="AZ329" s="63">
        <v>0</v>
      </c>
      <c r="BA329" s="65">
        <v>0</v>
      </c>
      <c r="BB329" s="61">
        <v>51.597427341082501</v>
      </c>
      <c r="BC329" s="60">
        <v>124.750101590171</v>
      </c>
      <c r="BD329" s="60">
        <v>891.63393599036704</v>
      </c>
    </row>
    <row r="330" spans="1:56" s="41" customFormat="1" ht="12" customHeight="1">
      <c r="A330" s="38" t="s">
        <v>405</v>
      </c>
      <c r="B330" s="41" t="s">
        <v>405</v>
      </c>
      <c r="C330" s="41" t="s">
        <v>135</v>
      </c>
      <c r="D330" s="61">
        <v>50.504203733963799</v>
      </c>
      <c r="E330" s="60">
        <v>125.561627576313</v>
      </c>
      <c r="F330" s="60">
        <v>874.54628716607795</v>
      </c>
      <c r="G330" s="122">
        <f t="shared" si="10"/>
        <v>0.14357344993503884</v>
      </c>
      <c r="H330" s="61">
        <v>0.12199425443119399</v>
      </c>
      <c r="I330" s="62">
        <v>5.1713802502751899E-2</v>
      </c>
      <c r="J330" s="62">
        <v>1.09924521054589E-3</v>
      </c>
      <c r="K330" s="62">
        <v>0.38587275958231698</v>
      </c>
      <c r="L330" s="62">
        <v>8.7809281310104095E-3</v>
      </c>
      <c r="M330" s="62">
        <v>5.3794894910437298E-2</v>
      </c>
      <c r="N330" s="62">
        <v>5.1036373752082502E-4</v>
      </c>
      <c r="O330" s="62">
        <v>0.41691012658643301</v>
      </c>
      <c r="P330" s="62">
        <v>1.72408314324177E-2</v>
      </c>
      <c r="Q330" s="62">
        <v>3.58549866701254E-4</v>
      </c>
      <c r="R330" s="62">
        <v>5.08004841545592</v>
      </c>
      <c r="S330" s="60">
        <v>272.28500000000003</v>
      </c>
      <c r="T330" s="69">
        <v>43.515000000000001</v>
      </c>
      <c r="U330" s="60">
        <v>331.35004569254102</v>
      </c>
      <c r="V330" s="69">
        <v>6.4374395136297702</v>
      </c>
      <c r="W330" s="60">
        <v>337.77814229542201</v>
      </c>
      <c r="X330" s="69">
        <v>3.1273885215461301</v>
      </c>
      <c r="Y330" s="60">
        <v>345.50570525102597</v>
      </c>
      <c r="Z330" s="69">
        <v>7.1242635706021904</v>
      </c>
      <c r="AA330" s="71">
        <f t="shared" si="11"/>
        <v>0.98078665129260212</v>
      </c>
      <c r="AB330" s="50">
        <v>32.731290000000001</v>
      </c>
      <c r="AC330" s="60">
        <v>629.60159761714795</v>
      </c>
      <c r="AD330" s="50">
        <v>67.279450410212206</v>
      </c>
      <c r="AE330" s="60">
        <v>598.29011621188999</v>
      </c>
      <c r="AF330" s="61">
        <v>4.3253072588031296</v>
      </c>
      <c r="AG330" s="61">
        <v>1.2185361873140701E-2</v>
      </c>
      <c r="AH330" s="61">
        <v>0.13285823476742001</v>
      </c>
      <c r="AI330" s="61">
        <v>3.5423874213088902</v>
      </c>
      <c r="AJ330" s="61">
        <v>0.423634393105565</v>
      </c>
      <c r="AK330" s="61">
        <v>4.47131850940543</v>
      </c>
      <c r="AL330" s="61">
        <v>6.4062202764827996</v>
      </c>
      <c r="AM330" s="61">
        <v>1.90085892966896</v>
      </c>
      <c r="AN330" s="50">
        <v>20.721414613331198</v>
      </c>
      <c r="AO330" s="61">
        <v>7.1038135661222999</v>
      </c>
      <c r="AP330" s="50">
        <v>70.986173659257204</v>
      </c>
      <c r="AQ330" s="50">
        <v>18.718143138964699</v>
      </c>
      <c r="AR330" s="50">
        <v>61.9703605123984</v>
      </c>
      <c r="AS330" s="50">
        <v>10.5132326322005</v>
      </c>
      <c r="AT330" s="50">
        <v>74.3465544130447</v>
      </c>
      <c r="AU330" s="50">
        <v>10.2885777025751</v>
      </c>
      <c r="AV330" s="60">
        <v>10003.064209750801</v>
      </c>
      <c r="AW330" s="61">
        <v>2.3011481829426099</v>
      </c>
      <c r="AX330" s="65">
        <v>9.3782970550339906E-2</v>
      </c>
      <c r="AY330" s="65">
        <v>0</v>
      </c>
      <c r="AZ330" s="61">
        <v>0.12199425443119399</v>
      </c>
      <c r="BA330" s="65">
        <v>0</v>
      </c>
      <c r="BB330" s="61">
        <v>50.504203733963799</v>
      </c>
      <c r="BC330" s="60">
        <v>125.561627576313</v>
      </c>
      <c r="BD330" s="60">
        <v>874.54628716607795</v>
      </c>
    </row>
    <row r="331" spans="1:56" s="41" customFormat="1" ht="12" customHeight="1">
      <c r="A331" s="38" t="s">
        <v>405</v>
      </c>
      <c r="B331" s="41" t="s">
        <v>405</v>
      </c>
      <c r="C331" s="41" t="s">
        <v>135</v>
      </c>
      <c r="D331" s="61">
        <v>28.028163640763701</v>
      </c>
      <c r="E331" s="50">
        <v>42.173106785128702</v>
      </c>
      <c r="F331" s="60">
        <v>479.01927584880798</v>
      </c>
      <c r="G331" s="122">
        <f t="shared" si="10"/>
        <v>8.8040521355636905E-2</v>
      </c>
      <c r="H331" s="61">
        <v>0.26254723981302902</v>
      </c>
      <c r="I331" s="62">
        <v>5.2779343675278499E-2</v>
      </c>
      <c r="J331" s="62">
        <v>1.6790614875136201E-3</v>
      </c>
      <c r="K331" s="62">
        <v>0.39374681314972998</v>
      </c>
      <c r="L331" s="62">
        <v>8.0480415494059102E-3</v>
      </c>
      <c r="M331" s="62">
        <v>5.39456057553621E-2</v>
      </c>
      <c r="N331" s="62">
        <v>4.1698733508579701E-4</v>
      </c>
      <c r="O331" s="62">
        <v>0.37817571127171901</v>
      </c>
      <c r="P331" s="62">
        <v>1.8127419528085699E-2</v>
      </c>
      <c r="Q331" s="62">
        <v>4.8701175805981802E-4</v>
      </c>
      <c r="R331" s="62">
        <v>8.1407130386121107</v>
      </c>
      <c r="S331" s="60">
        <v>320.43</v>
      </c>
      <c r="T331" s="69">
        <v>67.584999999999994</v>
      </c>
      <c r="U331" s="60">
        <v>337.10277676228498</v>
      </c>
      <c r="V331" s="69">
        <v>5.8676998846442503</v>
      </c>
      <c r="W331" s="60">
        <v>338.70002478472401</v>
      </c>
      <c r="X331" s="69">
        <v>2.5570350759612501</v>
      </c>
      <c r="Y331" s="60">
        <v>363.11423600182599</v>
      </c>
      <c r="Z331" s="69">
        <v>9.6683309944321891</v>
      </c>
      <c r="AA331" s="71">
        <f t="shared" si="11"/>
        <v>0.99527303521446586</v>
      </c>
      <c r="AB331" s="50">
        <v>32.731290000000001</v>
      </c>
      <c r="AC331" s="60">
        <v>511.95811485630003</v>
      </c>
      <c r="AD331" s="50">
        <v>48.604776994557099</v>
      </c>
      <c r="AE331" s="60">
        <v>350.98038761622399</v>
      </c>
      <c r="AF331" s="61">
        <v>3.1561865918259202</v>
      </c>
      <c r="AG331" s="61">
        <v>0</v>
      </c>
      <c r="AH331" s="61">
        <v>5.2696972038411602E-2</v>
      </c>
      <c r="AI331" s="61">
        <v>1.9738311387660199</v>
      </c>
      <c r="AJ331" s="61">
        <v>0.124297164162746</v>
      </c>
      <c r="AK331" s="61">
        <v>1.2110822581560201</v>
      </c>
      <c r="AL331" s="61">
        <v>2.3871617942988501</v>
      </c>
      <c r="AM331" s="61">
        <v>0.65746903059502104</v>
      </c>
      <c r="AN331" s="61">
        <v>8.9643132639282506</v>
      </c>
      <c r="AO331" s="61">
        <v>3.4222210520985201</v>
      </c>
      <c r="AP331" s="50">
        <v>36.562946686837599</v>
      </c>
      <c r="AQ331" s="50">
        <v>10.746836852507601</v>
      </c>
      <c r="AR331" s="50">
        <v>38.450305733941399</v>
      </c>
      <c r="AS331" s="61">
        <v>6.9024151559851603</v>
      </c>
      <c r="AT331" s="50">
        <v>51.082660592487997</v>
      </c>
      <c r="AU331" s="61">
        <v>7.6341627925134299</v>
      </c>
      <c r="AV331" s="60">
        <v>10331.0251639253</v>
      </c>
      <c r="AW331" s="61">
        <v>1.7258638727195299</v>
      </c>
      <c r="AX331" s="65">
        <v>0</v>
      </c>
      <c r="AY331" s="65">
        <v>0</v>
      </c>
      <c r="AZ331" s="61">
        <v>0.26254723981302902</v>
      </c>
      <c r="BA331" s="65">
        <v>2.2647054959475301E-3</v>
      </c>
      <c r="BB331" s="61">
        <v>28.028163640763701</v>
      </c>
      <c r="BC331" s="50">
        <v>42.173106785128702</v>
      </c>
      <c r="BD331" s="60">
        <v>479.01927584880798</v>
      </c>
    </row>
    <row r="332" spans="1:56" s="41" customFormat="1" ht="12" customHeight="1">
      <c r="A332" s="38" t="s">
        <v>405</v>
      </c>
      <c r="B332" s="41" t="s">
        <v>405</v>
      </c>
      <c r="C332" s="41" t="s">
        <v>135</v>
      </c>
      <c r="D332" s="61">
        <v>42.402024523852198</v>
      </c>
      <c r="E332" s="50">
        <v>76.152283270315195</v>
      </c>
      <c r="F332" s="60">
        <v>729.90055502446205</v>
      </c>
      <c r="G332" s="122">
        <f t="shared" si="10"/>
        <v>0.10433240904682284</v>
      </c>
      <c r="H332" s="65">
        <v>3.49457485917316E-2</v>
      </c>
      <c r="I332" s="62">
        <v>5.2905492900730898E-2</v>
      </c>
      <c r="J332" s="62">
        <v>9.1825981067061196E-4</v>
      </c>
      <c r="K332" s="62">
        <v>0.39373200261993502</v>
      </c>
      <c r="L332" s="62">
        <v>6.7945187259458297E-3</v>
      </c>
      <c r="M332" s="62">
        <v>5.38551567892235E-2</v>
      </c>
      <c r="N332" s="62">
        <v>4.5075951150851302E-4</v>
      </c>
      <c r="O332" s="62">
        <v>0.48501997046248801</v>
      </c>
      <c r="P332" s="62">
        <v>1.7382490307655801E-2</v>
      </c>
      <c r="Q332" s="62">
        <v>4.1805129932743498E-4</v>
      </c>
      <c r="R332" s="62">
        <v>6.8488494105775599</v>
      </c>
      <c r="S332" s="60">
        <v>324.13</v>
      </c>
      <c r="T332" s="69">
        <v>40.737499999999997</v>
      </c>
      <c r="U332" s="60">
        <v>337.09198682488397</v>
      </c>
      <c r="V332" s="69">
        <v>4.9553516588187296</v>
      </c>
      <c r="W332" s="60">
        <v>338.146773729129</v>
      </c>
      <c r="X332" s="69">
        <v>2.7633279445170298</v>
      </c>
      <c r="Y332" s="60">
        <v>348.32022282287801</v>
      </c>
      <c r="Z332" s="69">
        <v>8.3053801541318109</v>
      </c>
      <c r="AA332" s="71">
        <f t="shared" si="11"/>
        <v>0.99687581055512986</v>
      </c>
      <c r="AB332" s="50">
        <v>32.731290000000001</v>
      </c>
      <c r="AC332" s="60">
        <v>505.23054861934997</v>
      </c>
      <c r="AD332" s="50">
        <v>52.56113527574</v>
      </c>
      <c r="AE332" s="60">
        <v>429.38468540544301</v>
      </c>
      <c r="AF332" s="61">
        <v>4.0193297235696503</v>
      </c>
      <c r="AG332" s="61">
        <v>0</v>
      </c>
      <c r="AH332" s="61">
        <v>1.4644846116830101E-2</v>
      </c>
      <c r="AI332" s="61">
        <v>1.80588503440707</v>
      </c>
      <c r="AJ332" s="65">
        <v>9.7129553554066994E-2</v>
      </c>
      <c r="AK332" s="61">
        <v>1.41801237743352</v>
      </c>
      <c r="AL332" s="61">
        <v>2.69754979507755</v>
      </c>
      <c r="AM332" s="61">
        <v>0.76915726707721999</v>
      </c>
      <c r="AN332" s="50">
        <v>12.1662099347351</v>
      </c>
      <c r="AO332" s="61">
        <v>4.5972605553457004</v>
      </c>
      <c r="AP332" s="50">
        <v>47.680219448767602</v>
      </c>
      <c r="AQ332" s="50">
        <v>13.9223280757881</v>
      </c>
      <c r="AR332" s="50">
        <v>46.611870825636302</v>
      </c>
      <c r="AS332" s="61">
        <v>7.8572992633581702</v>
      </c>
      <c r="AT332" s="50">
        <v>56.078131766663297</v>
      </c>
      <c r="AU332" s="61">
        <v>7.5194230151482904</v>
      </c>
      <c r="AV332" s="60">
        <v>10256.031988503601</v>
      </c>
      <c r="AW332" s="61">
        <v>2.0607430327663101</v>
      </c>
      <c r="AX332" s="65">
        <v>5.88430147062573E-3</v>
      </c>
      <c r="AY332" s="65">
        <v>0</v>
      </c>
      <c r="AZ332" s="65">
        <v>3.49457485917316E-2</v>
      </c>
      <c r="BA332" s="65">
        <v>0</v>
      </c>
      <c r="BB332" s="61">
        <v>42.402024523852198</v>
      </c>
      <c r="BC332" s="50">
        <v>76.152283270315195</v>
      </c>
      <c r="BD332" s="60">
        <v>729.90055502446205</v>
      </c>
    </row>
    <row r="333" spans="1:56" s="41" customFormat="1" ht="12" customHeight="1">
      <c r="A333" s="38" t="s">
        <v>405</v>
      </c>
      <c r="B333" s="41" t="s">
        <v>405</v>
      </c>
      <c r="C333" s="41" t="s">
        <v>135</v>
      </c>
      <c r="D333" s="61">
        <v>52.859708595876398</v>
      </c>
      <c r="E333" s="60">
        <v>136.933677520538</v>
      </c>
      <c r="F333" s="60">
        <v>899.00286551377303</v>
      </c>
      <c r="G333" s="122">
        <f t="shared" si="10"/>
        <v>0.15231728704477654</v>
      </c>
      <c r="H333" s="65">
        <v>1.0699620712438801E-2</v>
      </c>
      <c r="I333" s="62">
        <v>5.38934318451499E-2</v>
      </c>
      <c r="J333" s="62">
        <v>1.09367097243494E-3</v>
      </c>
      <c r="K333" s="62">
        <v>0.403713960294247</v>
      </c>
      <c r="L333" s="62">
        <v>8.5978954886913005E-3</v>
      </c>
      <c r="M333" s="62">
        <v>5.4058656728575197E-2</v>
      </c>
      <c r="N333" s="62">
        <v>5.4748881509975402E-4</v>
      </c>
      <c r="O333" s="62">
        <v>0.47554498591689398</v>
      </c>
      <c r="P333" s="62">
        <v>1.7077187622856801E-2</v>
      </c>
      <c r="Q333" s="62">
        <v>3.5108624906439901E-4</v>
      </c>
      <c r="R333" s="62">
        <v>4.9311838683501401</v>
      </c>
      <c r="S333" s="60">
        <v>364.87</v>
      </c>
      <c r="T333" s="69">
        <v>46.29</v>
      </c>
      <c r="U333" s="60">
        <v>344.33827777152402</v>
      </c>
      <c r="V333" s="69">
        <v>6.2237340520597204</v>
      </c>
      <c r="W333" s="60">
        <v>339.39145924782298</v>
      </c>
      <c r="X333" s="69">
        <v>3.3533452020032599</v>
      </c>
      <c r="Y333" s="60">
        <v>342.25389699789599</v>
      </c>
      <c r="Z333" s="69">
        <v>6.9770864393643404</v>
      </c>
      <c r="AA333" s="71">
        <f t="shared" si="11"/>
        <v>0.98552990090714432</v>
      </c>
      <c r="AB333" s="50">
        <v>32.731290000000001</v>
      </c>
      <c r="AC333" s="60">
        <v>687.36325789857801</v>
      </c>
      <c r="AD333" s="50">
        <v>49.0892371583192</v>
      </c>
      <c r="AE333" s="60">
        <v>594.38409939405096</v>
      </c>
      <c r="AF333" s="61">
        <v>4.1793593888551799</v>
      </c>
      <c r="AG333" s="61">
        <v>1.80860711626896E-2</v>
      </c>
      <c r="AH333" s="61">
        <v>7.1683622282084303E-2</v>
      </c>
      <c r="AI333" s="61">
        <v>3.5194706645202101</v>
      </c>
      <c r="AJ333" s="61">
        <v>0.50109916534684995</v>
      </c>
      <c r="AK333" s="61">
        <v>5.1790025799914803</v>
      </c>
      <c r="AL333" s="61">
        <v>6.6911853290650702</v>
      </c>
      <c r="AM333" s="61">
        <v>1.6505991906655999</v>
      </c>
      <c r="AN333" s="50">
        <v>21.1759787989198</v>
      </c>
      <c r="AO333" s="61">
        <v>7.1547544729330603</v>
      </c>
      <c r="AP333" s="50">
        <v>69.609564551374504</v>
      </c>
      <c r="AQ333" s="50">
        <v>19.3463505388549</v>
      </c>
      <c r="AR333" s="50">
        <v>62.822405607898098</v>
      </c>
      <c r="AS333" s="50">
        <v>10.832863026191299</v>
      </c>
      <c r="AT333" s="50">
        <v>77.220865849736199</v>
      </c>
      <c r="AU333" s="50">
        <v>10.821862429430499</v>
      </c>
      <c r="AV333" s="60">
        <v>9737.0405265808095</v>
      </c>
      <c r="AW333" s="61">
        <v>2.5653124732688402</v>
      </c>
      <c r="AX333" s="65">
        <v>5.8778172687636902E-2</v>
      </c>
      <c r="AY333" s="65">
        <v>0</v>
      </c>
      <c r="AZ333" s="65">
        <v>1.0699620712438801E-2</v>
      </c>
      <c r="BA333" s="65">
        <v>0</v>
      </c>
      <c r="BB333" s="61">
        <v>52.859708595876398</v>
      </c>
      <c r="BC333" s="60">
        <v>136.933677520538</v>
      </c>
      <c r="BD333" s="60">
        <v>899.00286551377303</v>
      </c>
    </row>
    <row r="334" spans="1:56" s="41" customFormat="1" ht="12" customHeight="1">
      <c r="A334" s="38" t="s">
        <v>405</v>
      </c>
      <c r="B334" s="41" t="s">
        <v>405</v>
      </c>
      <c r="C334" s="41" t="s">
        <v>135</v>
      </c>
      <c r="D334" s="61">
        <v>52.406931918590203</v>
      </c>
      <c r="E334" s="60">
        <v>133.90410966275999</v>
      </c>
      <c r="F334" s="60">
        <v>890.394167461758</v>
      </c>
      <c r="G334" s="122">
        <f t="shared" si="10"/>
        <v>0.15038745148621058</v>
      </c>
      <c r="H334" s="65">
        <v>8.7369452167244094E-2</v>
      </c>
      <c r="I334" s="62">
        <v>5.3787805145573103E-2</v>
      </c>
      <c r="J334" s="62">
        <v>1.0654314904459299E-3</v>
      </c>
      <c r="K334" s="62">
        <v>0.40304777625385502</v>
      </c>
      <c r="L334" s="62">
        <v>8.2996519403291807E-3</v>
      </c>
      <c r="M334" s="62">
        <v>5.4007949848973398E-2</v>
      </c>
      <c r="N334" s="62">
        <v>4.5578190378878599E-4</v>
      </c>
      <c r="O334" s="62">
        <v>0.40982272419287302</v>
      </c>
      <c r="P334" s="62">
        <v>1.7282371638287799E-2</v>
      </c>
      <c r="Q334" s="62">
        <v>3.3412196329299002E-4</v>
      </c>
      <c r="R334" s="62">
        <v>5.0276609888059802</v>
      </c>
      <c r="S334" s="60">
        <v>361.16500000000002</v>
      </c>
      <c r="T334" s="69">
        <v>44.44</v>
      </c>
      <c r="U334" s="60">
        <v>343.85627604771599</v>
      </c>
      <c r="V334" s="69">
        <v>6.0109920576275302</v>
      </c>
      <c r="W334" s="60">
        <v>339.08133854590699</v>
      </c>
      <c r="X334" s="69">
        <v>2.7936131595506599</v>
      </c>
      <c r="Y334" s="60">
        <v>346.33107812227303</v>
      </c>
      <c r="Z334" s="69">
        <v>6.6386183651748096</v>
      </c>
      <c r="AA334" s="71">
        <f t="shared" si="11"/>
        <v>0.9860164752979661</v>
      </c>
      <c r="AB334" s="50">
        <v>32.731290000000001</v>
      </c>
      <c r="AC334" s="60">
        <v>692.74073495540597</v>
      </c>
      <c r="AD334" s="50">
        <v>47.0927978461972</v>
      </c>
      <c r="AE334" s="60">
        <v>575.51231112506503</v>
      </c>
      <c r="AF334" s="61">
        <v>4.2945559768540997</v>
      </c>
      <c r="AG334" s="61">
        <v>7.2335406899916604E-2</v>
      </c>
      <c r="AH334" s="61">
        <v>9.3047310821967294E-2</v>
      </c>
      <c r="AI334" s="61">
        <v>3.3285424611780701</v>
      </c>
      <c r="AJ334" s="61">
        <v>0.42999818170336201</v>
      </c>
      <c r="AK334" s="61">
        <v>4.6896055669222498</v>
      </c>
      <c r="AL334" s="61">
        <v>7.0971251836814</v>
      </c>
      <c r="AM334" s="61">
        <v>1.4241917508730499</v>
      </c>
      <c r="AN334" s="50">
        <v>21.009494544472101</v>
      </c>
      <c r="AO334" s="61">
        <v>7.2140889476598797</v>
      </c>
      <c r="AP334" s="50">
        <v>69.009628601329496</v>
      </c>
      <c r="AQ334" s="50">
        <v>18.701803105335099</v>
      </c>
      <c r="AR334" s="50">
        <v>60.892730555222101</v>
      </c>
      <c r="AS334" s="50">
        <v>10.1335702083774</v>
      </c>
      <c r="AT334" s="50">
        <v>73.709952632465004</v>
      </c>
      <c r="AU334" s="50">
        <v>10.1050580687604</v>
      </c>
      <c r="AV334" s="60">
        <v>9804.9943836069106</v>
      </c>
      <c r="AW334" s="61">
        <v>2.4553085932281502</v>
      </c>
      <c r="AX334" s="65">
        <v>3.7915866270005101E-2</v>
      </c>
      <c r="AY334" s="65">
        <v>0</v>
      </c>
      <c r="AZ334" s="65">
        <v>8.7369452167244094E-2</v>
      </c>
      <c r="BA334" s="65">
        <v>0</v>
      </c>
      <c r="BB334" s="61">
        <v>52.406931918590203</v>
      </c>
      <c r="BC334" s="60">
        <v>133.90410966275999</v>
      </c>
      <c r="BD334" s="60">
        <v>890.394167461758</v>
      </c>
    </row>
    <row r="335" spans="1:56" s="41" customFormat="1" ht="12" customHeight="1">
      <c r="A335" s="38" t="s">
        <v>405</v>
      </c>
      <c r="B335" s="41" t="s">
        <v>405</v>
      </c>
      <c r="C335" s="41" t="s">
        <v>135</v>
      </c>
      <c r="D335" s="61">
        <v>37.355547048492603</v>
      </c>
      <c r="E335" s="50">
        <v>52.402607440682203</v>
      </c>
      <c r="F335" s="60">
        <v>648.57514092871395</v>
      </c>
      <c r="G335" s="122">
        <f t="shared" si="10"/>
        <v>8.0796509353789542E-2</v>
      </c>
      <c r="H335" s="63">
        <v>0</v>
      </c>
      <c r="I335" s="62">
        <v>5.3455771229973602E-2</v>
      </c>
      <c r="J335" s="62">
        <v>1.18180390024304E-3</v>
      </c>
      <c r="K335" s="62">
        <v>0.399502362971766</v>
      </c>
      <c r="L335" s="62">
        <v>8.9684913796727293E-3</v>
      </c>
      <c r="M335" s="62">
        <v>5.40648686856623E-2</v>
      </c>
      <c r="N335" s="62">
        <v>3.8497231998267097E-4</v>
      </c>
      <c r="O335" s="62">
        <v>0.31718621840537098</v>
      </c>
      <c r="P335" s="62">
        <v>1.7156363913940799E-2</v>
      </c>
      <c r="Q335" s="62">
        <v>4.8798760305344399E-4</v>
      </c>
      <c r="R335" s="62">
        <v>9.3196871999597093</v>
      </c>
      <c r="S335" s="60">
        <v>346.35</v>
      </c>
      <c r="T335" s="69">
        <v>49.994999999999997</v>
      </c>
      <c r="U335" s="60">
        <v>341.28721979178101</v>
      </c>
      <c r="V335" s="69">
        <v>6.5110603057221201</v>
      </c>
      <c r="W335" s="60">
        <v>339.42945023628602</v>
      </c>
      <c r="X335" s="69">
        <v>2.3615245902307498</v>
      </c>
      <c r="Y335" s="60">
        <v>343.82729478076902</v>
      </c>
      <c r="Z335" s="69">
        <v>9.6969524434215195</v>
      </c>
      <c r="AA335" s="71">
        <f t="shared" si="11"/>
        <v>0.99454172451684375</v>
      </c>
      <c r="AB335" s="50">
        <v>32.731290000000001</v>
      </c>
      <c r="AC335" s="60">
        <v>576.52898117625796</v>
      </c>
      <c r="AD335" s="50">
        <v>52.389910776740699</v>
      </c>
      <c r="AE335" s="60">
        <v>302.33838592769899</v>
      </c>
      <c r="AF335" s="61">
        <v>3.86136700310949</v>
      </c>
      <c r="AG335" s="61">
        <v>0</v>
      </c>
      <c r="AH335" s="61">
        <v>4.6636856329968198E-3</v>
      </c>
      <c r="AI335" s="61">
        <v>1.69485183435513</v>
      </c>
      <c r="AJ335" s="65">
        <v>5.9318577356224797E-2</v>
      </c>
      <c r="AK335" s="61">
        <v>1.00838733604519</v>
      </c>
      <c r="AL335" s="61">
        <v>1.6803519505226401</v>
      </c>
      <c r="AM335" s="61">
        <v>0.51118114039163298</v>
      </c>
      <c r="AN335" s="61">
        <v>7.4583201146197302</v>
      </c>
      <c r="AO335" s="61">
        <v>2.8080367134850102</v>
      </c>
      <c r="AP335" s="50">
        <v>32.219708678252204</v>
      </c>
      <c r="AQ335" s="61">
        <v>9.2881388676978904</v>
      </c>
      <c r="AR335" s="50">
        <v>33.150973926624602</v>
      </c>
      <c r="AS335" s="61">
        <v>5.6254716233398998</v>
      </c>
      <c r="AT335" s="50">
        <v>40.625873204301598</v>
      </c>
      <c r="AU335" s="61">
        <v>5.7194722685529804</v>
      </c>
      <c r="AV335" s="60">
        <v>10484.74041848</v>
      </c>
      <c r="AW335" s="61">
        <v>2.2861930607288499</v>
      </c>
      <c r="AX335" s="65">
        <v>6.1602541152752698E-3</v>
      </c>
      <c r="AY335" s="65">
        <v>0</v>
      </c>
      <c r="AZ335" s="63">
        <v>0</v>
      </c>
      <c r="BA335" s="65">
        <v>0</v>
      </c>
      <c r="BB335" s="61">
        <v>37.355547048492603</v>
      </c>
      <c r="BC335" s="50">
        <v>52.402607440682203</v>
      </c>
      <c r="BD335" s="60">
        <v>648.57514092871395</v>
      </c>
    </row>
    <row r="336" spans="1:56" s="41" customFormat="1" ht="12" customHeight="1">
      <c r="A336" s="38" t="s">
        <v>405</v>
      </c>
      <c r="B336" s="41" t="s">
        <v>405</v>
      </c>
      <c r="C336" s="41" t="s">
        <v>135</v>
      </c>
      <c r="D336" s="61">
        <v>29.557267117050198</v>
      </c>
      <c r="E336" s="50">
        <v>41.989402129087502</v>
      </c>
      <c r="F336" s="60">
        <v>514.829933771161</v>
      </c>
      <c r="G336" s="122">
        <f t="shared" si="10"/>
        <v>8.1559752793534251E-2</v>
      </c>
      <c r="H336" s="63">
        <v>0</v>
      </c>
      <c r="I336" s="62">
        <v>5.2781296908132699E-2</v>
      </c>
      <c r="J336" s="62">
        <v>1.0977659452931E-3</v>
      </c>
      <c r="K336" s="62">
        <v>0.39281749422064199</v>
      </c>
      <c r="L336" s="62">
        <v>8.4294092000437599E-3</v>
      </c>
      <c r="M336" s="62">
        <v>5.3898238994930403E-2</v>
      </c>
      <c r="N336" s="62">
        <v>4.4378683820266E-4</v>
      </c>
      <c r="O336" s="62">
        <v>0.38370152569779797</v>
      </c>
      <c r="P336" s="62">
        <v>1.6717713633706499E-2</v>
      </c>
      <c r="Q336" s="62">
        <v>4.54694264055823E-4</v>
      </c>
      <c r="R336" s="62">
        <v>9.2182435556313198</v>
      </c>
      <c r="S336" s="60">
        <v>320.43</v>
      </c>
      <c r="T336" s="69">
        <v>46.292499999999997</v>
      </c>
      <c r="U336" s="60">
        <v>336.425516435541</v>
      </c>
      <c r="V336" s="69">
        <v>6.1494116931530298</v>
      </c>
      <c r="W336" s="60">
        <v>338.41030146672801</v>
      </c>
      <c r="X336" s="69">
        <v>2.72066973415795</v>
      </c>
      <c r="Y336" s="60">
        <v>335.10885946919899</v>
      </c>
      <c r="Z336" s="69">
        <v>9.0392684156087206</v>
      </c>
      <c r="AA336" s="71">
        <f t="shared" si="11"/>
        <v>0.99411772470122661</v>
      </c>
      <c r="AB336" s="50">
        <v>32.731290000000001</v>
      </c>
      <c r="AC336" s="60">
        <v>565.07064895978601</v>
      </c>
      <c r="AD336" s="50">
        <v>40.340708783478298</v>
      </c>
      <c r="AE336" s="60">
        <v>238.17826773563701</v>
      </c>
      <c r="AF336" s="61">
        <v>3.1708372003698702</v>
      </c>
      <c r="AG336" s="61">
        <v>3.4835984914131702E-3</v>
      </c>
      <c r="AH336" s="61">
        <v>8.2160171066218996E-3</v>
      </c>
      <c r="AI336" s="61">
        <v>1.5586506331235801</v>
      </c>
      <c r="AJ336" s="65">
        <v>5.0106513311663999E-2</v>
      </c>
      <c r="AK336" s="61">
        <v>0.79565268336071404</v>
      </c>
      <c r="AL336" s="61">
        <v>1.32898715824096</v>
      </c>
      <c r="AM336" s="61">
        <v>0.35751988602534701</v>
      </c>
      <c r="AN336" s="61">
        <v>5.4271522593564896</v>
      </c>
      <c r="AO336" s="61">
        <v>2.3541372362178499</v>
      </c>
      <c r="AP336" s="50">
        <v>24.516342774213499</v>
      </c>
      <c r="AQ336" s="61">
        <v>7.4170184970977102</v>
      </c>
      <c r="AR336" s="50">
        <v>26.290984558819702</v>
      </c>
      <c r="AS336" s="61">
        <v>4.4415368506885304</v>
      </c>
      <c r="AT336" s="50">
        <v>32.0949574233127</v>
      </c>
      <c r="AU336" s="61">
        <v>4.6509788710469602</v>
      </c>
      <c r="AV336" s="60">
        <v>10682.2991015268</v>
      </c>
      <c r="AW336" s="61">
        <v>1.85572523863899</v>
      </c>
      <c r="AX336" s="65">
        <v>1.2355820416742399E-2</v>
      </c>
      <c r="AY336" s="65">
        <v>0</v>
      </c>
      <c r="AZ336" s="63">
        <v>0</v>
      </c>
      <c r="BA336" s="65">
        <v>0</v>
      </c>
      <c r="BB336" s="61">
        <v>29.557267117050198</v>
      </c>
      <c r="BC336" s="50">
        <v>41.989402129087502</v>
      </c>
      <c r="BD336" s="60">
        <v>514.829933771161</v>
      </c>
    </row>
    <row r="337" spans="1:56" s="41" customFormat="1" ht="12" customHeight="1">
      <c r="A337" s="38" t="s">
        <v>405</v>
      </c>
      <c r="B337" s="41" t="s">
        <v>405</v>
      </c>
      <c r="C337" s="41" t="s">
        <v>135</v>
      </c>
      <c r="D337" s="61">
        <v>36.769856638886701</v>
      </c>
      <c r="E337" s="50">
        <v>60.0142589272143</v>
      </c>
      <c r="F337" s="60">
        <v>646.19693047659098</v>
      </c>
      <c r="G337" s="122">
        <f t="shared" si="10"/>
        <v>9.2873017646419115E-2</v>
      </c>
      <c r="H337" s="63">
        <v>0</v>
      </c>
      <c r="I337" s="62">
        <v>5.4101917776392602E-2</v>
      </c>
      <c r="J337" s="62">
        <v>1.20353592393734E-3</v>
      </c>
      <c r="K337" s="62">
        <v>0.40161846376258997</v>
      </c>
      <c r="L337" s="62">
        <v>8.7039201848600201E-3</v>
      </c>
      <c r="M337" s="62">
        <v>5.3732890632110397E-2</v>
      </c>
      <c r="N337" s="62">
        <v>4.49366841876698E-4</v>
      </c>
      <c r="O337" s="62">
        <v>0.38588650360240401</v>
      </c>
      <c r="P337" s="62">
        <v>1.66021130036434E-2</v>
      </c>
      <c r="Q337" s="62">
        <v>4.3748693880494899E-4</v>
      </c>
      <c r="R337" s="62">
        <v>7.8008836095021596</v>
      </c>
      <c r="S337" s="60">
        <v>375.98</v>
      </c>
      <c r="T337" s="69">
        <v>54.625</v>
      </c>
      <c r="U337" s="60">
        <v>342.82135803403401</v>
      </c>
      <c r="V337" s="69">
        <v>6.30974208653305</v>
      </c>
      <c r="W337" s="60">
        <v>337.39883032429202</v>
      </c>
      <c r="X337" s="69">
        <v>2.7551191885242199</v>
      </c>
      <c r="Y337" s="60">
        <v>332.81060190075198</v>
      </c>
      <c r="Z337" s="69">
        <v>8.6981777976246804</v>
      </c>
      <c r="AA337" s="71">
        <f t="shared" si="11"/>
        <v>0.98405655167974659</v>
      </c>
      <c r="AB337" s="50">
        <v>32.731290000000001</v>
      </c>
      <c r="AC337" s="60">
        <v>588.17735165217096</v>
      </c>
      <c r="AD337" s="50">
        <v>42.535851633312198</v>
      </c>
      <c r="AE337" s="60">
        <v>268.27861558316101</v>
      </c>
      <c r="AF337" s="61">
        <v>3.8798638057849999</v>
      </c>
      <c r="AG337" s="61">
        <v>1.28932354464947E-2</v>
      </c>
      <c r="AH337" s="61">
        <v>6.9160018888463695E-2</v>
      </c>
      <c r="AI337" s="61">
        <v>1.97895703019349</v>
      </c>
      <c r="AJ337" s="61">
        <v>0.113608293211462</v>
      </c>
      <c r="AK337" s="61">
        <v>0.99980696200316999</v>
      </c>
      <c r="AL337" s="61">
        <v>1.8079580796388901</v>
      </c>
      <c r="AM337" s="61">
        <v>0.54792035402165196</v>
      </c>
      <c r="AN337" s="61">
        <v>7.5277271921309703</v>
      </c>
      <c r="AO337" s="61">
        <v>2.75467432889804</v>
      </c>
      <c r="AP337" s="50">
        <v>28.989843494973702</v>
      </c>
      <c r="AQ337" s="61">
        <v>8.1315518792430499</v>
      </c>
      <c r="AR337" s="50">
        <v>28.396879982715099</v>
      </c>
      <c r="AS337" s="61">
        <v>4.7356452975918701</v>
      </c>
      <c r="AT337" s="50">
        <v>34.126784778951901</v>
      </c>
      <c r="AU337" s="61">
        <v>4.5956058829515403</v>
      </c>
      <c r="AV337" s="60">
        <v>10637.8380786499</v>
      </c>
      <c r="AW337" s="61">
        <v>2.55148510095708</v>
      </c>
      <c r="AX337" s="65">
        <v>2.5267850431748E-2</v>
      </c>
      <c r="AY337" s="65">
        <v>0</v>
      </c>
      <c r="AZ337" s="63">
        <v>0</v>
      </c>
      <c r="BA337" s="65">
        <v>6.0850282456353304E-4</v>
      </c>
      <c r="BB337" s="61">
        <v>36.769856638886701</v>
      </c>
      <c r="BC337" s="50">
        <v>60.0142589272143</v>
      </c>
      <c r="BD337" s="60">
        <v>646.19693047659098</v>
      </c>
    </row>
    <row r="338" spans="1:56" s="41" customFormat="1" ht="12" customHeight="1">
      <c r="A338" s="38" t="s">
        <v>405</v>
      </c>
      <c r="B338" s="41" t="s">
        <v>405</v>
      </c>
      <c r="C338" s="41" t="s">
        <v>135</v>
      </c>
      <c r="D338" s="61">
        <v>54.622340738555401</v>
      </c>
      <c r="E338" s="50">
        <v>85.212001178569196</v>
      </c>
      <c r="F338" s="60">
        <v>965.93667681666398</v>
      </c>
      <c r="G338" s="122">
        <f t="shared" si="10"/>
        <v>8.8216964138263632E-2</v>
      </c>
      <c r="H338" s="61">
        <v>0.238992057477009</v>
      </c>
      <c r="I338" s="62">
        <v>5.3910577906787903E-2</v>
      </c>
      <c r="J338" s="62">
        <v>1.1213953852355801E-3</v>
      </c>
      <c r="K338" s="62">
        <v>0.40021714865617702</v>
      </c>
      <c r="L338" s="62">
        <v>8.5431939904440698E-3</v>
      </c>
      <c r="M338" s="62">
        <v>5.3629534715243399E-2</v>
      </c>
      <c r="N338" s="62">
        <v>4.6448368229550099E-4</v>
      </c>
      <c r="O338" s="62">
        <v>0.40573442538508597</v>
      </c>
      <c r="P338" s="62">
        <v>1.6535228122303899E-2</v>
      </c>
      <c r="Q338" s="62">
        <v>4.1092275516561199E-4</v>
      </c>
      <c r="R338" s="62">
        <v>8.19976782602523</v>
      </c>
      <c r="S338" s="60">
        <v>368.57</v>
      </c>
      <c r="T338" s="69">
        <v>46.29</v>
      </c>
      <c r="U338" s="60">
        <v>341.80568693351898</v>
      </c>
      <c r="V338" s="69">
        <v>6.1995507474369802</v>
      </c>
      <c r="W338" s="60">
        <v>336.76649955781602</v>
      </c>
      <c r="X338" s="69">
        <v>2.84765985337462</v>
      </c>
      <c r="Y338" s="60">
        <v>331.48074338980501</v>
      </c>
      <c r="Z338" s="69">
        <v>8.1705624671355093</v>
      </c>
      <c r="AA338" s="71">
        <f t="shared" si="11"/>
        <v>0.98514767485016186</v>
      </c>
      <c r="AB338" s="50">
        <v>32.731290000000001</v>
      </c>
      <c r="AC338" s="60">
        <v>619.44697978758995</v>
      </c>
      <c r="AD338" s="50">
        <v>70.6442982369595</v>
      </c>
      <c r="AE338" s="60">
        <v>466.49140107799502</v>
      </c>
      <c r="AF338" s="61">
        <v>6.2508968303922101</v>
      </c>
      <c r="AG338" s="61">
        <v>1.27646972349638E-2</v>
      </c>
      <c r="AH338" s="61">
        <v>1.1257966742218101E-2</v>
      </c>
      <c r="AI338" s="61">
        <v>2.5582915724155502</v>
      </c>
      <c r="AJ338" s="61">
        <v>0.12079992841835099</v>
      </c>
      <c r="AK338" s="61">
        <v>1.6668613725500601</v>
      </c>
      <c r="AL338" s="61">
        <v>2.7381226876431599</v>
      </c>
      <c r="AM338" s="61">
        <v>0.78702284505928299</v>
      </c>
      <c r="AN338" s="50">
        <v>12.3578639087676</v>
      </c>
      <c r="AO338" s="61">
        <v>4.6595918851146996</v>
      </c>
      <c r="AP338" s="50">
        <v>50.356445972946297</v>
      </c>
      <c r="AQ338" s="50">
        <v>14.1037119847349</v>
      </c>
      <c r="AR338" s="50">
        <v>50.188040977967397</v>
      </c>
      <c r="AS338" s="61">
        <v>8.6111092680766301</v>
      </c>
      <c r="AT338" s="50">
        <v>60.079678015646998</v>
      </c>
      <c r="AU338" s="61">
        <v>8.3294698014940707</v>
      </c>
      <c r="AV338" s="60">
        <v>10545.266434568201</v>
      </c>
      <c r="AW338" s="61">
        <v>3.15624971626122</v>
      </c>
      <c r="AX338" s="65">
        <v>2.0230332048453401E-2</v>
      </c>
      <c r="AY338" s="65">
        <v>0</v>
      </c>
      <c r="AZ338" s="61">
        <v>0.238992057477009</v>
      </c>
      <c r="BA338" s="65">
        <v>1.11244613327532E-2</v>
      </c>
      <c r="BB338" s="61">
        <v>54.622340738555401</v>
      </c>
      <c r="BC338" s="50">
        <v>85.212001178569196</v>
      </c>
      <c r="BD338" s="60">
        <v>965.93667681666398</v>
      </c>
    </row>
    <row r="339" spans="1:56" s="41" customFormat="1" ht="12" customHeight="1">
      <c r="A339" s="38" t="s">
        <v>405</v>
      </c>
      <c r="B339" s="41" t="s">
        <v>405</v>
      </c>
      <c r="C339" s="41" t="s">
        <v>135</v>
      </c>
      <c r="D339" s="61">
        <v>33.652401669674902</v>
      </c>
      <c r="E339" s="50">
        <v>54.0475843133365</v>
      </c>
      <c r="F339" s="60">
        <v>593.18505850351403</v>
      </c>
      <c r="G339" s="122">
        <f t="shared" si="10"/>
        <v>9.1114203802920499E-2</v>
      </c>
      <c r="H339" s="63">
        <v>0</v>
      </c>
      <c r="I339" s="62">
        <v>5.4455575815703802E-2</v>
      </c>
      <c r="J339" s="62">
        <v>1.15173021084337E-3</v>
      </c>
      <c r="K339" s="62">
        <v>0.40594566375659402</v>
      </c>
      <c r="L339" s="62">
        <v>8.6342236411108397E-3</v>
      </c>
      <c r="M339" s="62">
        <v>5.3951678711465501E-2</v>
      </c>
      <c r="N339" s="62">
        <v>4.8807806253924898E-4</v>
      </c>
      <c r="O339" s="62">
        <v>0.42533286254184</v>
      </c>
      <c r="P339" s="62">
        <v>1.7441187574156601E-2</v>
      </c>
      <c r="Q339" s="62">
        <v>4.3942763195092702E-4</v>
      </c>
      <c r="R339" s="62">
        <v>7.9253334403769502</v>
      </c>
      <c r="S339" s="60">
        <v>390.79</v>
      </c>
      <c r="T339" s="69">
        <v>46.29</v>
      </c>
      <c r="U339" s="60">
        <v>345.95130899617197</v>
      </c>
      <c r="V339" s="69">
        <v>6.2401280359375004</v>
      </c>
      <c r="W339" s="60">
        <v>338.73716965951502</v>
      </c>
      <c r="X339" s="69">
        <v>2.9908905659761098</v>
      </c>
      <c r="Y339" s="60">
        <v>349.48632145843601</v>
      </c>
      <c r="Z339" s="69">
        <v>8.7295578063243706</v>
      </c>
      <c r="AA339" s="71">
        <f t="shared" si="11"/>
        <v>0.97892723607436438</v>
      </c>
      <c r="AB339" s="50">
        <v>32.731290000000001</v>
      </c>
      <c r="AC339" s="60">
        <v>572.23498292271199</v>
      </c>
      <c r="AD339" s="50">
        <v>59.337238005118898</v>
      </c>
      <c r="AE339" s="60">
        <v>364.36805801568499</v>
      </c>
      <c r="AF339" s="61">
        <v>4.4514724356229198</v>
      </c>
      <c r="AG339" s="61">
        <v>2.61059988653938E-2</v>
      </c>
      <c r="AH339" s="61">
        <v>2.5211491409336699E-2</v>
      </c>
      <c r="AI339" s="61">
        <v>2.0613388575171601</v>
      </c>
      <c r="AJ339" s="61">
        <v>0.110169309835828</v>
      </c>
      <c r="AK339" s="61">
        <v>1.1371290473617299</v>
      </c>
      <c r="AL339" s="61">
        <v>2.3479330129864402</v>
      </c>
      <c r="AM339" s="61">
        <v>0.66153762697129503</v>
      </c>
      <c r="AN339" s="61">
        <v>9.9159924741248595</v>
      </c>
      <c r="AO339" s="61">
        <v>3.64485044059017</v>
      </c>
      <c r="AP339" s="50">
        <v>39.677872678748201</v>
      </c>
      <c r="AQ339" s="50">
        <v>11.493754326019699</v>
      </c>
      <c r="AR339" s="50">
        <v>39.551760148708098</v>
      </c>
      <c r="AS339" s="61">
        <v>7.0390150354783696</v>
      </c>
      <c r="AT339" s="50">
        <v>50.664365059632097</v>
      </c>
      <c r="AU339" s="61">
        <v>7.0059678115587296</v>
      </c>
      <c r="AV339" s="60">
        <v>10789.409081813599</v>
      </c>
      <c r="AW339" s="61">
        <v>2.32120482455734</v>
      </c>
      <c r="AX339" s="65">
        <v>5.7061183561205597E-2</v>
      </c>
      <c r="AY339" s="65">
        <v>0</v>
      </c>
      <c r="AZ339" s="63">
        <v>0</v>
      </c>
      <c r="BA339" s="65">
        <v>0</v>
      </c>
      <c r="BB339" s="61">
        <v>33.652401669674902</v>
      </c>
      <c r="BC339" s="50">
        <v>54.0475843133365</v>
      </c>
      <c r="BD339" s="60">
        <v>593.18505850351403</v>
      </c>
    </row>
    <row r="340" spans="1:56" s="41" customFormat="1" ht="12" customHeight="1">
      <c r="A340" s="38" t="s">
        <v>405</v>
      </c>
      <c r="B340" s="41" t="s">
        <v>405</v>
      </c>
      <c r="C340" s="41" t="s">
        <v>135</v>
      </c>
      <c r="D340" s="61">
        <v>32.851278573285299</v>
      </c>
      <c r="E340" s="50">
        <v>53.262951487529698</v>
      </c>
      <c r="F340" s="60">
        <v>578.23725534544803</v>
      </c>
      <c r="G340" s="122">
        <f t="shared" si="10"/>
        <v>9.2112625043001717E-2</v>
      </c>
      <c r="H340" s="63">
        <v>0</v>
      </c>
      <c r="I340" s="62">
        <v>5.3336386068862401E-2</v>
      </c>
      <c r="J340" s="62">
        <v>1.10229660504618E-3</v>
      </c>
      <c r="K340" s="62">
        <v>0.39830100845910399</v>
      </c>
      <c r="L340" s="62">
        <v>8.2324857301836404E-3</v>
      </c>
      <c r="M340" s="62">
        <v>5.3995414878447799E-2</v>
      </c>
      <c r="N340" s="62">
        <v>4.46127605489988E-4</v>
      </c>
      <c r="O340" s="62">
        <v>0.399744626286689</v>
      </c>
      <c r="P340" s="62">
        <v>1.6567618926674701E-2</v>
      </c>
      <c r="Q340" s="62">
        <v>4.6304778189343001E-4</v>
      </c>
      <c r="R340" s="62">
        <v>7.8255162154619002</v>
      </c>
      <c r="S340" s="60">
        <v>342.65</v>
      </c>
      <c r="T340" s="69">
        <v>48.142499999999998</v>
      </c>
      <c r="U340" s="60">
        <v>340.41522492571102</v>
      </c>
      <c r="V340" s="69">
        <v>5.9825394562713496</v>
      </c>
      <c r="W340" s="60">
        <v>339.00467300246299</v>
      </c>
      <c r="X340" s="69">
        <v>2.7347258534423902</v>
      </c>
      <c r="Y340" s="60">
        <v>332.124774100742</v>
      </c>
      <c r="Z340" s="69">
        <v>9.2066945205109398</v>
      </c>
      <c r="AA340" s="71">
        <f t="shared" si="11"/>
        <v>0.99584777564640259</v>
      </c>
      <c r="AB340" s="50">
        <v>32.731290000000001</v>
      </c>
      <c r="AC340" s="60">
        <v>556.46196945687302</v>
      </c>
      <c r="AD340" s="50">
        <v>58.163341717548903</v>
      </c>
      <c r="AE340" s="60">
        <v>350.80139009562299</v>
      </c>
      <c r="AF340" s="61">
        <v>4.2635504244475397</v>
      </c>
      <c r="AG340" s="61">
        <v>3.9007058482763597E-2</v>
      </c>
      <c r="AH340" s="61">
        <v>1.2529852310196999E-2</v>
      </c>
      <c r="AI340" s="61">
        <v>1.78346553478293</v>
      </c>
      <c r="AJ340" s="61">
        <v>0.10662081096319399</v>
      </c>
      <c r="AK340" s="61">
        <v>1.2378334160509199</v>
      </c>
      <c r="AL340" s="61">
        <v>1.9523196287140101</v>
      </c>
      <c r="AM340" s="61">
        <v>0.66635805730325304</v>
      </c>
      <c r="AN340" s="61">
        <v>9.0966198159848304</v>
      </c>
      <c r="AO340" s="61">
        <v>3.4338766368987099</v>
      </c>
      <c r="AP340" s="50">
        <v>37.994364896759102</v>
      </c>
      <c r="AQ340" s="50">
        <v>10.9356511157287</v>
      </c>
      <c r="AR340" s="50">
        <v>38.887275068208702</v>
      </c>
      <c r="AS340" s="61">
        <v>6.7470892453992102</v>
      </c>
      <c r="AT340" s="50">
        <v>48.070285141242501</v>
      </c>
      <c r="AU340" s="61">
        <v>6.78362537686343</v>
      </c>
      <c r="AV340" s="60">
        <v>10709.954051716601</v>
      </c>
      <c r="AW340" s="61">
        <v>2.2667913869533498</v>
      </c>
      <c r="AX340" s="65">
        <v>8.6682634963187403E-3</v>
      </c>
      <c r="AY340" s="65">
        <v>0</v>
      </c>
      <c r="AZ340" s="63">
        <v>0</v>
      </c>
      <c r="BA340" s="65">
        <v>0</v>
      </c>
      <c r="BB340" s="61">
        <v>32.851278573285299</v>
      </c>
      <c r="BC340" s="50">
        <v>53.262951487529698</v>
      </c>
      <c r="BD340" s="60">
        <v>578.23725534544803</v>
      </c>
    </row>
    <row r="341" spans="1:56" s="41" customFormat="1" ht="12" customHeight="1">
      <c r="A341" s="38" t="s">
        <v>405</v>
      </c>
      <c r="B341" s="41" t="s">
        <v>405</v>
      </c>
      <c r="C341" s="41" t="s">
        <v>135</v>
      </c>
      <c r="D341" s="61">
        <v>35.905738063226501</v>
      </c>
      <c r="E341" s="50">
        <v>52.962682038456101</v>
      </c>
      <c r="F341" s="60">
        <v>630.81132691314303</v>
      </c>
      <c r="G341" s="122">
        <f t="shared" si="10"/>
        <v>8.3959624342237887E-2</v>
      </c>
      <c r="H341" s="63">
        <v>0</v>
      </c>
      <c r="I341" s="62">
        <v>5.2748063397386399E-2</v>
      </c>
      <c r="J341" s="62">
        <v>1.12191781685396E-3</v>
      </c>
      <c r="K341" s="62">
        <v>0.392757603113781</v>
      </c>
      <c r="L341" s="62">
        <v>8.1688836604183208E-3</v>
      </c>
      <c r="M341" s="62">
        <v>5.3776079478338602E-2</v>
      </c>
      <c r="N341" s="62">
        <v>4.2885622472388401E-4</v>
      </c>
      <c r="O341" s="62">
        <v>0.383428571132025</v>
      </c>
      <c r="P341" s="62">
        <v>1.68603392772315E-2</v>
      </c>
      <c r="Q341" s="62">
        <v>4.1810039316779099E-4</v>
      </c>
      <c r="R341" s="62">
        <v>8.6210703121009793</v>
      </c>
      <c r="S341" s="60">
        <v>316.72500000000002</v>
      </c>
      <c r="T341" s="69">
        <v>15.74</v>
      </c>
      <c r="U341" s="60">
        <v>336.381854058594</v>
      </c>
      <c r="V341" s="69">
        <v>5.95987542036164</v>
      </c>
      <c r="W341" s="60">
        <v>337.66304100602298</v>
      </c>
      <c r="X341" s="69">
        <v>2.6298319078614898</v>
      </c>
      <c r="Y341" s="60">
        <v>337.94404160835199</v>
      </c>
      <c r="Z341" s="69">
        <v>8.3106207545505004</v>
      </c>
      <c r="AA341" s="71">
        <f t="shared" si="11"/>
        <v>0.99619851153295613</v>
      </c>
      <c r="AB341" s="50">
        <v>32.731290000000001</v>
      </c>
      <c r="AC341" s="60">
        <v>545.39071822496498</v>
      </c>
      <c r="AD341" s="50">
        <v>40.991493802774798</v>
      </c>
      <c r="AE341" s="60">
        <v>319.01518353768398</v>
      </c>
      <c r="AF341" s="61">
        <v>3.8954975013395199</v>
      </c>
      <c r="AG341" s="61">
        <v>1.30715809726305E-2</v>
      </c>
      <c r="AH341" s="61">
        <v>0.44243531843923301</v>
      </c>
      <c r="AI341" s="61">
        <v>2.4746939947973101</v>
      </c>
      <c r="AJ341" s="61">
        <v>0.16958500261245199</v>
      </c>
      <c r="AK341" s="61">
        <v>1.21514601688797</v>
      </c>
      <c r="AL341" s="61">
        <v>2.0413303713931201</v>
      </c>
      <c r="AM341" s="61">
        <v>0.53713205547195597</v>
      </c>
      <c r="AN341" s="61">
        <v>7.6951322266970799</v>
      </c>
      <c r="AO341" s="61">
        <v>2.98675546416505</v>
      </c>
      <c r="AP341" s="50">
        <v>33.215624692178302</v>
      </c>
      <c r="AQ341" s="61">
        <v>9.8580895394078993</v>
      </c>
      <c r="AR341" s="50">
        <v>35.318397745237597</v>
      </c>
      <c r="AS341" s="61">
        <v>6.0008599389763901</v>
      </c>
      <c r="AT341" s="50">
        <v>43.271737248542003</v>
      </c>
      <c r="AU341" s="61">
        <v>6.3860351125408101</v>
      </c>
      <c r="AV341" s="60">
        <v>10451.8292392195</v>
      </c>
      <c r="AW341" s="61">
        <v>2.1572272848758201</v>
      </c>
      <c r="AX341" s="65">
        <v>0.177565473010451</v>
      </c>
      <c r="AY341" s="65">
        <v>0</v>
      </c>
      <c r="AZ341" s="63">
        <v>0</v>
      </c>
      <c r="BA341" s="65">
        <v>1.10824301394037E-3</v>
      </c>
      <c r="BB341" s="61">
        <v>35.905738063226501</v>
      </c>
      <c r="BC341" s="50">
        <v>52.962682038456101</v>
      </c>
      <c r="BD341" s="60">
        <v>630.81132691314303</v>
      </c>
    </row>
    <row r="342" spans="1:56" s="41" customFormat="1" ht="12" customHeight="1">
      <c r="A342" s="38" t="s">
        <v>405</v>
      </c>
      <c r="B342" s="41" t="s">
        <v>405</v>
      </c>
      <c r="C342" s="41" t="s">
        <v>135</v>
      </c>
      <c r="D342" s="61">
        <v>37.4812323742076</v>
      </c>
      <c r="E342" s="50">
        <v>63.236387942087603</v>
      </c>
      <c r="F342" s="60">
        <v>658.42096226063802</v>
      </c>
      <c r="G342" s="122">
        <f t="shared" si="10"/>
        <v>9.6042488873638379E-2</v>
      </c>
      <c r="H342" s="63">
        <v>0</v>
      </c>
      <c r="I342" s="62">
        <v>5.2063299279651601E-2</v>
      </c>
      <c r="J342" s="62">
        <v>1.12877265752467E-3</v>
      </c>
      <c r="K342" s="62">
        <v>0.38686537224275003</v>
      </c>
      <c r="L342" s="62">
        <v>8.1867995145756996E-3</v>
      </c>
      <c r="M342" s="62">
        <v>5.3664624359976397E-2</v>
      </c>
      <c r="N342" s="62">
        <v>4.51129464669662E-4</v>
      </c>
      <c r="O342" s="62">
        <v>0.39724533209805202</v>
      </c>
      <c r="P342" s="62">
        <v>1.6388970681751599E-2</v>
      </c>
      <c r="Q342" s="62">
        <v>4.3489762852302801E-4</v>
      </c>
      <c r="R342" s="62">
        <v>7.7506933027100597</v>
      </c>
      <c r="S342" s="60">
        <v>287.10000000000002</v>
      </c>
      <c r="T342" s="69">
        <v>52.772500000000001</v>
      </c>
      <c r="U342" s="60">
        <v>332.07703978212999</v>
      </c>
      <c r="V342" s="69">
        <v>5.9981557841500699</v>
      </c>
      <c r="W342" s="60">
        <v>336.98118470986202</v>
      </c>
      <c r="X342" s="69">
        <v>2.7660424372603001</v>
      </c>
      <c r="Y342" s="60">
        <v>328.57243151057799</v>
      </c>
      <c r="Z342" s="69">
        <v>8.6485100203699901</v>
      </c>
      <c r="AA342" s="71">
        <f t="shared" si="11"/>
        <v>0.98534015501728356</v>
      </c>
      <c r="AB342" s="50">
        <v>32.731290000000001</v>
      </c>
      <c r="AC342" s="60">
        <v>560.71525947383304</v>
      </c>
      <c r="AD342" s="50">
        <v>63.983665906051399</v>
      </c>
      <c r="AE342" s="60">
        <v>334.57435792203802</v>
      </c>
      <c r="AF342" s="61">
        <v>4.0225635753753304</v>
      </c>
      <c r="AG342" s="61">
        <v>1.2850678626874799E-2</v>
      </c>
      <c r="AH342" s="61">
        <v>6.87256254682113</v>
      </c>
      <c r="AI342" s="50">
        <v>13.158427580988601</v>
      </c>
      <c r="AJ342" s="61">
        <v>1.1746182666332601</v>
      </c>
      <c r="AK342" s="61">
        <v>4.5293286088580302</v>
      </c>
      <c r="AL342" s="61">
        <v>2.3874667733475001</v>
      </c>
      <c r="AM342" s="61">
        <v>0.59617471447958903</v>
      </c>
      <c r="AN342" s="61">
        <v>8.7106431139518001</v>
      </c>
      <c r="AO342" s="61">
        <v>3.1843048542964101</v>
      </c>
      <c r="AP342" s="50">
        <v>35.090549626750999</v>
      </c>
      <c r="AQ342" s="50">
        <v>10.6457522568098</v>
      </c>
      <c r="AR342" s="50">
        <v>36.197269852757898</v>
      </c>
      <c r="AS342" s="61">
        <v>6.3436501087399897</v>
      </c>
      <c r="AT342" s="50">
        <v>45.479973362672801</v>
      </c>
      <c r="AU342" s="61">
        <v>6.4803780423100701</v>
      </c>
      <c r="AV342" s="60">
        <v>10199.351621517</v>
      </c>
      <c r="AW342" s="61">
        <v>2.2593182337301299</v>
      </c>
      <c r="AX342" s="65">
        <v>1.5355014849632901E-2</v>
      </c>
      <c r="AY342" s="65">
        <v>0</v>
      </c>
      <c r="AZ342" s="63">
        <v>0</v>
      </c>
      <c r="BA342" s="65">
        <v>0</v>
      </c>
      <c r="BB342" s="61">
        <v>37.4812323742076</v>
      </c>
      <c r="BC342" s="50">
        <v>63.236387942087603</v>
      </c>
      <c r="BD342" s="60">
        <v>658.42096226063802</v>
      </c>
    </row>
    <row r="343" spans="1:56" s="41" customFormat="1" ht="12" customHeight="1">
      <c r="A343" s="38" t="s">
        <v>405</v>
      </c>
      <c r="B343" s="41" t="s">
        <v>405</v>
      </c>
      <c r="C343" s="41" t="s">
        <v>135</v>
      </c>
      <c r="D343" s="61">
        <v>48.269405185908603</v>
      </c>
      <c r="E343" s="50">
        <v>70.761148227033999</v>
      </c>
      <c r="F343" s="60">
        <v>835.79840269797501</v>
      </c>
      <c r="G343" s="122">
        <f t="shared" si="10"/>
        <v>8.4662937855128115E-2</v>
      </c>
      <c r="H343" s="65">
        <v>7.9993743250683993E-2</v>
      </c>
      <c r="I343" s="62">
        <v>5.4197332623467098E-2</v>
      </c>
      <c r="J343" s="62">
        <v>1.06606821313287E-3</v>
      </c>
      <c r="K343" s="62">
        <v>0.40351177482977102</v>
      </c>
      <c r="L343" s="62">
        <v>8.2110503974068202E-3</v>
      </c>
      <c r="M343" s="62">
        <v>5.3678055296285103E-2</v>
      </c>
      <c r="N343" s="62">
        <v>4.30859215878296E-4</v>
      </c>
      <c r="O343" s="62">
        <v>0.39445376706868501</v>
      </c>
      <c r="P343" s="62">
        <v>1.65975738305719E-2</v>
      </c>
      <c r="Q343" s="62">
        <v>4.37537198305068E-4</v>
      </c>
      <c r="R343" s="62">
        <v>8.6141527654712995</v>
      </c>
      <c r="S343" s="60">
        <v>388.94</v>
      </c>
      <c r="T343" s="69">
        <v>44.44</v>
      </c>
      <c r="U343" s="60">
        <v>344.192015437127</v>
      </c>
      <c r="V343" s="69">
        <v>5.9449663219567004</v>
      </c>
      <c r="W343" s="60">
        <v>337.06335585282397</v>
      </c>
      <c r="X343" s="69">
        <v>2.64227803348109</v>
      </c>
      <c r="Y343" s="60">
        <v>332.72035321199098</v>
      </c>
      <c r="Z343" s="69">
        <v>8.6992159065649002</v>
      </c>
      <c r="AA343" s="71">
        <f t="shared" si="11"/>
        <v>0.97907199007971135</v>
      </c>
      <c r="AB343" s="50">
        <v>32.731290000000001</v>
      </c>
      <c r="AC343" s="60">
        <v>555.88177603060103</v>
      </c>
      <c r="AD343" s="50">
        <v>51.809434421161697</v>
      </c>
      <c r="AE343" s="60">
        <v>404.164778216407</v>
      </c>
      <c r="AF343" s="61">
        <v>5.1004613835801402</v>
      </c>
      <c r="AG343" s="61">
        <v>0</v>
      </c>
      <c r="AH343" s="61">
        <v>0.22157499775973899</v>
      </c>
      <c r="AI343" s="61">
        <v>2.6880008344168398</v>
      </c>
      <c r="AJ343" s="61">
        <v>0.15380862106465401</v>
      </c>
      <c r="AK343" s="61">
        <v>1.6825507116880001</v>
      </c>
      <c r="AL343" s="61">
        <v>2.6776871770905002</v>
      </c>
      <c r="AM343" s="61">
        <v>0.65593692965713701</v>
      </c>
      <c r="AN343" s="50">
        <v>10.7127359503263</v>
      </c>
      <c r="AO343" s="61">
        <v>3.9505919053695502</v>
      </c>
      <c r="AP343" s="50">
        <v>43.9498469291932</v>
      </c>
      <c r="AQ343" s="50">
        <v>12.552425910711399</v>
      </c>
      <c r="AR343" s="50">
        <v>43.636326322634602</v>
      </c>
      <c r="AS343" s="61">
        <v>7.5639824057775904</v>
      </c>
      <c r="AT343" s="50">
        <v>52.511785112152602</v>
      </c>
      <c r="AU343" s="61">
        <v>7.4469599882060598</v>
      </c>
      <c r="AV343" s="60">
        <v>10171.684196947101</v>
      </c>
      <c r="AW343" s="61">
        <v>2.74238200151968</v>
      </c>
      <c r="AX343" s="65">
        <v>9.5776956369132402E-2</v>
      </c>
      <c r="AY343" s="65">
        <v>0</v>
      </c>
      <c r="AZ343" s="65">
        <v>7.9993743250683993E-2</v>
      </c>
      <c r="BA343" s="65">
        <v>2.2107784434147698E-3</v>
      </c>
      <c r="BB343" s="61">
        <v>48.269405185908603</v>
      </c>
      <c r="BC343" s="50">
        <v>70.761148227033999</v>
      </c>
      <c r="BD343" s="60">
        <v>835.79840269797501</v>
      </c>
    </row>
    <row r="344" spans="1:56" s="41" customFormat="1" ht="12" customHeight="1">
      <c r="A344" s="38" t="s">
        <v>405</v>
      </c>
      <c r="B344" s="41" t="s">
        <v>405</v>
      </c>
      <c r="C344" s="41" t="s">
        <v>135</v>
      </c>
      <c r="D344" s="61">
        <v>35.572713540122997</v>
      </c>
      <c r="E344" s="50">
        <v>57.058309483088202</v>
      </c>
      <c r="F344" s="60">
        <v>607.46264030861096</v>
      </c>
      <c r="G344" s="122">
        <f t="shared" si="10"/>
        <v>9.3928919569606306E-2</v>
      </c>
      <c r="H344" s="61">
        <v>0.63019426106740795</v>
      </c>
      <c r="I344" s="62">
        <v>5.51632008330167E-2</v>
      </c>
      <c r="J344" s="62">
        <v>1.1224658936630999E-3</v>
      </c>
      <c r="K344" s="62">
        <v>0.41117532166846099</v>
      </c>
      <c r="L344" s="62">
        <v>8.5302644423657994E-3</v>
      </c>
      <c r="M344" s="62">
        <v>5.3788736605986098E-2</v>
      </c>
      <c r="N344" s="62">
        <v>4.7826883383748599E-4</v>
      </c>
      <c r="O344" s="62">
        <v>0.42859320727037897</v>
      </c>
      <c r="P344" s="62">
        <v>2.1736242757909099E-2</v>
      </c>
      <c r="Q344" s="62">
        <v>6.0526599590737904E-4</v>
      </c>
      <c r="R344" s="62">
        <v>7.7155993483974399</v>
      </c>
      <c r="S344" s="60">
        <v>420.42</v>
      </c>
      <c r="T344" s="69">
        <v>46.292499999999997</v>
      </c>
      <c r="U344" s="60">
        <v>349.72119473792998</v>
      </c>
      <c r="V344" s="69">
        <v>6.1423869163073403</v>
      </c>
      <c r="W344" s="60">
        <v>337.74046978690802</v>
      </c>
      <c r="X344" s="69">
        <v>2.9314256899590201</v>
      </c>
      <c r="Y344" s="60">
        <v>434.631207277003</v>
      </c>
      <c r="Z344" s="69">
        <v>11.9735153153719</v>
      </c>
      <c r="AA344" s="71">
        <f t="shared" si="11"/>
        <v>0.96514503842391608</v>
      </c>
      <c r="AB344" s="50">
        <v>32.731290000000001</v>
      </c>
      <c r="AC344" s="60">
        <v>541.88738043006902</v>
      </c>
      <c r="AD344" s="50">
        <v>55.1391475931066</v>
      </c>
      <c r="AE344" s="60">
        <v>381.731395363346</v>
      </c>
      <c r="AF344" s="61">
        <v>4.4482798988916503</v>
      </c>
      <c r="AG344" s="61">
        <v>1.2952858770358301E-2</v>
      </c>
      <c r="AH344" s="61">
        <v>8.4471271320112104E-2</v>
      </c>
      <c r="AI344" s="61">
        <v>2.31332807725861</v>
      </c>
      <c r="AJ344" s="61">
        <v>0.14942156303234699</v>
      </c>
      <c r="AK344" s="61">
        <v>1.7371089315211701</v>
      </c>
      <c r="AL344" s="61">
        <v>2.1330127321783698</v>
      </c>
      <c r="AM344" s="61">
        <v>0.86096772113588904</v>
      </c>
      <c r="AN344" s="61">
        <v>9.4847838426170394</v>
      </c>
      <c r="AO344" s="61">
        <v>3.82044722052474</v>
      </c>
      <c r="AP344" s="50">
        <v>40.711431134477202</v>
      </c>
      <c r="AQ344" s="50">
        <v>11.894265224025199</v>
      </c>
      <c r="AR344" s="50">
        <v>41.277432793985703</v>
      </c>
      <c r="AS344" s="61">
        <v>7.0818621778406401</v>
      </c>
      <c r="AT344" s="50">
        <v>51.581803366641999</v>
      </c>
      <c r="AU344" s="61">
        <v>7.5151873306986001</v>
      </c>
      <c r="AV344" s="60">
        <v>10366.758424858401</v>
      </c>
      <c r="AW344" s="61">
        <v>2.3635976016287201</v>
      </c>
      <c r="AX344" s="65">
        <v>7.5639994825437207E-2</v>
      </c>
      <c r="AY344" s="65">
        <v>0</v>
      </c>
      <c r="AZ344" s="61">
        <v>0.63019426106740795</v>
      </c>
      <c r="BA344" s="65">
        <v>0</v>
      </c>
      <c r="BB344" s="61">
        <v>35.572713540122997</v>
      </c>
      <c r="BC344" s="50">
        <v>57.058309483088202</v>
      </c>
      <c r="BD344" s="60">
        <v>607.46264030861096</v>
      </c>
    </row>
    <row r="345" spans="1:56" s="41" customFormat="1" ht="12" customHeight="1">
      <c r="A345" s="38" t="s">
        <v>405</v>
      </c>
      <c r="B345" s="41" t="s">
        <v>405</v>
      </c>
      <c r="C345" s="41" t="s">
        <v>135</v>
      </c>
      <c r="D345" s="61">
        <v>38.439846738716597</v>
      </c>
      <c r="E345" s="50">
        <v>67.660205006766105</v>
      </c>
      <c r="F345" s="60">
        <v>656.05092044967796</v>
      </c>
      <c r="G345" s="122">
        <f t="shared" si="10"/>
        <v>0.10313255099221516</v>
      </c>
      <c r="H345" s="61">
        <v>0.105907806040321</v>
      </c>
      <c r="I345" s="62">
        <v>5.4905252559946702E-2</v>
      </c>
      <c r="J345" s="62">
        <v>1.1856165338527101E-3</v>
      </c>
      <c r="K345" s="62">
        <v>0.40704702989509101</v>
      </c>
      <c r="L345" s="62">
        <v>8.81300676251957E-3</v>
      </c>
      <c r="M345" s="62">
        <v>5.3840159549528303E-2</v>
      </c>
      <c r="N345" s="62">
        <v>3.9176651691541199E-4</v>
      </c>
      <c r="O345" s="62">
        <v>0.33607906788776198</v>
      </c>
      <c r="P345" s="62">
        <v>1.6852844721483101E-2</v>
      </c>
      <c r="Q345" s="62">
        <v>4.2368433352466602E-4</v>
      </c>
      <c r="R345" s="62">
        <v>7.0016366283662199</v>
      </c>
      <c r="S345" s="60">
        <v>409.31</v>
      </c>
      <c r="T345" s="69">
        <v>45.365000000000002</v>
      </c>
      <c r="U345" s="60">
        <v>346.74641135966402</v>
      </c>
      <c r="V345" s="69">
        <v>6.3641977922467499</v>
      </c>
      <c r="W345" s="60">
        <v>338.05503521463299</v>
      </c>
      <c r="X345" s="69">
        <v>2.4034060379348099</v>
      </c>
      <c r="Y345" s="60">
        <v>337.79507107138301</v>
      </c>
      <c r="Z345" s="69">
        <v>8.42167533127882</v>
      </c>
      <c r="AA345" s="71">
        <f t="shared" si="11"/>
        <v>0.97461636160814369</v>
      </c>
      <c r="AB345" s="50">
        <v>32.731290000000001</v>
      </c>
      <c r="AC345" s="60">
        <v>548.81782288370596</v>
      </c>
      <c r="AD345" s="50">
        <v>61.166156233989902</v>
      </c>
      <c r="AE345" s="60">
        <v>399.29807719264397</v>
      </c>
      <c r="AF345" s="61">
        <v>4.8176543545126096</v>
      </c>
      <c r="AG345" s="61">
        <v>3.0641035499593499E-2</v>
      </c>
      <c r="AH345" s="61">
        <v>1.37475651572201E-2</v>
      </c>
      <c r="AI345" s="61">
        <v>2.0653881318055198</v>
      </c>
      <c r="AJ345" s="61">
        <v>0.10385781700433799</v>
      </c>
      <c r="AK345" s="61">
        <v>1.4262842158779201</v>
      </c>
      <c r="AL345" s="61">
        <v>2.5289257820577098</v>
      </c>
      <c r="AM345" s="61">
        <v>0.73250930822036997</v>
      </c>
      <c r="AN345" s="50">
        <v>11.282626794096901</v>
      </c>
      <c r="AO345" s="61">
        <v>4.1934137150334196</v>
      </c>
      <c r="AP345" s="50">
        <v>42.949850340898301</v>
      </c>
      <c r="AQ345" s="50">
        <v>12.535966372672</v>
      </c>
      <c r="AR345" s="50">
        <v>42.571983126125502</v>
      </c>
      <c r="AS345" s="61">
        <v>7.3287150353449801</v>
      </c>
      <c r="AT345" s="50">
        <v>51.671315737650097</v>
      </c>
      <c r="AU345" s="61">
        <v>7.2198237354406798</v>
      </c>
      <c r="AV345" s="60">
        <v>10049.509563777099</v>
      </c>
      <c r="AW345" s="61">
        <v>2.4993554329565102</v>
      </c>
      <c r="AX345" s="65">
        <v>1.2359532137973099E-2</v>
      </c>
      <c r="AY345" s="65">
        <v>0</v>
      </c>
      <c r="AZ345" s="61">
        <v>0.105907806040321</v>
      </c>
      <c r="BA345" s="65">
        <v>4.51098325316821E-3</v>
      </c>
      <c r="BB345" s="61">
        <v>38.439846738716597</v>
      </c>
      <c r="BC345" s="50">
        <v>67.660205006766105</v>
      </c>
      <c r="BD345" s="60">
        <v>656.05092044967796</v>
      </c>
    </row>
    <row r="346" spans="1:56" s="41" customFormat="1" ht="12" customHeight="1">
      <c r="A346" s="38" t="s">
        <v>405</v>
      </c>
      <c r="B346" s="41" t="s">
        <v>405</v>
      </c>
      <c r="C346" s="41" t="s">
        <v>135</v>
      </c>
      <c r="D346" s="61">
        <v>38.003502242121399</v>
      </c>
      <c r="E346" s="50">
        <v>64.531837969659506</v>
      </c>
      <c r="F346" s="60">
        <v>648.91059144264295</v>
      </c>
      <c r="G346" s="122">
        <f t="shared" si="10"/>
        <v>9.9446424238805883E-2</v>
      </c>
      <c r="H346" s="65">
        <v>8.2846457675612703E-2</v>
      </c>
      <c r="I346" s="62">
        <v>5.2683039558244098E-2</v>
      </c>
      <c r="J346" s="62">
        <v>1.19252987991088E-3</v>
      </c>
      <c r="K346" s="62">
        <v>0.39109521183558599</v>
      </c>
      <c r="L346" s="62">
        <v>8.8912098345326606E-3</v>
      </c>
      <c r="M346" s="62">
        <v>5.3919347736868399E-2</v>
      </c>
      <c r="N346" s="62">
        <v>4.4306381468853099E-4</v>
      </c>
      <c r="O346" s="62">
        <v>0.36144589070193001</v>
      </c>
      <c r="P346" s="62">
        <v>1.72117180842794E-2</v>
      </c>
      <c r="Q346" s="62">
        <v>4.3232433508648898E-4</v>
      </c>
      <c r="R346" s="62">
        <v>7.2812530571340197</v>
      </c>
      <c r="S346" s="60">
        <v>322.27999999999997</v>
      </c>
      <c r="T346" s="69">
        <v>51.847499999999997</v>
      </c>
      <c r="U346" s="60">
        <v>335.16917203507899</v>
      </c>
      <c r="V346" s="69">
        <v>6.4938396906314297</v>
      </c>
      <c r="W346" s="60">
        <v>338.53941671299702</v>
      </c>
      <c r="X346" s="69">
        <v>2.71620773060374</v>
      </c>
      <c r="Y346" s="60">
        <v>344.927224674336</v>
      </c>
      <c r="Z346" s="69">
        <v>8.5903829532327602</v>
      </c>
      <c r="AA346" s="71">
        <f t="shared" si="11"/>
        <v>0.98999494815946809</v>
      </c>
      <c r="AB346" s="50">
        <v>32.731290000000001</v>
      </c>
      <c r="AC346" s="60">
        <v>544.08137541854398</v>
      </c>
      <c r="AD346" s="50">
        <v>56.193328483691097</v>
      </c>
      <c r="AE346" s="60">
        <v>381.23512746541098</v>
      </c>
      <c r="AF346" s="61">
        <v>4.8160588738036303</v>
      </c>
      <c r="AG346" s="61">
        <v>1.2855790940996301E-2</v>
      </c>
      <c r="AH346" s="61">
        <v>1.74432967263374E-2</v>
      </c>
      <c r="AI346" s="61">
        <v>2.00961985317196</v>
      </c>
      <c r="AJ346" s="61">
        <v>0.119128333764024</v>
      </c>
      <c r="AK346" s="61">
        <v>1.3020629332969</v>
      </c>
      <c r="AL346" s="61">
        <v>2.82927486325167</v>
      </c>
      <c r="AM346" s="61">
        <v>0.673406916191712</v>
      </c>
      <c r="AN346" s="50">
        <v>10.397122196959</v>
      </c>
      <c r="AO346" s="61">
        <v>4.03328958130757</v>
      </c>
      <c r="AP346" s="50">
        <v>41.379843130624501</v>
      </c>
      <c r="AQ346" s="50">
        <v>12.2784645537734</v>
      </c>
      <c r="AR346" s="50">
        <v>40.8751895747926</v>
      </c>
      <c r="AS346" s="61">
        <v>7.0545608718808301</v>
      </c>
      <c r="AT346" s="50">
        <v>50.6858281894621</v>
      </c>
      <c r="AU346" s="61">
        <v>7.1756497050307999</v>
      </c>
      <c r="AV346" s="60">
        <v>10061.046139997399</v>
      </c>
      <c r="AW346" s="61">
        <v>2.4352753237060498</v>
      </c>
      <c r="AX346" s="65">
        <v>0</v>
      </c>
      <c r="AY346" s="65">
        <v>0</v>
      </c>
      <c r="AZ346" s="65">
        <v>8.2846457675612703E-2</v>
      </c>
      <c r="BA346" s="65">
        <v>0</v>
      </c>
      <c r="BB346" s="61">
        <v>38.003502242121399</v>
      </c>
      <c r="BC346" s="50">
        <v>64.531837969659506</v>
      </c>
      <c r="BD346" s="60">
        <v>648.91059144264295</v>
      </c>
    </row>
    <row r="347" spans="1:56" s="41" customFormat="1" ht="12" customHeight="1">
      <c r="A347" s="38"/>
      <c r="D347" s="60"/>
      <c r="E347" s="60"/>
      <c r="F347" s="60"/>
      <c r="G347" s="122"/>
      <c r="H347" s="60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0"/>
      <c r="T347" s="69"/>
      <c r="U347" s="60"/>
      <c r="V347" s="69"/>
      <c r="W347" s="60"/>
      <c r="X347" s="69"/>
      <c r="Y347" s="60"/>
      <c r="Z347" s="69"/>
      <c r="AA347" s="71"/>
      <c r="AB347" s="50"/>
      <c r="AC347" s="60"/>
      <c r="AD347" s="60"/>
      <c r="AE347" s="60"/>
      <c r="AF347" s="60"/>
      <c r="AG347" s="61"/>
      <c r="AH347" s="61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5"/>
      <c r="AY347" s="65"/>
      <c r="AZ347" s="60"/>
      <c r="BA347" s="65"/>
      <c r="BB347" s="60"/>
      <c r="BC347" s="60"/>
      <c r="BD347" s="60"/>
    </row>
    <row r="348" spans="1:56" s="41" customFormat="1" ht="12" customHeight="1">
      <c r="A348" s="38" t="s">
        <v>406</v>
      </c>
      <c r="B348" s="41" t="s">
        <v>406</v>
      </c>
      <c r="C348" s="41" t="s">
        <v>135</v>
      </c>
      <c r="D348" s="61">
        <v>38.302807478892902</v>
      </c>
      <c r="E348" s="50">
        <v>61.328922397790798</v>
      </c>
      <c r="F348" s="60">
        <v>380.97799393886601</v>
      </c>
      <c r="G348" s="122">
        <f t="shared" si="10"/>
        <v>0.16097759811195814</v>
      </c>
      <c r="H348" s="65">
        <v>9.7371277248426993E-2</v>
      </c>
      <c r="I348" s="62">
        <v>5.7785516845297098E-2</v>
      </c>
      <c r="J348" s="62">
        <v>1.2023388474271201E-3</v>
      </c>
      <c r="K348" s="62">
        <v>0.73521900757004</v>
      </c>
      <c r="L348" s="62">
        <v>1.6014182960254399E-2</v>
      </c>
      <c r="M348" s="62">
        <v>9.1991887214747298E-2</v>
      </c>
      <c r="N348" s="62">
        <v>8.0445141125539896E-4</v>
      </c>
      <c r="O348" s="62">
        <v>0.40147844164076801</v>
      </c>
      <c r="P348" s="62">
        <v>2.7927029820514499E-2</v>
      </c>
      <c r="Q348" s="62">
        <v>6.1279135677566002E-4</v>
      </c>
      <c r="R348" s="62">
        <v>4.5713367556957101</v>
      </c>
      <c r="S348" s="60">
        <v>520.41</v>
      </c>
      <c r="T348" s="69">
        <v>44.44</v>
      </c>
      <c r="U348" s="60">
        <v>559.61175263196606</v>
      </c>
      <c r="V348" s="69">
        <v>9.3786038028689696</v>
      </c>
      <c r="W348" s="60">
        <v>567.30667529148502</v>
      </c>
      <c r="X348" s="69">
        <v>4.7588316933634696</v>
      </c>
      <c r="Y348" s="60">
        <v>556.72929456727002</v>
      </c>
      <c r="Z348" s="69">
        <v>12.049375592101599</v>
      </c>
      <c r="AA348" s="71">
        <f t="shared" si="11"/>
        <v>0.98634342563072952</v>
      </c>
      <c r="AB348" s="50">
        <v>32.731290000000001</v>
      </c>
      <c r="AC348" s="60">
        <v>482.92412688356399</v>
      </c>
      <c r="AD348" s="50">
        <v>12.975054645092101</v>
      </c>
      <c r="AE348" s="60">
        <v>151.69818549631901</v>
      </c>
      <c r="AF348" s="61">
        <v>1.3955486452546</v>
      </c>
      <c r="AG348" s="61">
        <v>0</v>
      </c>
      <c r="AH348" s="61">
        <v>5.6594751466976798E-3</v>
      </c>
      <c r="AI348" s="61">
        <v>6.4612300773037097</v>
      </c>
      <c r="AJ348" s="65">
        <v>3.36260958447002E-2</v>
      </c>
      <c r="AK348" s="61">
        <v>0.69024612502960803</v>
      </c>
      <c r="AL348" s="61">
        <v>1.66477880478007</v>
      </c>
      <c r="AM348" s="61">
        <v>1.1858077726773799</v>
      </c>
      <c r="AN348" s="61">
        <v>8.7962219868837899</v>
      </c>
      <c r="AO348" s="61">
        <v>2.18236266000123</v>
      </c>
      <c r="AP348" s="50">
        <v>18.6170137778957</v>
      </c>
      <c r="AQ348" s="61">
        <v>5.0507269216052801</v>
      </c>
      <c r="AR348" s="50">
        <v>17.0621458895444</v>
      </c>
      <c r="AS348" s="61">
        <v>2.8147806163430502</v>
      </c>
      <c r="AT348" s="50">
        <v>22.897595535747001</v>
      </c>
      <c r="AU348" s="61">
        <v>4.0546504715458402</v>
      </c>
      <c r="AV348" s="60">
        <v>10815.0791701364</v>
      </c>
      <c r="AW348" s="61">
        <v>2.1770822202801399</v>
      </c>
      <c r="AX348" s="65">
        <v>1.71925988463121E-2</v>
      </c>
      <c r="AY348" s="65">
        <v>0</v>
      </c>
      <c r="AZ348" s="65">
        <v>9.7371277248426993E-2</v>
      </c>
      <c r="BA348" s="65">
        <v>2.6536459914699899E-3</v>
      </c>
      <c r="BB348" s="61">
        <v>38.302807478892902</v>
      </c>
      <c r="BC348" s="50">
        <v>61.328922397790798</v>
      </c>
      <c r="BD348" s="60">
        <v>380.97799393886601</v>
      </c>
    </row>
    <row r="349" spans="1:56" s="41" customFormat="1" ht="12" customHeight="1">
      <c r="A349" s="38" t="s">
        <v>406</v>
      </c>
      <c r="B349" s="41" t="s">
        <v>406</v>
      </c>
      <c r="C349" s="41" t="s">
        <v>135</v>
      </c>
      <c r="D349" s="61">
        <v>39.171805821014097</v>
      </c>
      <c r="E349" s="50">
        <v>62.770507767579801</v>
      </c>
      <c r="F349" s="60">
        <v>388.241887858052</v>
      </c>
      <c r="G349" s="122">
        <f t="shared" si="10"/>
        <v>0.16167886498256931</v>
      </c>
      <c r="H349" s="65">
        <v>1.6146700034004601E-2</v>
      </c>
      <c r="I349" s="62">
        <v>6.0371639042445302E-2</v>
      </c>
      <c r="J349" s="62">
        <v>1.29749733289967E-3</v>
      </c>
      <c r="K349" s="62">
        <v>0.76509488057225405</v>
      </c>
      <c r="L349" s="62">
        <v>1.61419238326262E-2</v>
      </c>
      <c r="M349" s="62">
        <v>9.1738282364173904E-2</v>
      </c>
      <c r="N349" s="62">
        <v>6.9478090062731902E-4</v>
      </c>
      <c r="O349" s="62">
        <v>0.358969267710327</v>
      </c>
      <c r="P349" s="62">
        <v>2.8243992684545801E-2</v>
      </c>
      <c r="Q349" s="62">
        <v>6.9114277425272796E-4</v>
      </c>
      <c r="R349" s="62">
        <v>4.5492080838488098</v>
      </c>
      <c r="S349" s="60">
        <v>616.68499999999995</v>
      </c>
      <c r="T349" s="69">
        <v>46.287500000000001</v>
      </c>
      <c r="U349" s="60">
        <v>576.94516488661304</v>
      </c>
      <c r="V349" s="69">
        <v>9.2940375809746296</v>
      </c>
      <c r="W349" s="60">
        <v>565.80938232414599</v>
      </c>
      <c r="X349" s="69">
        <v>4.1138519154457098</v>
      </c>
      <c r="Y349" s="60">
        <v>562.96080525599098</v>
      </c>
      <c r="Z349" s="69">
        <v>13.5858178684582</v>
      </c>
      <c r="AA349" s="71">
        <f t="shared" si="11"/>
        <v>0.98051063093181767</v>
      </c>
      <c r="AB349" s="50">
        <v>32.731290000000001</v>
      </c>
      <c r="AC349" s="60">
        <v>497.20742683016999</v>
      </c>
      <c r="AD349" s="50">
        <v>11.803651432713099</v>
      </c>
      <c r="AE349" s="60">
        <v>152.51085537463001</v>
      </c>
      <c r="AF349" s="61">
        <v>1.35034638805713</v>
      </c>
      <c r="AG349" s="61">
        <v>1.21895731314343E-2</v>
      </c>
      <c r="AH349" s="61">
        <v>0</v>
      </c>
      <c r="AI349" s="61">
        <v>6.3779170456303103</v>
      </c>
      <c r="AJ349" s="65">
        <v>3.1469441784788998E-2</v>
      </c>
      <c r="AK349" s="61">
        <v>0.63948673664215505</v>
      </c>
      <c r="AL349" s="61">
        <v>1.8135352073639499</v>
      </c>
      <c r="AM349" s="61">
        <v>1.1913759089907701</v>
      </c>
      <c r="AN349" s="61">
        <v>8.5074198485391097</v>
      </c>
      <c r="AO349" s="61">
        <v>2.2451490171234401</v>
      </c>
      <c r="AP349" s="50">
        <v>18.682779344597101</v>
      </c>
      <c r="AQ349" s="61">
        <v>5.2090951413163298</v>
      </c>
      <c r="AR349" s="50">
        <v>17.582018762304099</v>
      </c>
      <c r="AS349" s="61">
        <v>2.8853657303098101</v>
      </c>
      <c r="AT349" s="50">
        <v>22.766217850764601</v>
      </c>
      <c r="AU349" s="61">
        <v>4.1488188232329204</v>
      </c>
      <c r="AV349" s="60">
        <v>11080.994161808099</v>
      </c>
      <c r="AW349" s="61">
        <v>2.0623974253569899</v>
      </c>
      <c r="AX349" s="65">
        <v>1.35309840898752E-2</v>
      </c>
      <c r="AY349" s="65">
        <v>0</v>
      </c>
      <c r="AZ349" s="65">
        <v>1.6146700034004601E-2</v>
      </c>
      <c r="BA349" s="65">
        <v>0</v>
      </c>
      <c r="BB349" s="61">
        <v>39.171805821014097</v>
      </c>
      <c r="BC349" s="50">
        <v>62.770507767579801</v>
      </c>
      <c r="BD349" s="60">
        <v>388.241887858052</v>
      </c>
    </row>
    <row r="350" spans="1:56" s="41" customFormat="1" ht="12" customHeight="1">
      <c r="A350" s="38" t="s">
        <v>406</v>
      </c>
      <c r="B350" s="41" t="s">
        <v>406</v>
      </c>
      <c r="C350" s="41" t="s">
        <v>135</v>
      </c>
      <c r="D350" s="61">
        <v>37.413006186861701</v>
      </c>
      <c r="E350" s="50">
        <v>60.577315557829998</v>
      </c>
      <c r="F350" s="60">
        <v>375.60691747453899</v>
      </c>
      <c r="G350" s="122">
        <f t="shared" si="10"/>
        <v>0.16127848753460808</v>
      </c>
      <c r="H350" s="63">
        <v>0</v>
      </c>
      <c r="I350" s="62">
        <v>5.6086594130183798E-2</v>
      </c>
      <c r="J350" s="62">
        <v>1.32383639575888E-3</v>
      </c>
      <c r="K350" s="62">
        <v>0.71202863867847599</v>
      </c>
      <c r="L350" s="62">
        <v>1.6805600443063201E-2</v>
      </c>
      <c r="M350" s="62">
        <v>9.1686880727199896E-2</v>
      </c>
      <c r="N350" s="62">
        <v>7.4231749885931197E-4</v>
      </c>
      <c r="O350" s="62">
        <v>0.343025122825655</v>
      </c>
      <c r="P350" s="62">
        <v>2.8130819601365702E-2</v>
      </c>
      <c r="Q350" s="62">
        <v>6.1181630466034204E-4</v>
      </c>
      <c r="R350" s="62">
        <v>4.53937553351623</v>
      </c>
      <c r="S350" s="60">
        <v>457.45</v>
      </c>
      <c r="T350" s="69">
        <v>19.442499999999999</v>
      </c>
      <c r="U350" s="60">
        <v>545.95015056067405</v>
      </c>
      <c r="V350" s="69">
        <v>9.9741056522484399</v>
      </c>
      <c r="W350" s="60">
        <v>565.50586265492495</v>
      </c>
      <c r="X350" s="69">
        <v>4.3940111656532297</v>
      </c>
      <c r="Y350" s="60">
        <v>560.73603553559894</v>
      </c>
      <c r="Z350" s="69">
        <v>12.0278184952383</v>
      </c>
      <c r="AA350" s="71">
        <f t="shared" si="11"/>
        <v>0.96481064142579342</v>
      </c>
      <c r="AB350" s="50">
        <v>32.731290000000001</v>
      </c>
      <c r="AC350" s="60">
        <v>509.86885538900401</v>
      </c>
      <c r="AD350" s="50">
        <v>14.110699607086801</v>
      </c>
      <c r="AE350" s="60">
        <v>148.643673142148</v>
      </c>
      <c r="AF350" s="61">
        <v>1.2930412148386901</v>
      </c>
      <c r="AG350" s="61">
        <v>1.1930849094628E-2</v>
      </c>
      <c r="AH350" s="61">
        <v>1.42600475016508E-3</v>
      </c>
      <c r="AI350" s="61">
        <v>6.1635658271283003</v>
      </c>
      <c r="AJ350" s="65">
        <v>2.9463039050880799E-2</v>
      </c>
      <c r="AK350" s="61">
        <v>0.67491870781429297</v>
      </c>
      <c r="AL350" s="61">
        <v>1.6901465299056</v>
      </c>
      <c r="AM350" s="61">
        <v>1.1389575563941301</v>
      </c>
      <c r="AN350" s="61">
        <v>8.5104442280244808</v>
      </c>
      <c r="AO350" s="61">
        <v>2.1414552064414898</v>
      </c>
      <c r="AP350" s="50">
        <v>18.477208078683901</v>
      </c>
      <c r="AQ350" s="61">
        <v>4.8352004390983998</v>
      </c>
      <c r="AR350" s="50">
        <v>16.4369067727269</v>
      </c>
      <c r="AS350" s="61">
        <v>2.7158723303432102</v>
      </c>
      <c r="AT350" s="50">
        <v>22.0969799485778</v>
      </c>
      <c r="AU350" s="61">
        <v>3.8632707727101598</v>
      </c>
      <c r="AV350" s="60">
        <v>10640.374729733699</v>
      </c>
      <c r="AW350" s="61">
        <v>1.7972922013988999</v>
      </c>
      <c r="AX350" s="65">
        <v>1.14758000295755E-2</v>
      </c>
      <c r="AY350" s="65">
        <v>0</v>
      </c>
      <c r="AZ350" s="63">
        <v>0</v>
      </c>
      <c r="BA350" s="65">
        <v>8.1718616445320899E-3</v>
      </c>
      <c r="BB350" s="61">
        <v>37.413006186861701</v>
      </c>
      <c r="BC350" s="50">
        <v>60.577315557829998</v>
      </c>
      <c r="BD350" s="60">
        <v>375.60691747453899</v>
      </c>
    </row>
    <row r="351" spans="1:56" s="41" customFormat="1" ht="12" customHeight="1">
      <c r="A351" s="38" t="s">
        <v>406</v>
      </c>
      <c r="B351" s="41" t="s">
        <v>406</v>
      </c>
      <c r="C351" s="41" t="s">
        <v>135</v>
      </c>
      <c r="D351" s="61">
        <v>37.213131117674997</v>
      </c>
      <c r="E351" s="50">
        <v>60.353318119236697</v>
      </c>
      <c r="F351" s="60">
        <v>374.61152537440898</v>
      </c>
      <c r="G351" s="122">
        <f t="shared" si="10"/>
        <v>0.16110907975646507</v>
      </c>
      <c r="H351" s="63">
        <v>0</v>
      </c>
      <c r="I351" s="62">
        <v>5.8235499060905499E-2</v>
      </c>
      <c r="J351" s="62">
        <v>1.4208764218896701E-3</v>
      </c>
      <c r="K351" s="62">
        <v>0.73777582549255805</v>
      </c>
      <c r="L351" s="62">
        <v>1.7913895761559901E-2</v>
      </c>
      <c r="M351" s="62">
        <v>9.15907821556462E-2</v>
      </c>
      <c r="N351" s="62">
        <v>8.3075611214794402E-4</v>
      </c>
      <c r="O351" s="62">
        <v>0.37355637759660298</v>
      </c>
      <c r="P351" s="62">
        <v>2.7428376584308301E-2</v>
      </c>
      <c r="Q351" s="62">
        <v>6.8812627528063201E-4</v>
      </c>
      <c r="R351" s="62">
        <v>4.5362102522882504</v>
      </c>
      <c r="S351" s="60">
        <v>538.92499999999995</v>
      </c>
      <c r="T351" s="69">
        <v>53.697499999999998</v>
      </c>
      <c r="U351" s="60">
        <v>561.10680239887097</v>
      </c>
      <c r="V351" s="69">
        <v>10.4740478543079</v>
      </c>
      <c r="W351" s="60">
        <v>564.938375334851</v>
      </c>
      <c r="X351" s="69">
        <v>4.9155247481175799</v>
      </c>
      <c r="Y351" s="60">
        <v>546.92184883984703</v>
      </c>
      <c r="Z351" s="69">
        <v>13.537260367482499</v>
      </c>
      <c r="AA351" s="71">
        <f t="shared" si="11"/>
        <v>0.99319463728144286</v>
      </c>
      <c r="AB351" s="50">
        <v>32.731290000000001</v>
      </c>
      <c r="AC351" s="60">
        <v>488.93001141589099</v>
      </c>
      <c r="AD351" s="50">
        <v>13.7864086327856</v>
      </c>
      <c r="AE351" s="60">
        <v>147.90219162913701</v>
      </c>
      <c r="AF351" s="61">
        <v>1.4379833587594</v>
      </c>
      <c r="AG351" s="61">
        <v>0</v>
      </c>
      <c r="AH351" s="61">
        <v>0</v>
      </c>
      <c r="AI351" s="61">
        <v>6.2474072935848399</v>
      </c>
      <c r="AJ351" s="65">
        <v>3.38112248744913E-2</v>
      </c>
      <c r="AK351" s="61">
        <v>0.53890051026488694</v>
      </c>
      <c r="AL351" s="61">
        <v>1.7690290475253501</v>
      </c>
      <c r="AM351" s="61">
        <v>1.1019511184489299</v>
      </c>
      <c r="AN351" s="61">
        <v>8.2798306376734097</v>
      </c>
      <c r="AO351" s="61">
        <v>2.2022540134017299</v>
      </c>
      <c r="AP351" s="50">
        <v>18.1093719557431</v>
      </c>
      <c r="AQ351" s="61">
        <v>4.9978153462709596</v>
      </c>
      <c r="AR351" s="50">
        <v>16.540314296138298</v>
      </c>
      <c r="AS351" s="61">
        <v>2.74787086486044</v>
      </c>
      <c r="AT351" s="50">
        <v>22.679399750181801</v>
      </c>
      <c r="AU351" s="61">
        <v>3.9069883954849902</v>
      </c>
      <c r="AV351" s="60">
        <v>10651.8042960029</v>
      </c>
      <c r="AW351" s="61">
        <v>1.99613974741253</v>
      </c>
      <c r="AX351" s="65">
        <v>0</v>
      </c>
      <c r="AY351" s="65">
        <v>0</v>
      </c>
      <c r="AZ351" s="63">
        <v>0</v>
      </c>
      <c r="BA351" s="65">
        <v>0</v>
      </c>
      <c r="BB351" s="61">
        <v>37.213131117674997</v>
      </c>
      <c r="BC351" s="50">
        <v>60.353318119236697</v>
      </c>
      <c r="BD351" s="60">
        <v>374.61152537440898</v>
      </c>
    </row>
    <row r="352" spans="1:56" s="41" customFormat="1" ht="12" customHeight="1">
      <c r="A352" s="38" t="s">
        <v>406</v>
      </c>
      <c r="B352" s="41" t="s">
        <v>406</v>
      </c>
      <c r="C352" s="41" t="s">
        <v>135</v>
      </c>
      <c r="D352" s="61">
        <v>37.697907310254202</v>
      </c>
      <c r="E352" s="50">
        <v>59.919980600914201</v>
      </c>
      <c r="F352" s="60">
        <v>372.41017233984502</v>
      </c>
      <c r="G352" s="122">
        <f t="shared" si="10"/>
        <v>0.16089780852235658</v>
      </c>
      <c r="H352" s="65">
        <v>6.2137047409609902E-2</v>
      </c>
      <c r="I352" s="62">
        <v>5.9584907960645001E-2</v>
      </c>
      <c r="J352" s="62">
        <v>1.1412789663663399E-3</v>
      </c>
      <c r="K352" s="62">
        <v>0.75720312960335201</v>
      </c>
      <c r="L352" s="62">
        <v>1.44891466195908E-2</v>
      </c>
      <c r="M352" s="62">
        <v>9.1905257511063002E-2</v>
      </c>
      <c r="N352" s="62">
        <v>7.4527520543599503E-4</v>
      </c>
      <c r="O352" s="62">
        <v>0.42378532114751999</v>
      </c>
      <c r="P352" s="62">
        <v>2.72823073865948E-2</v>
      </c>
      <c r="Q352" s="62">
        <v>6.0929691187364902E-4</v>
      </c>
      <c r="R352" s="62">
        <v>4.5044518075204696</v>
      </c>
      <c r="S352" s="60">
        <v>587.06500000000005</v>
      </c>
      <c r="T352" s="69">
        <v>41.505000000000003</v>
      </c>
      <c r="U352" s="60">
        <v>572.39520143682898</v>
      </c>
      <c r="V352" s="69">
        <v>8.3814576793228799</v>
      </c>
      <c r="W352" s="60">
        <v>566.79524923640304</v>
      </c>
      <c r="X352" s="69">
        <v>4.4106045902430298</v>
      </c>
      <c r="Y352" s="60">
        <v>544.04807783731098</v>
      </c>
      <c r="Z352" s="69">
        <v>11.988183050116501</v>
      </c>
      <c r="AA352" s="71">
        <f t="shared" si="11"/>
        <v>0.99016854083157646</v>
      </c>
      <c r="AB352" s="50">
        <v>32.731290000000001</v>
      </c>
      <c r="AC352" s="60">
        <v>469.89975890348597</v>
      </c>
      <c r="AD352" s="50">
        <v>12.351508363418899</v>
      </c>
      <c r="AE352" s="60">
        <v>147.76737076882199</v>
      </c>
      <c r="AF352" s="61">
        <v>1.4216952323284999</v>
      </c>
      <c r="AG352" s="61">
        <v>0</v>
      </c>
      <c r="AH352" s="61">
        <v>0</v>
      </c>
      <c r="AI352" s="61">
        <v>6.2757532807601697</v>
      </c>
      <c r="AJ352" s="65">
        <v>2.98521734983642E-2</v>
      </c>
      <c r="AK352" s="61">
        <v>0.69224402945079899</v>
      </c>
      <c r="AL352" s="61">
        <v>1.73109924178074</v>
      </c>
      <c r="AM352" s="61">
        <v>1.0072264768768999</v>
      </c>
      <c r="AN352" s="61">
        <v>8.5818848894519402</v>
      </c>
      <c r="AO352" s="61">
        <v>2.1585764544773198</v>
      </c>
      <c r="AP352" s="50">
        <v>18.080945173504102</v>
      </c>
      <c r="AQ352" s="61">
        <v>4.8823340622902798</v>
      </c>
      <c r="AR352" s="50">
        <v>16.551771103579899</v>
      </c>
      <c r="AS352" s="61">
        <v>2.7637226302281701</v>
      </c>
      <c r="AT352" s="50">
        <v>22.0170309935103</v>
      </c>
      <c r="AU352" s="61">
        <v>3.7587427249688399</v>
      </c>
      <c r="AV352" s="60">
        <v>10456.8695905852</v>
      </c>
      <c r="AW352" s="61">
        <v>2.0155856709010198</v>
      </c>
      <c r="AX352" s="65">
        <v>5.8425752579980596E-3</v>
      </c>
      <c r="AY352" s="65">
        <v>0</v>
      </c>
      <c r="AZ352" s="65">
        <v>6.2137047409609902E-2</v>
      </c>
      <c r="BA352" s="65">
        <v>4.1837202008189103E-3</v>
      </c>
      <c r="BB352" s="61">
        <v>37.697907310254202</v>
      </c>
      <c r="BC352" s="50">
        <v>59.919980600914201</v>
      </c>
      <c r="BD352" s="60">
        <v>372.41017233984502</v>
      </c>
    </row>
    <row r="353" spans="1:56" s="41" customFormat="1" ht="12" customHeight="1">
      <c r="A353" s="38" t="s">
        <v>406</v>
      </c>
      <c r="B353" s="41" t="s">
        <v>406</v>
      </c>
      <c r="C353" s="41" t="s">
        <v>135</v>
      </c>
      <c r="D353" s="61">
        <v>38.253997637579602</v>
      </c>
      <c r="E353" s="50">
        <v>61.881783051531002</v>
      </c>
      <c r="F353" s="60">
        <v>375.290996277028</v>
      </c>
      <c r="G353" s="122">
        <f t="shared" si="10"/>
        <v>0.16489013502964994</v>
      </c>
      <c r="H353" s="63">
        <v>0</v>
      </c>
      <c r="I353" s="62">
        <v>6.0317181447996603E-2</v>
      </c>
      <c r="J353" s="62">
        <v>1.18433095919597E-3</v>
      </c>
      <c r="K353" s="62">
        <v>0.76937968276203705</v>
      </c>
      <c r="L353" s="62">
        <v>1.50568481604206E-2</v>
      </c>
      <c r="M353" s="62">
        <v>9.2187131993770696E-2</v>
      </c>
      <c r="N353" s="62">
        <v>6.6910703691140097E-4</v>
      </c>
      <c r="O353" s="62">
        <v>0.37087873766229801</v>
      </c>
      <c r="P353" s="62">
        <v>2.81491009634369E-2</v>
      </c>
      <c r="Q353" s="62">
        <v>6.3902564775564598E-4</v>
      </c>
      <c r="R353" s="62">
        <v>4.4163551881780698</v>
      </c>
      <c r="S353" s="60">
        <v>616.68499999999995</v>
      </c>
      <c r="T353" s="69">
        <v>42.582500000000003</v>
      </c>
      <c r="U353" s="60">
        <v>579.40704010084301</v>
      </c>
      <c r="V353" s="69">
        <v>8.64955914346268</v>
      </c>
      <c r="W353" s="60">
        <v>568.45917122223398</v>
      </c>
      <c r="X353" s="69">
        <v>3.9611812870985399</v>
      </c>
      <c r="Y353" s="60">
        <v>561.09542927565201</v>
      </c>
      <c r="Z353" s="69">
        <v>12.562509010249</v>
      </c>
      <c r="AA353" s="71">
        <f t="shared" si="11"/>
        <v>0.98092483467042724</v>
      </c>
      <c r="AB353" s="50">
        <v>32.731290000000001</v>
      </c>
      <c r="AC353" s="60">
        <v>487.24414184765999</v>
      </c>
      <c r="AD353" s="50">
        <v>13.676939182379201</v>
      </c>
      <c r="AE353" s="60">
        <v>147.64540120383899</v>
      </c>
      <c r="AF353" s="61">
        <v>1.33452892221845</v>
      </c>
      <c r="AG353" s="61">
        <v>0</v>
      </c>
      <c r="AH353" s="61">
        <v>0</v>
      </c>
      <c r="AI353" s="61">
        <v>6.2029586756641297</v>
      </c>
      <c r="AJ353" s="65">
        <v>2.5908930991001999E-2</v>
      </c>
      <c r="AK353" s="61">
        <v>0.79183858628803305</v>
      </c>
      <c r="AL353" s="61">
        <v>1.6855316453979099</v>
      </c>
      <c r="AM353" s="61">
        <v>1.1039202773796899</v>
      </c>
      <c r="AN353" s="61">
        <v>8.5170389866728904</v>
      </c>
      <c r="AO353" s="61">
        <v>2.23877686581281</v>
      </c>
      <c r="AP353" s="50">
        <v>18.4737511568126</v>
      </c>
      <c r="AQ353" s="61">
        <v>5.0702224626708396</v>
      </c>
      <c r="AR353" s="50">
        <v>16.3876712037057</v>
      </c>
      <c r="AS353" s="61">
        <v>2.8095210046252301</v>
      </c>
      <c r="AT353" s="50">
        <v>21.8309814131125</v>
      </c>
      <c r="AU353" s="61">
        <v>3.9029444682044101</v>
      </c>
      <c r="AV353" s="60">
        <v>10240.603622877999</v>
      </c>
      <c r="AW353" s="61">
        <v>1.9696059050374499</v>
      </c>
      <c r="AX353" s="65">
        <v>0</v>
      </c>
      <c r="AY353" s="65">
        <v>0</v>
      </c>
      <c r="AZ353" s="63">
        <v>0</v>
      </c>
      <c r="BA353" s="65">
        <v>0</v>
      </c>
      <c r="BB353" s="61">
        <v>38.253997637579602</v>
      </c>
      <c r="BC353" s="50">
        <v>61.881783051531002</v>
      </c>
      <c r="BD353" s="60">
        <v>375.290996277028</v>
      </c>
    </row>
    <row r="354" spans="1:56" s="41" customFormat="1" ht="12" customHeight="1">
      <c r="A354" s="38" t="s">
        <v>406</v>
      </c>
      <c r="B354" s="41" t="s">
        <v>406</v>
      </c>
      <c r="C354" s="41" t="s">
        <v>135</v>
      </c>
      <c r="D354" s="61">
        <v>37.893702562888301</v>
      </c>
      <c r="E354" s="50">
        <v>61.061373579016198</v>
      </c>
      <c r="F354" s="60">
        <v>379.02777314124398</v>
      </c>
      <c r="G354" s="122">
        <f t="shared" si="10"/>
        <v>0.1610999982216654</v>
      </c>
      <c r="H354" s="63">
        <v>0</v>
      </c>
      <c r="I354" s="62">
        <v>5.9147384799075498E-2</v>
      </c>
      <c r="J354" s="62">
        <v>1.3261362292628801E-3</v>
      </c>
      <c r="K354" s="62">
        <v>0.74971268634400201</v>
      </c>
      <c r="L354" s="62">
        <v>1.6451999302702101E-2</v>
      </c>
      <c r="M354" s="62">
        <v>9.1622808909724504E-2</v>
      </c>
      <c r="N354" s="62">
        <v>9.37121253667077E-4</v>
      </c>
      <c r="O354" s="62">
        <v>0.46608847385145602</v>
      </c>
      <c r="P354" s="62">
        <v>2.74086547418089E-2</v>
      </c>
      <c r="Q354" s="62">
        <v>6.5673022004217004E-4</v>
      </c>
      <c r="R354" s="62">
        <v>4.7309957064949701</v>
      </c>
      <c r="S354" s="60">
        <v>572.255</v>
      </c>
      <c r="T354" s="69">
        <v>48.14</v>
      </c>
      <c r="U354" s="60">
        <v>568.05766890850202</v>
      </c>
      <c r="V354" s="69">
        <v>9.5551393249578709</v>
      </c>
      <c r="W354" s="60">
        <v>565.12750728470405</v>
      </c>
      <c r="X354" s="69">
        <v>5.5424362426649996</v>
      </c>
      <c r="Y354" s="60">
        <v>546.53386441191606</v>
      </c>
      <c r="Z354" s="69">
        <v>12.919865082133001</v>
      </c>
      <c r="AA354" s="71">
        <f t="shared" si="11"/>
        <v>0.99482845048566293</v>
      </c>
      <c r="AB354" s="50">
        <v>32.731290000000001</v>
      </c>
      <c r="AC354" s="60">
        <v>552.64270387996601</v>
      </c>
      <c r="AD354" s="50">
        <v>12.578167165578201</v>
      </c>
      <c r="AE354" s="60">
        <v>150.69844379834799</v>
      </c>
      <c r="AF354" s="61">
        <v>1.3991568647407</v>
      </c>
      <c r="AG354" s="61">
        <v>3.4761276780990703E-2</v>
      </c>
      <c r="AH354" s="61">
        <v>4.6196613646633904E-3</v>
      </c>
      <c r="AI354" s="61">
        <v>6.4751306508857303</v>
      </c>
      <c r="AJ354" s="65">
        <v>4.43202345712548E-2</v>
      </c>
      <c r="AK354" s="61">
        <v>0.66325015392908304</v>
      </c>
      <c r="AL354" s="61">
        <v>1.83027223357962</v>
      </c>
      <c r="AM354" s="61">
        <v>1.1950814604778099</v>
      </c>
      <c r="AN354" s="61">
        <v>8.7084287050305207</v>
      </c>
      <c r="AO354" s="61">
        <v>2.1973781177341598</v>
      </c>
      <c r="AP354" s="50">
        <v>18.5197197391395</v>
      </c>
      <c r="AQ354" s="61">
        <v>5.0967344845700202</v>
      </c>
      <c r="AR354" s="50">
        <v>16.4702535395698</v>
      </c>
      <c r="AS354" s="61">
        <v>2.8053574533317098</v>
      </c>
      <c r="AT354" s="50">
        <v>22.076388173003998</v>
      </c>
      <c r="AU354" s="61">
        <v>3.8924576235363499</v>
      </c>
      <c r="AV354" s="60">
        <v>10809.282672228301</v>
      </c>
      <c r="AW354" s="61">
        <v>2.0197063714381001</v>
      </c>
      <c r="AX354" s="65">
        <v>1.4665500923730999E-2</v>
      </c>
      <c r="AY354" s="65">
        <v>0</v>
      </c>
      <c r="AZ354" s="63">
        <v>0</v>
      </c>
      <c r="BA354" s="65">
        <v>4.0289174215056896E-3</v>
      </c>
      <c r="BB354" s="61">
        <v>37.893702562888301</v>
      </c>
      <c r="BC354" s="50">
        <v>61.061373579016198</v>
      </c>
      <c r="BD354" s="60">
        <v>379.02777314124398</v>
      </c>
    </row>
    <row r="355" spans="1:56" s="41" customFormat="1" ht="12" customHeight="1">
      <c r="A355" s="38" t="s">
        <v>406</v>
      </c>
      <c r="B355" s="41" t="s">
        <v>406</v>
      </c>
      <c r="C355" s="41" t="s">
        <v>135</v>
      </c>
      <c r="D355" s="61">
        <v>37.433917605814401</v>
      </c>
      <c r="E355" s="50">
        <v>60.303655491796398</v>
      </c>
      <c r="F355" s="60">
        <v>373.93481371687699</v>
      </c>
      <c r="G355" s="122">
        <f t="shared" si="10"/>
        <v>0.16126782872229445</v>
      </c>
      <c r="H355" s="63">
        <v>0</v>
      </c>
      <c r="I355" s="62">
        <v>6.0172967846475502E-2</v>
      </c>
      <c r="J355" s="62">
        <v>1.39798811251563E-3</v>
      </c>
      <c r="K355" s="62">
        <v>0.767104685245665</v>
      </c>
      <c r="L355" s="62">
        <v>1.8221862658337699E-2</v>
      </c>
      <c r="M355" s="62">
        <v>9.1852391583090595E-2</v>
      </c>
      <c r="N355" s="62">
        <v>8.5160348522277498E-4</v>
      </c>
      <c r="O355" s="62">
        <v>0.390309235658995</v>
      </c>
      <c r="P355" s="62">
        <v>2.7587805268233401E-2</v>
      </c>
      <c r="Q355" s="62">
        <v>6.8991194954788604E-4</v>
      </c>
      <c r="R355" s="62">
        <v>4.7494122656696796</v>
      </c>
      <c r="S355" s="60">
        <v>609.28</v>
      </c>
      <c r="T355" s="69">
        <v>46.13</v>
      </c>
      <c r="U355" s="60">
        <v>578.10066122137198</v>
      </c>
      <c r="V355" s="69">
        <v>10.477707787277</v>
      </c>
      <c r="W355" s="60">
        <v>566.48313065672505</v>
      </c>
      <c r="X355" s="69">
        <v>5.0372556543601998</v>
      </c>
      <c r="Y355" s="60">
        <v>550.05798860131097</v>
      </c>
      <c r="Z355" s="69">
        <v>13.5702835586455</v>
      </c>
      <c r="AA355" s="71">
        <f t="shared" si="11"/>
        <v>0.97969999112850581</v>
      </c>
      <c r="AB355" s="50">
        <v>32.731290000000001</v>
      </c>
      <c r="AC355" s="60">
        <v>548.45965278656297</v>
      </c>
      <c r="AD355" s="50">
        <v>11.793312690208801</v>
      </c>
      <c r="AE355" s="60">
        <v>147.98599973354601</v>
      </c>
      <c r="AF355" s="61">
        <v>1.3868606433821</v>
      </c>
      <c r="AG355" s="61">
        <v>4.6880182968133503E-2</v>
      </c>
      <c r="AH355" s="61">
        <v>4.2399455427142799E-3</v>
      </c>
      <c r="AI355" s="61">
        <v>6.25664202956062</v>
      </c>
      <c r="AJ355" s="65">
        <v>2.4656619766371402E-2</v>
      </c>
      <c r="AK355" s="61">
        <v>0.65036671024606196</v>
      </c>
      <c r="AL355" s="61">
        <v>1.81162153480139</v>
      </c>
      <c r="AM355" s="61">
        <v>1.10649760491599</v>
      </c>
      <c r="AN355" s="61">
        <v>8.1086215573001503</v>
      </c>
      <c r="AO355" s="61">
        <v>2.1390257744486898</v>
      </c>
      <c r="AP355" s="50">
        <v>18.2759455073132</v>
      </c>
      <c r="AQ355" s="61">
        <v>4.8791748674050703</v>
      </c>
      <c r="AR355" s="50">
        <v>16.612516051900698</v>
      </c>
      <c r="AS355" s="61">
        <v>2.83282235364632</v>
      </c>
      <c r="AT355" s="50">
        <v>21.841667915738299</v>
      </c>
      <c r="AU355" s="61">
        <v>3.8832543431547899</v>
      </c>
      <c r="AV355" s="60">
        <v>10750.583574664401</v>
      </c>
      <c r="AW355" s="61">
        <v>1.9891860905626599</v>
      </c>
      <c r="AX355" s="65">
        <v>1.7035382017235801E-2</v>
      </c>
      <c r="AY355" s="65">
        <v>0</v>
      </c>
      <c r="AZ355" s="63">
        <v>0</v>
      </c>
      <c r="BA355" s="65">
        <v>4.0751797670951903E-3</v>
      </c>
      <c r="BB355" s="61">
        <v>37.433917605814401</v>
      </c>
      <c r="BC355" s="50">
        <v>60.303655491796398</v>
      </c>
      <c r="BD355" s="60">
        <v>373.93481371687699</v>
      </c>
    </row>
    <row r="356" spans="1:56" s="41" customFormat="1" ht="12" customHeight="1">
      <c r="A356" s="38" t="s">
        <v>406</v>
      </c>
      <c r="B356" s="41" t="s">
        <v>406</v>
      </c>
      <c r="C356" s="41" t="s">
        <v>135</v>
      </c>
      <c r="D356" s="61">
        <v>38.794624279505598</v>
      </c>
      <c r="E356" s="50">
        <v>62.468764531153802</v>
      </c>
      <c r="F356" s="60">
        <v>385.769338465896</v>
      </c>
      <c r="G356" s="122">
        <f t="shared" si="10"/>
        <v>0.16193294360711968</v>
      </c>
      <c r="H356" s="63">
        <v>0</v>
      </c>
      <c r="I356" s="62">
        <v>5.8513041120504199E-2</v>
      </c>
      <c r="J356" s="62">
        <v>1.11891078253322E-3</v>
      </c>
      <c r="K356" s="62">
        <v>0.74363396716070096</v>
      </c>
      <c r="L356" s="62">
        <v>1.52785625956261E-2</v>
      </c>
      <c r="M356" s="62">
        <v>9.1991334595584895E-2</v>
      </c>
      <c r="N356" s="62">
        <v>7.9018547880359898E-4</v>
      </c>
      <c r="O356" s="62">
        <v>0.41807947396989698</v>
      </c>
      <c r="P356" s="62">
        <v>2.8160034165152201E-2</v>
      </c>
      <c r="Q356" s="62">
        <v>5.6772014722993697E-4</v>
      </c>
      <c r="R356" s="62">
        <v>4.6879942813151398</v>
      </c>
      <c r="S356" s="60">
        <v>550.03499999999997</v>
      </c>
      <c r="T356" s="69">
        <v>42.587499999999999</v>
      </c>
      <c r="U356" s="60">
        <v>564.52396024110203</v>
      </c>
      <c r="V356" s="69">
        <v>8.9055539018719099</v>
      </c>
      <c r="W356" s="60">
        <v>567.30341298436599</v>
      </c>
      <c r="X356" s="69">
        <v>4.6747949137562097</v>
      </c>
      <c r="Y356" s="60">
        <v>561.31036229950496</v>
      </c>
      <c r="Z356" s="69">
        <v>11.1606062293384</v>
      </c>
      <c r="AA356" s="71">
        <f t="shared" si="11"/>
        <v>0.99508855712626365</v>
      </c>
      <c r="AB356" s="50">
        <v>32.731290000000001</v>
      </c>
      <c r="AC356" s="60">
        <v>517.69768404112301</v>
      </c>
      <c r="AD356" s="50">
        <v>12.7903027530058</v>
      </c>
      <c r="AE356" s="60">
        <v>152.30688698083301</v>
      </c>
      <c r="AF356" s="61">
        <v>1.4559275245454899</v>
      </c>
      <c r="AG356" s="61">
        <v>2.8711067611940502E-2</v>
      </c>
      <c r="AH356" s="61">
        <v>7.2376552117928601E-3</v>
      </c>
      <c r="AI356" s="61">
        <v>6.4047048003439597</v>
      </c>
      <c r="AJ356" s="65">
        <v>3.9468179841397097E-2</v>
      </c>
      <c r="AK356" s="61">
        <v>0.79425709507720998</v>
      </c>
      <c r="AL356" s="61">
        <v>1.8877795187108199</v>
      </c>
      <c r="AM356" s="61">
        <v>1.1043744721948101</v>
      </c>
      <c r="AN356" s="61">
        <v>9.0148179390501095</v>
      </c>
      <c r="AO356" s="61">
        <v>2.2590295950642498</v>
      </c>
      <c r="AP356" s="50">
        <v>19.438403853538802</v>
      </c>
      <c r="AQ356" s="61">
        <v>5.1552282047875702</v>
      </c>
      <c r="AR356" s="50">
        <v>17.0493391482545</v>
      </c>
      <c r="AS356" s="61">
        <v>2.8466430102852298</v>
      </c>
      <c r="AT356" s="50">
        <v>22.756941979002999</v>
      </c>
      <c r="AU356" s="61">
        <v>4.1012336626427999</v>
      </c>
      <c r="AV356" s="60">
        <v>10814.2197952446</v>
      </c>
      <c r="AW356" s="61">
        <v>2.04704910827106</v>
      </c>
      <c r="AX356" s="65">
        <v>9.7545750347669796E-2</v>
      </c>
      <c r="AY356" s="65">
        <v>0</v>
      </c>
      <c r="AZ356" s="63">
        <v>0</v>
      </c>
      <c r="BA356" s="65">
        <v>2.04102849210939E-3</v>
      </c>
      <c r="BB356" s="61">
        <v>38.794624279505598</v>
      </c>
      <c r="BC356" s="50">
        <v>62.468764531153802</v>
      </c>
      <c r="BD356" s="60">
        <v>385.769338465896</v>
      </c>
    </row>
    <row r="357" spans="1:56" s="41" customFormat="1" ht="12" customHeight="1">
      <c r="A357" s="38" t="s">
        <v>406</v>
      </c>
      <c r="B357" s="41" t="s">
        <v>406</v>
      </c>
      <c r="C357" s="41" t="s">
        <v>135</v>
      </c>
      <c r="D357" s="61">
        <v>38.630412157887903</v>
      </c>
      <c r="E357" s="50">
        <v>62.452822736136</v>
      </c>
      <c r="F357" s="60">
        <v>384.89520063128299</v>
      </c>
      <c r="G357" s="122">
        <f t="shared" si="10"/>
        <v>0.16225929196753938</v>
      </c>
      <c r="H357" s="65">
        <v>4.0441188476482301E-2</v>
      </c>
      <c r="I357" s="62">
        <v>5.9577537980439001E-2</v>
      </c>
      <c r="J357" s="62">
        <v>1.2307088517271899E-3</v>
      </c>
      <c r="K357" s="62">
        <v>0.75637382296046995</v>
      </c>
      <c r="L357" s="62">
        <v>1.6679510581078399E-2</v>
      </c>
      <c r="M357" s="62">
        <v>9.1934587767229403E-2</v>
      </c>
      <c r="N357" s="62">
        <v>8.1041417786749902E-4</v>
      </c>
      <c r="O357" s="62">
        <v>0.399743383502974</v>
      </c>
      <c r="P357" s="62">
        <v>2.72155884423546E-2</v>
      </c>
      <c r="Q357" s="62">
        <v>5.5379573640696605E-4</v>
      </c>
      <c r="R357" s="62">
        <v>4.6626587403969397</v>
      </c>
      <c r="S357" s="60">
        <v>587.06500000000005</v>
      </c>
      <c r="T357" s="69">
        <v>44.435000000000002</v>
      </c>
      <c r="U357" s="60">
        <v>571.91588139452301</v>
      </c>
      <c r="V357" s="69">
        <v>9.65048611337075</v>
      </c>
      <c r="W357" s="60">
        <v>566.96840751972297</v>
      </c>
      <c r="X357" s="69">
        <v>4.7941984050288697</v>
      </c>
      <c r="Y357" s="60">
        <v>542.73531081751298</v>
      </c>
      <c r="Z357" s="69">
        <v>10.8968808847321</v>
      </c>
      <c r="AA357" s="71">
        <f t="shared" si="11"/>
        <v>0.99131171810348406</v>
      </c>
      <c r="AB357" s="50">
        <v>32.731290000000001</v>
      </c>
      <c r="AC357" s="60">
        <v>500.98749180517899</v>
      </c>
      <c r="AD357" s="50">
        <v>11.464305273420299</v>
      </c>
      <c r="AE357" s="60">
        <v>152.48956999804099</v>
      </c>
      <c r="AF357" s="61">
        <v>1.39360681460554</v>
      </c>
      <c r="AG357" s="61">
        <v>2.4096044205692502E-2</v>
      </c>
      <c r="AH357" s="61">
        <v>8.7615586598810795E-3</v>
      </c>
      <c r="AI357" s="61">
        <v>6.3899464808150901</v>
      </c>
      <c r="AJ357" s="65">
        <v>3.9822784423475498E-2</v>
      </c>
      <c r="AK357" s="61">
        <v>0.72473014036321604</v>
      </c>
      <c r="AL357" s="61">
        <v>1.67672859830695</v>
      </c>
      <c r="AM357" s="61">
        <v>1.2316017700867801</v>
      </c>
      <c r="AN357" s="61">
        <v>9.0043213835651308</v>
      </c>
      <c r="AO357" s="61">
        <v>2.19441308324358</v>
      </c>
      <c r="AP357" s="50">
        <v>18.572647807410299</v>
      </c>
      <c r="AQ357" s="61">
        <v>4.9945903387567396</v>
      </c>
      <c r="AR357" s="50">
        <v>17.2505019070034</v>
      </c>
      <c r="AS357" s="61">
        <v>2.8561283609414101</v>
      </c>
      <c r="AT357" s="50">
        <v>22.899577753186001</v>
      </c>
      <c r="AU357" s="61">
        <v>3.9801634951515599</v>
      </c>
      <c r="AV357" s="60">
        <v>10781.139209709499</v>
      </c>
      <c r="AW357" s="61">
        <v>2.11730556914666</v>
      </c>
      <c r="AX357" s="65">
        <v>1.1578640041636499E-2</v>
      </c>
      <c r="AY357" s="65">
        <v>0</v>
      </c>
      <c r="AZ357" s="65">
        <v>4.0441188476482301E-2</v>
      </c>
      <c r="BA357" s="65">
        <v>6.1779023845976002E-3</v>
      </c>
      <c r="BB357" s="61">
        <v>38.630412157887903</v>
      </c>
      <c r="BC357" s="50">
        <v>62.452822736136</v>
      </c>
      <c r="BD357" s="60">
        <v>384.89520063128299</v>
      </c>
    </row>
    <row r="358" spans="1:56" s="41" customFormat="1" ht="12" customHeight="1">
      <c r="A358" s="38" t="s">
        <v>406</v>
      </c>
      <c r="B358" s="41" t="s">
        <v>406</v>
      </c>
      <c r="C358" s="41" t="s">
        <v>135</v>
      </c>
      <c r="D358" s="61">
        <v>37.139651021456203</v>
      </c>
      <c r="E358" s="50">
        <v>59.732508961074302</v>
      </c>
      <c r="F358" s="60">
        <v>373.54025111035702</v>
      </c>
      <c r="G358" s="122">
        <f t="shared" si="10"/>
        <v>0.15990916315850312</v>
      </c>
      <c r="H358" s="63">
        <v>0</v>
      </c>
      <c r="I358" s="62">
        <v>6.0107521579250901E-2</v>
      </c>
      <c r="J358" s="62">
        <v>1.2247574387246199E-3</v>
      </c>
      <c r="K358" s="62">
        <v>0.76693664326142097</v>
      </c>
      <c r="L358" s="62">
        <v>1.6452366166228499E-2</v>
      </c>
      <c r="M358" s="62">
        <v>9.21605195201875E-2</v>
      </c>
      <c r="N358" s="62">
        <v>8.9596304789211199E-4</v>
      </c>
      <c r="O358" s="62">
        <v>0.45318581305811301</v>
      </c>
      <c r="P358" s="62">
        <v>2.9602133095450098E-2</v>
      </c>
      <c r="Q358" s="62">
        <v>6.3635104821312897E-4</v>
      </c>
      <c r="R358" s="62">
        <v>4.5537643952149498</v>
      </c>
      <c r="S358" s="60">
        <v>609.28</v>
      </c>
      <c r="T358" s="69">
        <v>44.435000000000002</v>
      </c>
      <c r="U358" s="60">
        <v>578.00409925884605</v>
      </c>
      <c r="V358" s="69">
        <v>9.4626387275701802</v>
      </c>
      <c r="W358" s="60">
        <v>568.302094552668</v>
      </c>
      <c r="X358" s="69">
        <v>5.2972666757704303</v>
      </c>
      <c r="Y358" s="60">
        <v>589.64020351008503</v>
      </c>
      <c r="Z358" s="69">
        <v>12.492274748146</v>
      </c>
      <c r="AA358" s="71">
        <f t="shared" si="11"/>
        <v>0.98307257736448495</v>
      </c>
      <c r="AB358" s="50">
        <v>32.731290000000001</v>
      </c>
      <c r="AC358" s="60">
        <v>496.818588484597</v>
      </c>
      <c r="AD358" s="50">
        <v>11.8143695781392</v>
      </c>
      <c r="AE358" s="60">
        <v>147.37213594979701</v>
      </c>
      <c r="AF358" s="61">
        <v>1.4137878694710699</v>
      </c>
      <c r="AG358" s="61">
        <v>1.1845038473964901E-2</v>
      </c>
      <c r="AH358" s="61">
        <v>1.44422584382144E-3</v>
      </c>
      <c r="AI358" s="61">
        <v>6.1872158616604098</v>
      </c>
      <c r="AJ358" s="65">
        <v>3.2035983566305402E-2</v>
      </c>
      <c r="AK358" s="61">
        <v>0.716895760370591</v>
      </c>
      <c r="AL358" s="61">
        <v>1.62907759391296</v>
      </c>
      <c r="AM358" s="61">
        <v>1.10350460254738</v>
      </c>
      <c r="AN358" s="61">
        <v>8.5795661681272399</v>
      </c>
      <c r="AO358" s="61">
        <v>2.1794286946319699</v>
      </c>
      <c r="AP358" s="50">
        <v>18.056901377746001</v>
      </c>
      <c r="AQ358" s="61">
        <v>4.9675575714121099</v>
      </c>
      <c r="AR358" s="50">
        <v>16.4402407380827</v>
      </c>
      <c r="AS358" s="61">
        <v>2.7498722763379999</v>
      </c>
      <c r="AT358" s="50">
        <v>22.369268825809002</v>
      </c>
      <c r="AU358" s="61">
        <v>3.9555522890672998</v>
      </c>
      <c r="AV358" s="60">
        <v>10613.058669071101</v>
      </c>
      <c r="AW358" s="61">
        <v>1.95916722597719</v>
      </c>
      <c r="AX358" s="65">
        <v>1.1612176577115E-2</v>
      </c>
      <c r="AY358" s="65">
        <v>0</v>
      </c>
      <c r="AZ358" s="63">
        <v>0</v>
      </c>
      <c r="BA358" s="65">
        <v>0</v>
      </c>
      <c r="BB358" s="61">
        <v>37.139651021456203</v>
      </c>
      <c r="BC358" s="50">
        <v>59.732508961074302</v>
      </c>
      <c r="BD358" s="60">
        <v>373.54025111035702</v>
      </c>
    </row>
    <row r="359" spans="1:56" s="41" customFormat="1" ht="12" customHeight="1">
      <c r="A359" s="38" t="s">
        <v>406</v>
      </c>
      <c r="B359" s="41" t="s">
        <v>406</v>
      </c>
      <c r="C359" s="41" t="s">
        <v>135</v>
      </c>
      <c r="D359" s="61">
        <v>37.707686104300301</v>
      </c>
      <c r="E359" s="50">
        <v>61.403924160239299</v>
      </c>
      <c r="F359" s="60">
        <v>379.62266246462502</v>
      </c>
      <c r="G359" s="122">
        <f t="shared" si="10"/>
        <v>0.16174989069826989</v>
      </c>
      <c r="H359" s="63">
        <v>0</v>
      </c>
      <c r="I359" s="62">
        <v>5.9635045279231101E-2</v>
      </c>
      <c r="J359" s="62">
        <v>1.3366472712298899E-3</v>
      </c>
      <c r="K359" s="62">
        <v>0.75919701622789004</v>
      </c>
      <c r="L359" s="62">
        <v>1.7629864715945801E-2</v>
      </c>
      <c r="M359" s="62">
        <v>9.1893845750738001E-2</v>
      </c>
      <c r="N359" s="62">
        <v>7.94767969247281E-4</v>
      </c>
      <c r="O359" s="62">
        <v>0.37244267874899101</v>
      </c>
      <c r="P359" s="62">
        <v>2.8928094923701599E-2</v>
      </c>
      <c r="Q359" s="62">
        <v>6.7048213380970195E-4</v>
      </c>
      <c r="R359" s="62">
        <v>4.50357494040004</v>
      </c>
      <c r="S359" s="60">
        <v>590.77</v>
      </c>
      <c r="T359" s="69">
        <v>48.137500000000003</v>
      </c>
      <c r="U359" s="60">
        <v>573.54669661467301</v>
      </c>
      <c r="V359" s="69">
        <v>10.183174113270301</v>
      </c>
      <c r="W359" s="60">
        <v>566.72787588370602</v>
      </c>
      <c r="X359" s="69">
        <v>4.7021869513622301</v>
      </c>
      <c r="Y359" s="60">
        <v>576.40375570093704</v>
      </c>
      <c r="Z359" s="69">
        <v>13.170928165263399</v>
      </c>
      <c r="AA359" s="71">
        <f t="shared" si="11"/>
        <v>0.98804003720607969</v>
      </c>
      <c r="AB359" s="50">
        <v>32.731290000000001</v>
      </c>
      <c r="AC359" s="60">
        <v>524.19159933590504</v>
      </c>
      <c r="AD359" s="50">
        <v>13.1839141984014</v>
      </c>
      <c r="AE359" s="60">
        <v>152.17444950550899</v>
      </c>
      <c r="AF359" s="61">
        <v>1.4943367735967601</v>
      </c>
      <c r="AG359" s="61">
        <v>0</v>
      </c>
      <c r="AH359" s="61">
        <v>0</v>
      </c>
      <c r="AI359" s="61">
        <v>6.2585203944393504</v>
      </c>
      <c r="AJ359" s="65">
        <v>3.5291169319510998E-2</v>
      </c>
      <c r="AK359" s="61">
        <v>0.75747169538497505</v>
      </c>
      <c r="AL359" s="61">
        <v>1.96139571075942</v>
      </c>
      <c r="AM359" s="61">
        <v>1.1122452429581899</v>
      </c>
      <c r="AN359" s="61">
        <v>9.0511715704290303</v>
      </c>
      <c r="AO359" s="61">
        <v>2.2177096361828901</v>
      </c>
      <c r="AP359" s="50">
        <v>18.4479533908832</v>
      </c>
      <c r="AQ359" s="61">
        <v>5.1765823080690696</v>
      </c>
      <c r="AR359" s="50">
        <v>16.757091593771801</v>
      </c>
      <c r="AS359" s="61">
        <v>2.91856634446538</v>
      </c>
      <c r="AT359" s="50">
        <v>22.668346978749</v>
      </c>
      <c r="AU359" s="61">
        <v>4.2489005512352103</v>
      </c>
      <c r="AV359" s="60">
        <v>10880.0651017895</v>
      </c>
      <c r="AW359" s="61">
        <v>2.08815924518444</v>
      </c>
      <c r="AX359" s="65">
        <v>1.40350666034948E-2</v>
      </c>
      <c r="AY359" s="65">
        <v>0</v>
      </c>
      <c r="AZ359" s="63">
        <v>0</v>
      </c>
      <c r="BA359" s="65">
        <v>0</v>
      </c>
      <c r="BB359" s="61">
        <v>37.707686104300301</v>
      </c>
      <c r="BC359" s="50">
        <v>61.403924160239299</v>
      </c>
      <c r="BD359" s="60">
        <v>379.62266246462502</v>
      </c>
    </row>
    <row r="360" spans="1:56" s="41" customFormat="1" ht="12" customHeight="1">
      <c r="A360" s="38" t="s">
        <v>406</v>
      </c>
      <c r="B360" s="41" t="s">
        <v>406</v>
      </c>
      <c r="C360" s="41" t="s">
        <v>135</v>
      </c>
      <c r="D360" s="61">
        <v>38.072337132392299</v>
      </c>
      <c r="E360" s="50">
        <v>61.377593370765403</v>
      </c>
      <c r="F360" s="60">
        <v>384.62276212642098</v>
      </c>
      <c r="G360" s="122">
        <f t="shared" si="10"/>
        <v>0.15957868180092605</v>
      </c>
      <c r="H360" s="63">
        <v>0</v>
      </c>
      <c r="I360" s="62">
        <v>5.8171078563747099E-2</v>
      </c>
      <c r="J360" s="62">
        <v>1.8729360850199999E-3</v>
      </c>
      <c r="K360" s="62">
        <v>0.73372047042784605</v>
      </c>
      <c r="L360" s="62">
        <v>1.49508032521103E-2</v>
      </c>
      <c r="M360" s="62">
        <v>9.1436882288034593E-2</v>
      </c>
      <c r="N360" s="62">
        <v>7.4503977458862997E-4</v>
      </c>
      <c r="O360" s="62">
        <v>0.39987491289548299</v>
      </c>
      <c r="P360" s="62">
        <v>2.8958516091910001E-2</v>
      </c>
      <c r="Q360" s="62">
        <v>6.0841364322418196E-4</v>
      </c>
      <c r="R360" s="62">
        <v>4.5326555018978496</v>
      </c>
      <c r="S360" s="60">
        <v>600.02499999999998</v>
      </c>
      <c r="T360" s="69">
        <v>70.357500000000002</v>
      </c>
      <c r="U360" s="60">
        <v>558.73448779459397</v>
      </c>
      <c r="V360" s="69">
        <v>8.7644327847071395</v>
      </c>
      <c r="W360" s="60">
        <v>564.02945209306097</v>
      </c>
      <c r="X360" s="69">
        <v>4.4109976616059798</v>
      </c>
      <c r="Y360" s="60">
        <v>577.00133925750799</v>
      </c>
      <c r="Z360" s="69">
        <v>11.9513035026167</v>
      </c>
      <c r="AA360" s="71">
        <f t="shared" si="11"/>
        <v>0.99056798297423621</v>
      </c>
      <c r="AB360" s="50">
        <v>32.731290000000001</v>
      </c>
      <c r="AC360" s="60">
        <v>498.85467894342401</v>
      </c>
      <c r="AD360" s="50">
        <v>13.0188377450737</v>
      </c>
      <c r="AE360" s="60">
        <v>151.45213700349899</v>
      </c>
      <c r="AF360" s="61">
        <v>1.3451592050613701</v>
      </c>
      <c r="AG360" s="61">
        <v>1.22209581772811E-2</v>
      </c>
      <c r="AH360" s="61">
        <v>1.4722223618720701E-3</v>
      </c>
      <c r="AI360" s="61">
        <v>6.4591428985147301</v>
      </c>
      <c r="AJ360" s="65">
        <v>3.6557695854187999E-2</v>
      </c>
      <c r="AK360" s="61">
        <v>0.62580618423622403</v>
      </c>
      <c r="AL360" s="61">
        <v>1.79708217858437</v>
      </c>
      <c r="AM360" s="61">
        <v>1.1064720295781401</v>
      </c>
      <c r="AN360" s="61">
        <v>9.1978668981449694</v>
      </c>
      <c r="AO360" s="61">
        <v>2.1988810038522302</v>
      </c>
      <c r="AP360" s="50">
        <v>18.563738210979899</v>
      </c>
      <c r="AQ360" s="61">
        <v>5.2146629832413103</v>
      </c>
      <c r="AR360" s="50">
        <v>17.1634410004554</v>
      </c>
      <c r="AS360" s="61">
        <v>2.9145816242771798</v>
      </c>
      <c r="AT360" s="50">
        <v>23.7105978454852</v>
      </c>
      <c r="AU360" s="61">
        <v>3.97641756284977</v>
      </c>
      <c r="AV360" s="60">
        <v>10825.668493167501</v>
      </c>
      <c r="AW360" s="61">
        <v>2.0174684632748701</v>
      </c>
      <c r="AX360" s="65">
        <v>0</v>
      </c>
      <c r="AY360" s="65">
        <v>0</v>
      </c>
      <c r="AZ360" s="63">
        <v>0</v>
      </c>
      <c r="BA360" s="65">
        <v>0</v>
      </c>
      <c r="BB360" s="61">
        <v>38.072337132392299</v>
      </c>
      <c r="BC360" s="50">
        <v>61.377593370765403</v>
      </c>
      <c r="BD360" s="60">
        <v>384.62276212642098</v>
      </c>
    </row>
    <row r="361" spans="1:56" s="41" customFormat="1" ht="12" customHeight="1">
      <c r="A361" s="38" t="s">
        <v>406</v>
      </c>
      <c r="B361" s="41" t="s">
        <v>406</v>
      </c>
      <c r="C361" s="41" t="s">
        <v>135</v>
      </c>
      <c r="D361" s="61">
        <v>37.642223570274702</v>
      </c>
      <c r="E361" s="50">
        <v>60.472192206150197</v>
      </c>
      <c r="F361" s="60">
        <v>378.17919566117899</v>
      </c>
      <c r="G361" s="122">
        <f t="shared" si="10"/>
        <v>0.15990354017339672</v>
      </c>
      <c r="H361" s="65">
        <v>3.0967894455155999E-2</v>
      </c>
      <c r="I361" s="62">
        <v>6.0823235799032302E-2</v>
      </c>
      <c r="J361" s="62">
        <v>1.3426293445447401E-3</v>
      </c>
      <c r="K361" s="62">
        <v>0.77435884664645904</v>
      </c>
      <c r="L361" s="62">
        <v>1.6590155551848201E-2</v>
      </c>
      <c r="M361" s="62">
        <v>9.1953122980074894E-2</v>
      </c>
      <c r="N361" s="62">
        <v>7.35308151185184E-4</v>
      </c>
      <c r="O361" s="62">
        <v>0.37324560529950301</v>
      </c>
      <c r="P361" s="62">
        <v>2.8941852731290799E-2</v>
      </c>
      <c r="Q361" s="62">
        <v>6.5317963772923903E-4</v>
      </c>
      <c r="R361" s="62">
        <v>4.5173044843180703</v>
      </c>
      <c r="S361" s="60">
        <v>631.5</v>
      </c>
      <c r="T361" s="69">
        <v>48.14</v>
      </c>
      <c r="U361" s="60">
        <v>582.26038941693503</v>
      </c>
      <c r="V361" s="69">
        <v>9.5020271886699206</v>
      </c>
      <c r="W361" s="60">
        <v>567.07783224735101</v>
      </c>
      <c r="X361" s="69">
        <v>4.3517255595461402</v>
      </c>
      <c r="Y361" s="60">
        <v>576.67401179712203</v>
      </c>
      <c r="Z361" s="69">
        <v>12.830866960829299</v>
      </c>
      <c r="AA361" s="71">
        <f t="shared" si="11"/>
        <v>0.9735803493116254</v>
      </c>
      <c r="AB361" s="50">
        <v>32.731290000000001</v>
      </c>
      <c r="AC361" s="60">
        <v>498.19503168370898</v>
      </c>
      <c r="AD361" s="50">
        <v>11.6117223579013</v>
      </c>
      <c r="AE361" s="60">
        <v>148.79243002089601</v>
      </c>
      <c r="AF361" s="61">
        <v>1.3748563706657599</v>
      </c>
      <c r="AG361" s="61">
        <v>1.18741784187973E-2</v>
      </c>
      <c r="AH361" s="61">
        <v>1.4305593518992099E-3</v>
      </c>
      <c r="AI361" s="61">
        <v>6.2961641835161002</v>
      </c>
      <c r="AJ361" s="65">
        <v>3.2159304073325998E-2</v>
      </c>
      <c r="AK361" s="61">
        <v>0.61946239155157501</v>
      </c>
      <c r="AL361" s="61">
        <v>1.76752860680835</v>
      </c>
      <c r="AM361" s="61">
        <v>1.06828060684412</v>
      </c>
      <c r="AN361" s="61">
        <v>8.3972453973592192</v>
      </c>
      <c r="AO361" s="61">
        <v>2.1480228811375399</v>
      </c>
      <c r="AP361" s="50">
        <v>18.9599582870365</v>
      </c>
      <c r="AQ361" s="61">
        <v>4.9483032763207397</v>
      </c>
      <c r="AR361" s="50">
        <v>16.724880754296301</v>
      </c>
      <c r="AS361" s="61">
        <v>3.0331845283611898</v>
      </c>
      <c r="AT361" s="50">
        <v>22.818724048739998</v>
      </c>
      <c r="AU361" s="61">
        <v>4.0026824252172197</v>
      </c>
      <c r="AV361" s="60">
        <v>10737.7289239036</v>
      </c>
      <c r="AW361" s="61">
        <v>1.9734760316816</v>
      </c>
      <c r="AX361" s="65">
        <v>5.7673265750159901E-2</v>
      </c>
      <c r="AY361" s="65">
        <v>0</v>
      </c>
      <c r="AZ361" s="65">
        <v>3.0967894455155999E-2</v>
      </c>
      <c r="BA361" s="65">
        <v>8.3889484736505504E-4</v>
      </c>
      <c r="BB361" s="61">
        <v>37.642223570274702</v>
      </c>
      <c r="BC361" s="50">
        <v>60.472192206150197</v>
      </c>
      <c r="BD361" s="60">
        <v>378.17919566117899</v>
      </c>
    </row>
    <row r="362" spans="1:56" s="41" customFormat="1" ht="12" customHeight="1">
      <c r="A362" s="38" t="s">
        <v>406</v>
      </c>
      <c r="B362" s="41" t="s">
        <v>406</v>
      </c>
      <c r="C362" s="41" t="s">
        <v>135</v>
      </c>
      <c r="D362" s="61">
        <v>37.138831508286501</v>
      </c>
      <c r="E362" s="50">
        <v>59.986349313266999</v>
      </c>
      <c r="F362" s="60">
        <v>370.63364129962901</v>
      </c>
      <c r="G362" s="122">
        <f t="shared" si="10"/>
        <v>0.16184809641921472</v>
      </c>
      <c r="H362" s="65">
        <v>1.11647181764499E-2</v>
      </c>
      <c r="I362" s="62">
        <v>5.8622909829143102E-2</v>
      </c>
      <c r="J362" s="62">
        <v>1.2436296459594699E-3</v>
      </c>
      <c r="K362" s="62">
        <v>0.74698494887186595</v>
      </c>
      <c r="L362" s="62">
        <v>1.5018971378544001E-2</v>
      </c>
      <c r="M362" s="62">
        <v>9.2007430453147396E-2</v>
      </c>
      <c r="N362" s="62">
        <v>7.2653403207037796E-4</v>
      </c>
      <c r="O362" s="62">
        <v>0.39273962552347103</v>
      </c>
      <c r="P362" s="62">
        <v>2.88724369440071E-2</v>
      </c>
      <c r="Q362" s="62">
        <v>6.3515831700848005E-4</v>
      </c>
      <c r="R362" s="62">
        <v>4.51116712080987</v>
      </c>
      <c r="S362" s="60">
        <v>553.74</v>
      </c>
      <c r="T362" s="69">
        <v>46.287500000000001</v>
      </c>
      <c r="U362" s="60">
        <v>566.47348906013895</v>
      </c>
      <c r="V362" s="69">
        <v>8.7378253424741992</v>
      </c>
      <c r="W362" s="60">
        <v>567.39843187002305</v>
      </c>
      <c r="X362" s="69">
        <v>4.2998565095650898</v>
      </c>
      <c r="Y362" s="60">
        <v>575.31038267413305</v>
      </c>
      <c r="Z362" s="69">
        <v>12.4777032714681</v>
      </c>
      <c r="AA362" s="71">
        <f t="shared" si="11"/>
        <v>0.99836852330001202</v>
      </c>
      <c r="AB362" s="50">
        <v>32.731290000000001</v>
      </c>
      <c r="AC362" s="60">
        <v>455.23327296759498</v>
      </c>
      <c r="AD362" s="50">
        <v>12.928567409621101</v>
      </c>
      <c r="AE362" s="60">
        <v>147.609381181858</v>
      </c>
      <c r="AF362" s="61">
        <v>1.4129575876835601</v>
      </c>
      <c r="AG362" s="61">
        <v>0</v>
      </c>
      <c r="AH362" s="61">
        <v>4.5099314186326797E-3</v>
      </c>
      <c r="AI362" s="61">
        <v>6.0660808799742396</v>
      </c>
      <c r="AJ362" s="65">
        <v>2.8366819917885699E-2</v>
      </c>
      <c r="AK362" s="61">
        <v>0.69127421668185096</v>
      </c>
      <c r="AL362" s="61">
        <v>1.92282848408674</v>
      </c>
      <c r="AM362" s="61">
        <v>1.10972283304884</v>
      </c>
      <c r="AN362" s="61">
        <v>8.9561528142206193</v>
      </c>
      <c r="AO362" s="61">
        <v>2.0419223372256501</v>
      </c>
      <c r="AP362" s="50">
        <v>18.299309642244101</v>
      </c>
      <c r="AQ362" s="61">
        <v>5.0197242374133797</v>
      </c>
      <c r="AR362" s="50">
        <v>16.5872782421967</v>
      </c>
      <c r="AS362" s="61">
        <v>2.88723136799022</v>
      </c>
      <c r="AT362" s="50">
        <v>22.503142310808801</v>
      </c>
      <c r="AU362" s="61">
        <v>3.93839798717705</v>
      </c>
      <c r="AV362" s="60">
        <v>10415.605153640699</v>
      </c>
      <c r="AW362" s="61">
        <v>2.07527323062182</v>
      </c>
      <c r="AX362" s="65">
        <v>6.0108819413554797E-3</v>
      </c>
      <c r="AY362" s="65">
        <v>0</v>
      </c>
      <c r="AZ362" s="65">
        <v>1.11647181764499E-2</v>
      </c>
      <c r="BA362" s="65">
        <v>0</v>
      </c>
      <c r="BB362" s="61">
        <v>37.138831508286501</v>
      </c>
      <c r="BC362" s="50">
        <v>59.986349313266999</v>
      </c>
      <c r="BD362" s="60">
        <v>370.63364129962901</v>
      </c>
    </row>
    <row r="363" spans="1:56" s="41" customFormat="1" ht="12" customHeight="1">
      <c r="A363" s="38" t="s">
        <v>406</v>
      </c>
      <c r="B363" s="41" t="s">
        <v>406</v>
      </c>
      <c r="C363" s="41" t="s">
        <v>135</v>
      </c>
      <c r="D363" s="61">
        <v>37.467601879125802</v>
      </c>
      <c r="E363" s="50">
        <v>60.332673466505803</v>
      </c>
      <c r="F363" s="60">
        <v>373.92867130292097</v>
      </c>
      <c r="G363" s="122">
        <f t="shared" si="10"/>
        <v>0.16134808078846161</v>
      </c>
      <c r="H363" s="65">
        <v>9.1675021125158004E-2</v>
      </c>
      <c r="I363" s="62">
        <v>5.78357934221038E-2</v>
      </c>
      <c r="J363" s="62">
        <v>1.2590701466259401E-3</v>
      </c>
      <c r="K363" s="62">
        <v>0.73870226001539996</v>
      </c>
      <c r="L363" s="62">
        <v>1.5357889254480599E-2</v>
      </c>
      <c r="M363" s="62">
        <v>9.2157455380881298E-2</v>
      </c>
      <c r="N363" s="62">
        <v>7.4242401242032702E-4</v>
      </c>
      <c r="O363" s="62">
        <v>0.38748904739783002</v>
      </c>
      <c r="P363" s="62">
        <v>2.78979451182601E-2</v>
      </c>
      <c r="Q363" s="62">
        <v>6.7001800765725599E-4</v>
      </c>
      <c r="R363" s="62">
        <v>4.5278810582603803</v>
      </c>
      <c r="S363" s="60">
        <v>524.11</v>
      </c>
      <c r="T363" s="69">
        <v>48.142499999999998</v>
      </c>
      <c r="U363" s="60">
        <v>561.64797419030901</v>
      </c>
      <c r="V363" s="69">
        <v>8.9769669018537304</v>
      </c>
      <c r="W363" s="60">
        <v>568.28400862259105</v>
      </c>
      <c r="X363" s="69">
        <v>4.3928587928185099</v>
      </c>
      <c r="Y363" s="60">
        <v>556.15739116881502</v>
      </c>
      <c r="Z363" s="69">
        <v>13.1750015319901</v>
      </c>
      <c r="AA363" s="71">
        <f t="shared" si="11"/>
        <v>0.98825409930292973</v>
      </c>
      <c r="AB363" s="50">
        <v>32.731290000000001</v>
      </c>
      <c r="AC363" s="60">
        <v>469.07760924372798</v>
      </c>
      <c r="AD363" s="50">
        <v>12.779034978727401</v>
      </c>
      <c r="AE363" s="60">
        <v>148.495998527225</v>
      </c>
      <c r="AF363" s="61">
        <v>1.42653946427967</v>
      </c>
      <c r="AG363" s="61">
        <v>1.24601505312876E-2</v>
      </c>
      <c r="AH363" s="61">
        <v>8.6023349980130501E-4</v>
      </c>
      <c r="AI363" s="61">
        <v>6.2334392068388</v>
      </c>
      <c r="AJ363" s="65">
        <v>2.56375405294803E-2</v>
      </c>
      <c r="AK363" s="61">
        <v>0.70247791282713101</v>
      </c>
      <c r="AL363" s="61">
        <v>1.9041343236735699</v>
      </c>
      <c r="AM363" s="61">
        <v>1.07718858476418</v>
      </c>
      <c r="AN363" s="61">
        <v>8.32618457753534</v>
      </c>
      <c r="AO363" s="61">
        <v>2.1677535385153899</v>
      </c>
      <c r="AP363" s="50">
        <v>18.696302672456302</v>
      </c>
      <c r="AQ363" s="61">
        <v>4.9916940889148496</v>
      </c>
      <c r="AR363" s="50">
        <v>16.608935679662601</v>
      </c>
      <c r="AS363" s="61">
        <v>2.7504018632232601</v>
      </c>
      <c r="AT363" s="50">
        <v>21.223323895558199</v>
      </c>
      <c r="AU363" s="61">
        <v>3.8888711789877402</v>
      </c>
      <c r="AV363" s="60">
        <v>10542.823416254099</v>
      </c>
      <c r="AW363" s="61">
        <v>2.0606979994214001</v>
      </c>
      <c r="AX363" s="65">
        <v>6.04473709713049E-3</v>
      </c>
      <c r="AY363" s="65">
        <v>0</v>
      </c>
      <c r="AZ363" s="65">
        <v>9.1675021125158004E-2</v>
      </c>
      <c r="BA363" s="65">
        <v>0</v>
      </c>
      <c r="BB363" s="61">
        <v>37.467601879125802</v>
      </c>
      <c r="BC363" s="50">
        <v>60.332673466505803</v>
      </c>
      <c r="BD363" s="60">
        <v>373.92867130292097</v>
      </c>
    </row>
    <row r="364" spans="1:56" s="41" customFormat="1" ht="12" customHeight="1">
      <c r="A364" s="38" t="s">
        <v>406</v>
      </c>
      <c r="B364" s="41" t="s">
        <v>406</v>
      </c>
      <c r="C364" s="41" t="s">
        <v>135</v>
      </c>
      <c r="D364" s="61">
        <v>38.8807895072854</v>
      </c>
      <c r="E364" s="50">
        <v>62.4820052901037</v>
      </c>
      <c r="F364" s="60">
        <v>381.62102084781799</v>
      </c>
      <c r="G364" s="122">
        <f t="shared" si="10"/>
        <v>0.16372789200996382</v>
      </c>
      <c r="H364" s="61">
        <v>0.31403079128605299</v>
      </c>
      <c r="I364" s="62">
        <v>5.8907156070501399E-2</v>
      </c>
      <c r="J364" s="62">
        <v>1.21230756785838E-3</v>
      </c>
      <c r="K364" s="62">
        <v>0.74944891850822204</v>
      </c>
      <c r="L364" s="62">
        <v>1.52491082113699E-2</v>
      </c>
      <c r="M364" s="62">
        <v>9.1808926701421004E-2</v>
      </c>
      <c r="N364" s="62">
        <v>6.8890009808308798E-4</v>
      </c>
      <c r="O364" s="62">
        <v>0.36878133084502301</v>
      </c>
      <c r="P364" s="62">
        <v>2.83836848949349E-2</v>
      </c>
      <c r="Q364" s="62">
        <v>6.7140232229937001E-4</v>
      </c>
      <c r="R364" s="62">
        <v>4.4506807388178196</v>
      </c>
      <c r="S364" s="60">
        <v>564.85</v>
      </c>
      <c r="T364" s="69">
        <v>46.287500000000001</v>
      </c>
      <c r="U364" s="60">
        <v>567.90458915901002</v>
      </c>
      <c r="V364" s="69">
        <v>8.8590286003771599</v>
      </c>
      <c r="W364" s="60">
        <v>566.22650420342904</v>
      </c>
      <c r="X364" s="69">
        <v>4.07897853101493</v>
      </c>
      <c r="Y364" s="60">
        <v>565.70655345042599</v>
      </c>
      <c r="Z364" s="69">
        <v>13.1959863664799</v>
      </c>
      <c r="AA364" s="71">
        <f t="shared" si="11"/>
        <v>0.99704075663668501</v>
      </c>
      <c r="AB364" s="50">
        <v>32.731290000000001</v>
      </c>
      <c r="AC364" s="60">
        <v>481.30022258388902</v>
      </c>
      <c r="AD364" s="50">
        <v>15.361520219921401</v>
      </c>
      <c r="AE364" s="60">
        <v>151.98175570467001</v>
      </c>
      <c r="AF364" s="61">
        <v>1.3178111298065101</v>
      </c>
      <c r="AG364" s="61">
        <v>4.39760205094369E-2</v>
      </c>
      <c r="AH364" s="61">
        <v>1.4770147296846001E-3</v>
      </c>
      <c r="AI364" s="61">
        <v>6.1915818226618597</v>
      </c>
      <c r="AJ364" s="65">
        <v>3.1720350203098199E-2</v>
      </c>
      <c r="AK364" s="61">
        <v>0.59616150425900905</v>
      </c>
      <c r="AL364" s="61">
        <v>1.8829536936739799</v>
      </c>
      <c r="AM364" s="61">
        <v>1.2368049852106999</v>
      </c>
      <c r="AN364" s="61">
        <v>8.7749524396283505</v>
      </c>
      <c r="AO364" s="61">
        <v>2.19143086523093</v>
      </c>
      <c r="AP364" s="50">
        <v>18.598557053498599</v>
      </c>
      <c r="AQ364" s="61">
        <v>5.1266536314962297</v>
      </c>
      <c r="AR364" s="50">
        <v>16.957863598998699</v>
      </c>
      <c r="AS364" s="61">
        <v>2.9399759039356699</v>
      </c>
      <c r="AT364" s="50">
        <v>22.257451632917501</v>
      </c>
      <c r="AU364" s="61">
        <v>3.9459804010959498</v>
      </c>
      <c r="AV364" s="60">
        <v>10739.2871596526</v>
      </c>
      <c r="AW364" s="61">
        <v>2.0753419058064102</v>
      </c>
      <c r="AX364" s="65">
        <v>0</v>
      </c>
      <c r="AY364" s="65">
        <v>0</v>
      </c>
      <c r="AZ364" s="61">
        <v>0.31403079128605299</v>
      </c>
      <c r="BA364" s="65">
        <v>3.36599509560986E-3</v>
      </c>
      <c r="BB364" s="61">
        <v>38.8807895072854</v>
      </c>
      <c r="BC364" s="50">
        <v>62.4820052901037</v>
      </c>
      <c r="BD364" s="60">
        <v>381.62102084781799</v>
      </c>
    </row>
    <row r="365" spans="1:56" s="41" customFormat="1" ht="12" customHeight="1">
      <c r="A365" s="38" t="s">
        <v>406</v>
      </c>
      <c r="B365" s="41" t="s">
        <v>406</v>
      </c>
      <c r="C365" s="41" t="s">
        <v>135</v>
      </c>
      <c r="D365" s="61">
        <v>38.652035950901301</v>
      </c>
      <c r="E365" s="50">
        <v>61.885349808129497</v>
      </c>
      <c r="F365" s="60">
        <v>380.397364496612</v>
      </c>
      <c r="G365" s="122">
        <f t="shared" si="10"/>
        <v>0.16268606353260021</v>
      </c>
      <c r="H365" s="65">
        <v>3.0676984829780402E-2</v>
      </c>
      <c r="I365" s="62">
        <v>5.83073778421914E-2</v>
      </c>
      <c r="J365" s="62">
        <v>1.25545111238048E-3</v>
      </c>
      <c r="K365" s="62">
        <v>0.73913095523925398</v>
      </c>
      <c r="L365" s="62">
        <v>1.51293068299291E-2</v>
      </c>
      <c r="M365" s="62">
        <v>9.1614637469403903E-2</v>
      </c>
      <c r="N365" s="62">
        <v>7.4637064828531898E-4</v>
      </c>
      <c r="O365" s="62">
        <v>0.39800822327063501</v>
      </c>
      <c r="P365" s="62">
        <v>2.84874949827633E-2</v>
      </c>
      <c r="Q365" s="62">
        <v>6.6106500244978404E-4</v>
      </c>
      <c r="R365" s="62">
        <v>4.46739761362781</v>
      </c>
      <c r="S365" s="60">
        <v>542.63</v>
      </c>
      <c r="T365" s="69">
        <v>46.29</v>
      </c>
      <c r="U365" s="60">
        <v>561.89829664143099</v>
      </c>
      <c r="V365" s="69">
        <v>8.8414314374615497</v>
      </c>
      <c r="W365" s="60">
        <v>565.07925189328103</v>
      </c>
      <c r="X365" s="69">
        <v>4.4181625317692799</v>
      </c>
      <c r="Y365" s="60">
        <v>567.74677184381301</v>
      </c>
      <c r="Z365" s="69">
        <v>12.9915014822645</v>
      </c>
      <c r="AA365" s="71">
        <f t="shared" si="11"/>
        <v>0.99435489153091672</v>
      </c>
      <c r="AB365" s="50">
        <v>32.731290000000001</v>
      </c>
      <c r="AC365" s="60">
        <v>455.21714688778599</v>
      </c>
      <c r="AD365" s="50">
        <v>12.4584202183231</v>
      </c>
      <c r="AE365" s="60">
        <v>150.24635188427999</v>
      </c>
      <c r="AF365" s="61">
        <v>1.3249366259399999</v>
      </c>
      <c r="AG365" s="61">
        <v>1.2368605429951E-2</v>
      </c>
      <c r="AH365" s="61">
        <v>2.9652404476403502E-3</v>
      </c>
      <c r="AI365" s="61">
        <v>6.2534828821981598</v>
      </c>
      <c r="AJ365" s="65">
        <v>2.4767334307556899E-2</v>
      </c>
      <c r="AK365" s="61">
        <v>0.61306061334684803</v>
      </c>
      <c r="AL365" s="61">
        <v>1.8227537446775399</v>
      </c>
      <c r="AM365" s="61">
        <v>1.1504737478150699</v>
      </c>
      <c r="AN365" s="61">
        <v>8.7102158112122101</v>
      </c>
      <c r="AO365" s="61">
        <v>2.1373202778618898</v>
      </c>
      <c r="AP365" s="50">
        <v>18.628046957006699</v>
      </c>
      <c r="AQ365" s="61">
        <v>4.8604745142157304</v>
      </c>
      <c r="AR365" s="50">
        <v>16.551748639153299</v>
      </c>
      <c r="AS365" s="61">
        <v>2.91331795964589</v>
      </c>
      <c r="AT365" s="50">
        <v>22.130918958273899</v>
      </c>
      <c r="AU365" s="61">
        <v>3.9366732203932902</v>
      </c>
      <c r="AV365" s="60">
        <v>10580.0115432573</v>
      </c>
      <c r="AW365" s="61">
        <v>1.9627886024011401</v>
      </c>
      <c r="AX365" s="65">
        <v>1.2036558490238001E-2</v>
      </c>
      <c r="AY365" s="65">
        <v>0</v>
      </c>
      <c r="AZ365" s="65">
        <v>3.0676984829780402E-2</v>
      </c>
      <c r="BA365" s="65">
        <v>3.43194508722476E-3</v>
      </c>
      <c r="BB365" s="61">
        <v>38.652035950901301</v>
      </c>
      <c r="BC365" s="50">
        <v>61.885349808129497</v>
      </c>
      <c r="BD365" s="60">
        <v>380.397364496612</v>
      </c>
    </row>
    <row r="366" spans="1:56" s="41" customFormat="1" ht="12" customHeight="1">
      <c r="A366" s="38" t="s">
        <v>406</v>
      </c>
      <c r="B366" s="41" t="s">
        <v>406</v>
      </c>
      <c r="C366" s="41" t="s">
        <v>135</v>
      </c>
      <c r="D366" s="61">
        <v>38.891611290622002</v>
      </c>
      <c r="E366" s="50">
        <v>63.072666471787898</v>
      </c>
      <c r="F366" s="60">
        <v>379.70959895883101</v>
      </c>
      <c r="G366" s="122">
        <f t="shared" si="10"/>
        <v>0.16610764290587865</v>
      </c>
      <c r="H366" s="61">
        <v>0.217650509693675</v>
      </c>
      <c r="I366" s="62">
        <v>5.8037381183390697E-2</v>
      </c>
      <c r="J366" s="62">
        <v>1.2883167383101401E-3</v>
      </c>
      <c r="K366" s="62">
        <v>0.73748074608763103</v>
      </c>
      <c r="L366" s="62">
        <v>1.67527282456118E-2</v>
      </c>
      <c r="M366" s="62">
        <v>9.2136282159456295E-2</v>
      </c>
      <c r="N366" s="62">
        <v>6.5742753706129402E-4</v>
      </c>
      <c r="O366" s="62">
        <v>0.31411042464515798</v>
      </c>
      <c r="P366" s="62">
        <v>2.7634101061605E-2</v>
      </c>
      <c r="Q366" s="62">
        <v>6.7270218268435295E-4</v>
      </c>
      <c r="R366" s="62">
        <v>4.3906341828719997</v>
      </c>
      <c r="S366" s="60">
        <v>531.52</v>
      </c>
      <c r="T366" s="69">
        <v>52.77</v>
      </c>
      <c r="U366" s="60">
        <v>560.934372754224</v>
      </c>
      <c r="V366" s="69">
        <v>9.7977153436480702</v>
      </c>
      <c r="W366" s="60">
        <v>568.15903334794405</v>
      </c>
      <c r="X366" s="69">
        <v>3.89262369247774</v>
      </c>
      <c r="Y366" s="60">
        <v>550.96858725421305</v>
      </c>
      <c r="Z366" s="69">
        <v>13.231178438244401</v>
      </c>
      <c r="AA366" s="71">
        <f t="shared" si="11"/>
        <v>0.98720272290197697</v>
      </c>
      <c r="AB366" s="50">
        <v>32.731290000000001</v>
      </c>
      <c r="AC366" s="60">
        <v>444.745345860101</v>
      </c>
      <c r="AD366" s="50">
        <v>12.544709738001099</v>
      </c>
      <c r="AE366" s="60">
        <v>151.42721139717801</v>
      </c>
      <c r="AF366" s="61">
        <v>1.26070093234394</v>
      </c>
      <c r="AG366" s="61">
        <v>1.34437965488399E-2</v>
      </c>
      <c r="AH366" s="61">
        <v>0</v>
      </c>
      <c r="AI366" s="61">
        <v>6.2334441223973398</v>
      </c>
      <c r="AJ366" s="65">
        <v>3.2222989356052799E-2</v>
      </c>
      <c r="AK366" s="61">
        <v>0.71935057799388902</v>
      </c>
      <c r="AL366" s="61">
        <v>2.2122969659163099</v>
      </c>
      <c r="AM366" s="61">
        <v>1.23754349386368</v>
      </c>
      <c r="AN366" s="61">
        <v>9.1846602682512906</v>
      </c>
      <c r="AO366" s="61">
        <v>2.2956658934115701</v>
      </c>
      <c r="AP366" s="50">
        <v>19.075374164628201</v>
      </c>
      <c r="AQ366" s="61">
        <v>5.1656253860418699</v>
      </c>
      <c r="AR366" s="50">
        <v>16.5518369176669</v>
      </c>
      <c r="AS366" s="61">
        <v>2.8250256018704598</v>
      </c>
      <c r="AT366" s="50">
        <v>23.2580264969166</v>
      </c>
      <c r="AU366" s="61">
        <v>3.8798502533519299</v>
      </c>
      <c r="AV366" s="60">
        <v>10520.869219750701</v>
      </c>
      <c r="AW366" s="61">
        <v>2.0123444504519701</v>
      </c>
      <c r="AX366" s="65">
        <v>0</v>
      </c>
      <c r="AY366" s="65">
        <v>0</v>
      </c>
      <c r="AZ366" s="61">
        <v>0.217650509693675</v>
      </c>
      <c r="BA366" s="65">
        <v>2.7047382503560399E-4</v>
      </c>
      <c r="BB366" s="61">
        <v>38.891611290622002</v>
      </c>
      <c r="BC366" s="50">
        <v>63.072666471787898</v>
      </c>
      <c r="BD366" s="60">
        <v>379.70959895883101</v>
      </c>
    </row>
    <row r="367" spans="1:56" s="41" customFormat="1" ht="12" customHeight="1">
      <c r="A367" s="92" t="s">
        <v>406</v>
      </c>
      <c r="B367" s="93" t="s">
        <v>406</v>
      </c>
      <c r="C367" s="93" t="s">
        <v>135</v>
      </c>
      <c r="D367" s="94">
        <v>38.728418203720103</v>
      </c>
      <c r="E367" s="95">
        <v>62.572646358785697</v>
      </c>
      <c r="F367" s="96">
        <v>380.826435938602</v>
      </c>
      <c r="G367" s="125">
        <f t="shared" si="10"/>
        <v>0.16430751768733262</v>
      </c>
      <c r="H367" s="97">
        <v>4.2635470331140797E-2</v>
      </c>
      <c r="I367" s="98">
        <v>5.9459516095784801E-2</v>
      </c>
      <c r="J367" s="98">
        <v>1.2803316014062E-3</v>
      </c>
      <c r="K367" s="98">
        <v>0.74961590094868602</v>
      </c>
      <c r="L367" s="98">
        <v>1.6452452375841399E-2</v>
      </c>
      <c r="M367" s="98">
        <v>9.1479923342223199E-2</v>
      </c>
      <c r="N367" s="98">
        <v>7.0187078520826804E-4</v>
      </c>
      <c r="O367" s="98">
        <v>0.34957432004225603</v>
      </c>
      <c r="P367" s="98">
        <v>2.6922073665266801E-2</v>
      </c>
      <c r="Q367" s="98">
        <v>6.6241782897581605E-4</v>
      </c>
      <c r="R367" s="98">
        <v>4.4399668462211297</v>
      </c>
      <c r="S367" s="96">
        <v>583.36</v>
      </c>
      <c r="T367" s="99">
        <v>15.737500000000001</v>
      </c>
      <c r="U367" s="96">
        <v>568.00150141935103</v>
      </c>
      <c r="V367" s="99">
        <v>9.5559282136720896</v>
      </c>
      <c r="W367" s="96">
        <v>564.28366284580795</v>
      </c>
      <c r="X367" s="99">
        <v>4.15651913024971</v>
      </c>
      <c r="Y367" s="96">
        <v>536.95907891002605</v>
      </c>
      <c r="Z367" s="99">
        <v>13.0379322809752</v>
      </c>
      <c r="AA367" s="100">
        <f t="shared" si="11"/>
        <v>0.99343303490873536</v>
      </c>
      <c r="AB367" s="95">
        <v>32.731290000000001</v>
      </c>
      <c r="AC367" s="96">
        <v>449.20788074997398</v>
      </c>
      <c r="AD367" s="95">
        <v>11.747361360617999</v>
      </c>
      <c r="AE367" s="96">
        <v>149.351097254541</v>
      </c>
      <c r="AF367" s="94">
        <v>1.3305285274131</v>
      </c>
      <c r="AG367" s="94">
        <v>3.9256975854811398E-3</v>
      </c>
      <c r="AH367" s="94">
        <v>1.53674452019569E-3</v>
      </c>
      <c r="AI367" s="94">
        <v>6.2826656923795303</v>
      </c>
      <c r="AJ367" s="97">
        <v>3.1969742263353203E-2</v>
      </c>
      <c r="AK367" s="94">
        <v>0.68093271453287996</v>
      </c>
      <c r="AL367" s="94">
        <v>1.60921724360708</v>
      </c>
      <c r="AM367" s="94">
        <v>1.0834378029854399</v>
      </c>
      <c r="AN367" s="94">
        <v>8.2929275391692805</v>
      </c>
      <c r="AO367" s="94">
        <v>2.2301775568220399</v>
      </c>
      <c r="AP367" s="95">
        <v>18.4201825505187</v>
      </c>
      <c r="AQ367" s="94">
        <v>5.18910975869216</v>
      </c>
      <c r="AR367" s="95">
        <v>17.1722965135659</v>
      </c>
      <c r="AS367" s="94">
        <v>2.84101818779112</v>
      </c>
      <c r="AT367" s="95">
        <v>21.826589513358002</v>
      </c>
      <c r="AU367" s="94">
        <v>3.9126350988253402</v>
      </c>
      <c r="AV367" s="96">
        <v>10559.182523510601</v>
      </c>
      <c r="AW367" s="94">
        <v>2.0054874207582198</v>
      </c>
      <c r="AX367" s="97">
        <v>0</v>
      </c>
      <c r="AY367" s="97">
        <v>0</v>
      </c>
      <c r="AZ367" s="97">
        <v>4.2635470331140797E-2</v>
      </c>
      <c r="BA367" s="97">
        <v>0</v>
      </c>
      <c r="BB367" s="94">
        <v>38.728418203720103</v>
      </c>
      <c r="BC367" s="95">
        <v>62.572646358785697</v>
      </c>
      <c r="BD367" s="96">
        <v>380.826435938602</v>
      </c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3"/>
  <sheetViews>
    <sheetView zoomScaleNormal="100" workbookViewId="0"/>
  </sheetViews>
  <sheetFormatPr defaultColWidth="11" defaultRowHeight="15.95"/>
  <cols>
    <col min="1" max="1" width="13.125" style="3" customWidth="1"/>
    <col min="2" max="2" width="11.5" style="3" customWidth="1"/>
    <col min="3" max="3" width="22.875" style="3" customWidth="1"/>
    <col min="4" max="4" width="26.875" style="3" customWidth="1"/>
    <col min="5" max="5" width="24" style="3" customWidth="1"/>
    <col min="6" max="6" width="28" style="3" customWidth="1"/>
    <col min="7" max="7" width="29.625" style="3" customWidth="1"/>
    <col min="8" max="8" width="10.875" style="3"/>
    <col min="9" max="9" width="7.5" style="3" customWidth="1"/>
    <col min="10" max="10" width="8.5" style="3" customWidth="1"/>
    <col min="11" max="11" width="6.5" style="3" customWidth="1"/>
    <col min="12" max="12" width="7.5" style="3" customWidth="1"/>
    <col min="13" max="13" width="6.5" style="3" customWidth="1"/>
    <col min="14" max="15" width="7.5" style="3" customWidth="1"/>
    <col min="16" max="25" width="6.5" style="3" customWidth="1"/>
    <col min="26" max="26" width="7.5" style="3" customWidth="1"/>
    <col min="27" max="29" width="6.5" style="3" customWidth="1"/>
    <col min="30" max="30" width="8.125" style="3" customWidth="1"/>
  </cols>
  <sheetData>
    <row r="1" spans="1:31">
      <c r="A1" s="4" t="s">
        <v>407</v>
      </c>
    </row>
    <row r="2" spans="1:31" s="1" customFormat="1" ht="18">
      <c r="A2" s="5" t="s">
        <v>1</v>
      </c>
      <c r="B2" s="5" t="s">
        <v>90</v>
      </c>
      <c r="C2" s="6" t="s">
        <v>408</v>
      </c>
      <c r="D2" s="6" t="s">
        <v>409</v>
      </c>
      <c r="E2" s="6" t="s">
        <v>410</v>
      </c>
      <c r="F2" s="6" t="s">
        <v>411</v>
      </c>
      <c r="G2" s="5" t="s">
        <v>412</v>
      </c>
      <c r="H2" s="5"/>
      <c r="I2" s="5" t="s">
        <v>58</v>
      </c>
      <c r="J2" s="5" t="s">
        <v>60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83</v>
      </c>
      <c r="AC2" s="5" t="s">
        <v>84</v>
      </c>
      <c r="AD2" s="5" t="s">
        <v>413</v>
      </c>
      <c r="AE2" s="32"/>
    </row>
    <row r="3" spans="1:31" s="2" customFormat="1">
      <c r="A3" s="23" t="s">
        <v>16</v>
      </c>
      <c r="B3" s="8" t="s">
        <v>120</v>
      </c>
      <c r="C3" s="9">
        <v>1.5841971348416599</v>
      </c>
      <c r="D3" s="9">
        <v>0.170031864381161</v>
      </c>
      <c r="E3" s="9">
        <v>0.29981519827249697</v>
      </c>
      <c r="F3" s="9">
        <v>2.3672118648377601E-2</v>
      </c>
      <c r="G3" s="9">
        <v>8.3822355002834498E-2</v>
      </c>
      <c r="H3" s="8"/>
      <c r="I3" s="31">
        <v>578.37312412543395</v>
      </c>
      <c r="J3" s="31">
        <v>1119.7444205828399</v>
      </c>
      <c r="K3" s="31">
        <v>9.6061938948090493</v>
      </c>
      <c r="L3" s="31">
        <v>46.1020363963977</v>
      </c>
      <c r="M3" s="31">
        <v>8.9117551305288796</v>
      </c>
      <c r="N3" s="31">
        <v>48.344378432286398</v>
      </c>
      <c r="O3" s="31">
        <v>22.142474922480801</v>
      </c>
      <c r="P3" s="31">
        <v>51.867228871763402</v>
      </c>
      <c r="Q3" s="31">
        <v>36.572469453930402</v>
      </c>
      <c r="R3" s="31">
        <v>8.4330330584774895</v>
      </c>
      <c r="S3" s="31">
        <v>66.834141734544204</v>
      </c>
      <c r="T3" s="31">
        <v>16.969570115429399</v>
      </c>
      <c r="U3" s="31">
        <v>62.807822174519501</v>
      </c>
      <c r="V3" s="31">
        <v>10.108553430084401</v>
      </c>
      <c r="W3" s="31">
        <v>81.036061941859899</v>
      </c>
      <c r="X3" s="31">
        <v>13.148394715127401</v>
      </c>
      <c r="Y3" s="31">
        <v>5.2133411366159104</v>
      </c>
      <c r="Z3" s="31">
        <v>56.315672085866296</v>
      </c>
      <c r="AA3" s="31">
        <v>7.8150559187307502</v>
      </c>
      <c r="AB3" s="31">
        <v>22.763932684008399</v>
      </c>
      <c r="AC3" s="31">
        <v>23.985886810162199</v>
      </c>
      <c r="AD3" s="31">
        <v>18.270020411035301</v>
      </c>
    </row>
    <row r="4" spans="1:31" s="2" customFormat="1">
      <c r="A4" s="23" t="s">
        <v>16</v>
      </c>
      <c r="B4" s="8" t="s">
        <v>121</v>
      </c>
      <c r="C4" s="9">
        <v>1.3468150330529001</v>
      </c>
      <c r="D4" s="9">
        <v>0.13601700617989201</v>
      </c>
      <c r="E4" s="9">
        <v>0.26822345238260198</v>
      </c>
      <c r="F4" s="9">
        <v>2.1105220572524001E-2</v>
      </c>
      <c r="G4" s="9">
        <v>0.36931533569223401</v>
      </c>
      <c r="H4" s="8"/>
      <c r="I4" s="31">
        <v>1954.24951137729</v>
      </c>
      <c r="J4" s="31">
        <v>1815.46028264189</v>
      </c>
      <c r="K4" s="31">
        <v>4.6714664635721599</v>
      </c>
      <c r="L4" s="31">
        <v>26.657905653633101</v>
      </c>
      <c r="M4" s="31">
        <v>6.5467784573954901</v>
      </c>
      <c r="N4" s="31">
        <v>44.527894500042699</v>
      </c>
      <c r="O4" s="31">
        <v>35.0889185666434</v>
      </c>
      <c r="P4" s="31">
        <v>99.286299643905807</v>
      </c>
      <c r="Q4" s="31">
        <v>94.246622959624702</v>
      </c>
      <c r="R4" s="31">
        <v>25.768172537588502</v>
      </c>
      <c r="S4" s="31">
        <v>235.70034756850899</v>
      </c>
      <c r="T4" s="31">
        <v>60.702203116538399</v>
      </c>
      <c r="U4" s="31">
        <v>209.898802747395</v>
      </c>
      <c r="V4" s="31">
        <v>31.788114184066501</v>
      </c>
      <c r="W4" s="31">
        <v>215.638401345452</v>
      </c>
      <c r="X4" s="31">
        <v>30.956537543686299</v>
      </c>
      <c r="Y4" s="31">
        <v>4.5250234430648604</v>
      </c>
      <c r="Z4" s="31">
        <v>334.466731763469</v>
      </c>
      <c r="AA4" s="31">
        <v>1.99183080038925</v>
      </c>
      <c r="AB4" s="31">
        <v>0.94988738260616301</v>
      </c>
      <c r="AC4" s="31">
        <v>13.562676558923901</v>
      </c>
      <c r="AD4" s="31">
        <v>11.3863376616445</v>
      </c>
    </row>
    <row r="5" spans="1:31" s="2" customFormat="1">
      <c r="A5" s="23" t="s">
        <v>16</v>
      </c>
      <c r="B5" s="8" t="s">
        <v>122</v>
      </c>
      <c r="C5" s="9">
        <v>1.47718230318882</v>
      </c>
      <c r="D5" s="9">
        <v>0.17150622746522701</v>
      </c>
      <c r="E5" s="9">
        <v>0.27777982194182299</v>
      </c>
      <c r="F5" s="9">
        <v>3.3698300231839402E-2</v>
      </c>
      <c r="G5" s="9">
        <v>0.3852147431579</v>
      </c>
      <c r="H5" s="8"/>
      <c r="I5" s="31">
        <v>403.14542190625701</v>
      </c>
      <c r="J5" s="31">
        <v>1071.2848392665001</v>
      </c>
      <c r="K5" s="31">
        <v>5.6438542190400103</v>
      </c>
      <c r="L5" s="31">
        <v>30.1265088861843</v>
      </c>
      <c r="M5" s="31">
        <v>6.2977468127842204</v>
      </c>
      <c r="N5" s="31">
        <v>38.175751894214102</v>
      </c>
      <c r="O5" s="31">
        <v>19.7694929915633</v>
      </c>
      <c r="P5" s="31">
        <v>87.369236599707307</v>
      </c>
      <c r="Q5" s="31">
        <v>35.198827779494302</v>
      </c>
      <c r="R5" s="31">
        <v>6.9810165388505103</v>
      </c>
      <c r="S5" s="31">
        <v>53.191365211819203</v>
      </c>
      <c r="T5" s="31">
        <v>11.3126608971131</v>
      </c>
      <c r="U5" s="31">
        <v>38.0987677754636</v>
      </c>
      <c r="V5" s="31">
        <v>5.4253180295434804</v>
      </c>
      <c r="W5" s="31">
        <v>40.835122917390102</v>
      </c>
      <c r="X5" s="31">
        <v>6.49578465677497</v>
      </c>
      <c r="Y5" s="31">
        <v>4.5836980105218297</v>
      </c>
      <c r="Z5" s="31">
        <v>67.377756212594903</v>
      </c>
      <c r="AA5" s="31">
        <v>0.91985150738403398</v>
      </c>
      <c r="AB5" s="31">
        <v>0.79943712910804898</v>
      </c>
      <c r="AC5" s="31">
        <v>11.003542284090001</v>
      </c>
      <c r="AD5" s="31">
        <v>8.4632677332109196</v>
      </c>
    </row>
    <row r="6" spans="1:31" s="2" customFormat="1">
      <c r="A6" s="23" t="s">
        <v>16</v>
      </c>
      <c r="B6" s="8" t="s">
        <v>140</v>
      </c>
      <c r="C6" s="9">
        <v>1.5736233174341001</v>
      </c>
      <c r="D6" s="9">
        <v>0.151752014735823</v>
      </c>
      <c r="E6" s="9">
        <v>0.23465989786449201</v>
      </c>
      <c r="F6" s="9">
        <v>1.2858358329881499E-2</v>
      </c>
      <c r="G6" s="9">
        <v>0.33990248672204398</v>
      </c>
      <c r="H6" s="8"/>
      <c r="I6" s="31">
        <v>1625.19594880061</v>
      </c>
      <c r="J6" s="31">
        <v>415.89986623040801</v>
      </c>
      <c r="K6" s="31">
        <v>3.13082610590441</v>
      </c>
      <c r="L6" s="31">
        <v>23.1222186539859</v>
      </c>
      <c r="M6" s="31">
        <v>7.0036251750570599</v>
      </c>
      <c r="N6" s="31">
        <v>55.698599522502903</v>
      </c>
      <c r="O6" s="31">
        <v>60.219188075555699</v>
      </c>
      <c r="P6" s="31">
        <v>36.361084230570697</v>
      </c>
      <c r="Q6" s="31">
        <v>158.11010013482601</v>
      </c>
      <c r="R6" s="31">
        <v>35.668409057806102</v>
      </c>
      <c r="S6" s="31">
        <v>267.07907825163602</v>
      </c>
      <c r="T6" s="31">
        <v>57.344659105729001</v>
      </c>
      <c r="U6" s="31">
        <v>163.13998779039099</v>
      </c>
      <c r="V6" s="31">
        <v>21.193109942544201</v>
      </c>
      <c r="W6" s="31">
        <v>131.97594248246901</v>
      </c>
      <c r="X6" s="31">
        <v>19.281596789010099</v>
      </c>
      <c r="Y6" s="31">
        <v>2.0359656075630999</v>
      </c>
      <c r="Z6" s="31">
        <v>10.9454648986503</v>
      </c>
      <c r="AA6" s="31">
        <v>1.16763219534553</v>
      </c>
      <c r="AB6" s="31">
        <v>0.74374345823562105</v>
      </c>
      <c r="AC6" s="31">
        <v>16.284623542606099</v>
      </c>
      <c r="AD6" s="31">
        <v>11.262328512109701</v>
      </c>
    </row>
    <row r="7" spans="1:31" s="2" customFormat="1">
      <c r="A7" s="23" t="s">
        <v>16</v>
      </c>
      <c r="B7" s="8" t="s">
        <v>123</v>
      </c>
      <c r="C7" s="9">
        <v>1.50611540777544</v>
      </c>
      <c r="D7" s="9">
        <v>0.144357807206075</v>
      </c>
      <c r="E7" s="9">
        <v>0.26212827507641401</v>
      </c>
      <c r="F7" s="9">
        <v>1.23706789105702E-2</v>
      </c>
      <c r="G7" s="9">
        <v>0.42794600663211502</v>
      </c>
      <c r="H7" s="8"/>
      <c r="I7" s="31">
        <v>3273.17335800825</v>
      </c>
      <c r="J7" s="31">
        <v>1660.5824030588201</v>
      </c>
      <c r="K7" s="31">
        <v>17.456717248067498</v>
      </c>
      <c r="L7" s="31">
        <v>97.534547079979205</v>
      </c>
      <c r="M7" s="31">
        <v>21.577237557278298</v>
      </c>
      <c r="N7" s="31">
        <v>133.22886082497601</v>
      </c>
      <c r="O7" s="31">
        <v>91.564659839380397</v>
      </c>
      <c r="P7" s="31">
        <v>100.745077563192</v>
      </c>
      <c r="Q7" s="31">
        <v>208.69219397058501</v>
      </c>
      <c r="R7" s="31">
        <v>53.822136352120403</v>
      </c>
      <c r="S7" s="31">
        <v>447.68154730441103</v>
      </c>
      <c r="T7" s="31">
        <v>107.060329890727</v>
      </c>
      <c r="U7" s="31">
        <v>354.66248758229602</v>
      </c>
      <c r="V7" s="31">
        <v>56.019224940946401</v>
      </c>
      <c r="W7" s="31">
        <v>392.10767695156602</v>
      </c>
      <c r="X7" s="31">
        <v>55.483382257615297</v>
      </c>
      <c r="Y7" s="31">
        <v>92.6055069068275</v>
      </c>
      <c r="Z7" s="31">
        <v>98.974390972513902</v>
      </c>
      <c r="AA7" s="31">
        <v>2.4689140815753698</v>
      </c>
      <c r="AB7" s="31">
        <v>5.2751616758212903</v>
      </c>
      <c r="AC7" s="31">
        <v>33.251861350918503</v>
      </c>
      <c r="AD7" s="31">
        <v>25.002880813840498</v>
      </c>
    </row>
    <row r="8" spans="1:31" s="2" customFormat="1">
      <c r="A8" s="23" t="s">
        <v>16</v>
      </c>
      <c r="B8" s="8" t="s">
        <v>124</v>
      </c>
      <c r="C8" s="9">
        <v>1.41919108070147</v>
      </c>
      <c r="D8" s="9">
        <v>0.16814298375214301</v>
      </c>
      <c r="E8" s="9">
        <v>0.26023241877303699</v>
      </c>
      <c r="F8" s="9">
        <v>2.5557908552961198E-2</v>
      </c>
      <c r="G8" s="9">
        <v>0.405732690903507</v>
      </c>
      <c r="H8" s="8"/>
      <c r="I8" s="31">
        <v>638.13827040622596</v>
      </c>
      <c r="J8" s="31">
        <v>1144.8546225054999</v>
      </c>
      <c r="K8" s="31">
        <v>0.63681433201216597</v>
      </c>
      <c r="L8" s="31">
        <v>3.8993017009712401</v>
      </c>
      <c r="M8" s="31">
        <v>1.0950300799393899</v>
      </c>
      <c r="N8" s="31">
        <v>7.1304602812068696</v>
      </c>
      <c r="O8" s="31">
        <v>6.07664756866148</v>
      </c>
      <c r="P8" s="31">
        <v>19.756788293256601</v>
      </c>
      <c r="Q8" s="31">
        <v>18.551188741685401</v>
      </c>
      <c r="R8" s="31">
        <v>6.0190469099107098</v>
      </c>
      <c r="S8" s="31">
        <v>63.163080761913797</v>
      </c>
      <c r="T8" s="31">
        <v>19.250265245873798</v>
      </c>
      <c r="U8" s="31">
        <v>76.454213993187196</v>
      </c>
      <c r="V8" s="31">
        <v>14.1042602285076</v>
      </c>
      <c r="W8" s="31">
        <v>99.497281141446194</v>
      </c>
      <c r="X8" s="31">
        <v>13.544278998673599</v>
      </c>
      <c r="Y8" s="31">
        <v>3.08607592781479</v>
      </c>
      <c r="Z8" s="31">
        <v>90.950162548403</v>
      </c>
      <c r="AA8" s="31">
        <v>1.1685573465118899</v>
      </c>
      <c r="AB8" s="31">
        <v>0.154846441103791</v>
      </c>
      <c r="AC8" s="31">
        <v>6.6902457884236002</v>
      </c>
      <c r="AD8" s="31">
        <v>5.1344544171945099</v>
      </c>
    </row>
    <row r="9" spans="1:31" s="2" customFormat="1">
      <c r="A9" s="23" t="s">
        <v>16</v>
      </c>
      <c r="B9" s="8" t="s">
        <v>136</v>
      </c>
      <c r="C9" s="9">
        <v>1.4235288873641501</v>
      </c>
      <c r="D9" s="9">
        <v>0.14051990500357001</v>
      </c>
      <c r="E9" s="9">
        <v>0.30276765718834497</v>
      </c>
      <c r="F9" s="9">
        <v>2.4399829434704399E-2</v>
      </c>
      <c r="G9" s="9">
        <v>0.13610394175302901</v>
      </c>
      <c r="H9" s="8"/>
      <c r="I9" s="31">
        <v>2057.6857714477401</v>
      </c>
      <c r="J9" s="31">
        <v>457.41051572828599</v>
      </c>
      <c r="K9" s="31">
        <v>1.7993990758609899</v>
      </c>
      <c r="L9" s="31">
        <v>11.2471226444209</v>
      </c>
      <c r="M9" s="31">
        <v>3.3307861749979999</v>
      </c>
      <c r="N9" s="31">
        <v>27.155777482631901</v>
      </c>
      <c r="O9" s="31">
        <v>36.443134804647102</v>
      </c>
      <c r="P9" s="31">
        <v>22.755123920751799</v>
      </c>
      <c r="Q9" s="31">
        <v>113.95648309227801</v>
      </c>
      <c r="R9" s="31">
        <v>34.324939062742999</v>
      </c>
      <c r="S9" s="31">
        <v>296.39322958032898</v>
      </c>
      <c r="T9" s="31">
        <v>71.933111927605594</v>
      </c>
      <c r="U9" s="31">
        <v>230.327606419803</v>
      </c>
      <c r="V9" s="31">
        <v>33.656826138649897</v>
      </c>
      <c r="W9" s="31">
        <v>224.56242613880099</v>
      </c>
      <c r="X9" s="31">
        <v>34.391168821679301</v>
      </c>
      <c r="Y9" s="31">
        <v>450.097481153979</v>
      </c>
      <c r="Z9" s="31">
        <v>15.027968213024</v>
      </c>
      <c r="AA9" s="31">
        <v>15.036162477903</v>
      </c>
      <c r="AB9" s="31">
        <v>4.3462732807933797</v>
      </c>
      <c r="AC9" s="31">
        <v>18.926819197686399</v>
      </c>
      <c r="AD9" s="31">
        <v>16.0366655111707</v>
      </c>
    </row>
    <row r="10" spans="1:31" s="2" customFormat="1">
      <c r="A10" s="23" t="s">
        <v>16</v>
      </c>
      <c r="B10" s="8" t="s">
        <v>141</v>
      </c>
      <c r="C10" s="9">
        <v>1.3673997363579899</v>
      </c>
      <c r="D10" s="9">
        <v>0.16054798030103401</v>
      </c>
      <c r="E10" s="9">
        <v>0.25969169732657998</v>
      </c>
      <c r="F10" s="9">
        <v>2.68149778885092E-2</v>
      </c>
      <c r="G10" s="9">
        <v>0.32187524630740699</v>
      </c>
      <c r="H10" s="8"/>
      <c r="I10" s="31">
        <v>1072.2529910160099</v>
      </c>
      <c r="J10" s="31">
        <v>1309.2509429766501</v>
      </c>
      <c r="K10" s="31">
        <v>1.82809989020345</v>
      </c>
      <c r="L10" s="31">
        <v>13.2473819072415</v>
      </c>
      <c r="M10" s="31">
        <v>3.4600231683473499</v>
      </c>
      <c r="N10" s="31">
        <v>24.4827129880812</v>
      </c>
      <c r="O10" s="31">
        <v>20.1939858249754</v>
      </c>
      <c r="P10" s="31">
        <v>23.822006520541098</v>
      </c>
      <c r="Q10" s="31">
        <v>50.456893126181797</v>
      </c>
      <c r="R10" s="31">
        <v>14.9485601009441</v>
      </c>
      <c r="S10" s="31">
        <v>146.25398447060601</v>
      </c>
      <c r="T10" s="31">
        <v>37.890513440813599</v>
      </c>
      <c r="U10" s="31">
        <v>128.398170863682</v>
      </c>
      <c r="V10" s="31">
        <v>19.237437023241899</v>
      </c>
      <c r="W10" s="31">
        <v>118.109087279216</v>
      </c>
      <c r="X10" s="31">
        <v>14.861616840327301</v>
      </c>
      <c r="Y10" s="31">
        <v>3.4498193100760401</v>
      </c>
      <c r="Z10" s="31">
        <v>107.59141594319399</v>
      </c>
      <c r="AA10" s="31">
        <v>0.92923461265929497</v>
      </c>
      <c r="AB10" s="31">
        <v>0.53672267503968496</v>
      </c>
      <c r="AC10" s="31">
        <v>7.5945217716779601</v>
      </c>
      <c r="AD10" s="31">
        <v>6.0489058735432302</v>
      </c>
    </row>
    <row r="11" spans="1:31" s="2" customFormat="1">
      <c r="A11" s="23" t="s">
        <v>16</v>
      </c>
      <c r="B11" s="8" t="s">
        <v>125</v>
      </c>
      <c r="C11" s="9">
        <v>1.36389777461643</v>
      </c>
      <c r="D11" s="9">
        <v>0.159385479380595</v>
      </c>
      <c r="E11" s="9">
        <v>0.29793276269080698</v>
      </c>
      <c r="F11" s="9">
        <v>2.4963331410448E-2</v>
      </c>
      <c r="G11" s="9">
        <v>0.33253647180764501</v>
      </c>
      <c r="H11" s="8"/>
      <c r="I11" s="31">
        <v>843.04957293668099</v>
      </c>
      <c r="J11" s="31">
        <v>1019.9469619016299</v>
      </c>
      <c r="K11" s="31">
        <v>18.0927943812984</v>
      </c>
      <c r="L11" s="31">
        <v>115.98195321036999</v>
      </c>
      <c r="M11" s="31">
        <v>22.425544550382099</v>
      </c>
      <c r="N11" s="31">
        <v>118.58855719684701</v>
      </c>
      <c r="O11" s="31">
        <v>38.977158896387301</v>
      </c>
      <c r="P11" s="31">
        <v>26.764436434500301</v>
      </c>
      <c r="Q11" s="31">
        <v>57.708306471651298</v>
      </c>
      <c r="R11" s="31">
        <v>12.750422429082301</v>
      </c>
      <c r="S11" s="31">
        <v>109.496517369473</v>
      </c>
      <c r="T11" s="31">
        <v>28.425640031415401</v>
      </c>
      <c r="U11" s="31">
        <v>107.16305014191801</v>
      </c>
      <c r="V11" s="31">
        <v>19.305167598498599</v>
      </c>
      <c r="W11" s="31">
        <v>150.5152414854</v>
      </c>
      <c r="X11" s="31">
        <v>22.4871176334144</v>
      </c>
      <c r="Y11" s="31">
        <v>4.7768903401095804</v>
      </c>
      <c r="Z11" s="31">
        <v>94.070722620097001</v>
      </c>
      <c r="AA11" s="31">
        <v>3.0085213591093298</v>
      </c>
      <c r="AB11" s="31">
        <v>0.72861884950975198</v>
      </c>
      <c r="AC11" s="31">
        <v>6.3909893335011603</v>
      </c>
      <c r="AD11" s="31">
        <v>5.4044713459310003</v>
      </c>
    </row>
    <row r="12" spans="1:31" s="2" customFormat="1">
      <c r="A12" s="23" t="s">
        <v>16</v>
      </c>
      <c r="B12" s="8" t="s">
        <v>127</v>
      </c>
      <c r="C12" s="9">
        <v>1.17621821413245</v>
      </c>
      <c r="D12" s="9">
        <v>0.167809094258524</v>
      </c>
      <c r="E12" s="9">
        <v>0.40827269398856297</v>
      </c>
      <c r="F12" s="9">
        <v>5.0394533287313602E-2</v>
      </c>
      <c r="G12" s="9">
        <v>0.34450220007638399</v>
      </c>
      <c r="H12" s="8"/>
      <c r="I12" s="31">
        <v>203.379143818827</v>
      </c>
      <c r="J12" s="31">
        <v>3182.3830593974999</v>
      </c>
      <c r="K12" s="31">
        <v>0.42475249166672202</v>
      </c>
      <c r="L12" s="31">
        <v>2.4006359343686201</v>
      </c>
      <c r="M12" s="31">
        <v>0.50740118088710195</v>
      </c>
      <c r="N12" s="31">
        <v>3.13438185962162</v>
      </c>
      <c r="O12" s="31">
        <v>2.2945968991280101</v>
      </c>
      <c r="P12" s="31">
        <v>2.3968465021438599</v>
      </c>
      <c r="Q12" s="31">
        <v>5.8501864261402403</v>
      </c>
      <c r="R12" s="31">
        <v>1.8651724012455599</v>
      </c>
      <c r="S12" s="31">
        <v>20.486353545884899</v>
      </c>
      <c r="T12" s="31">
        <v>6.4765655860363598</v>
      </c>
      <c r="U12" s="31">
        <v>28.356455042376599</v>
      </c>
      <c r="V12" s="31">
        <v>5.6252585501974997</v>
      </c>
      <c r="W12" s="31">
        <v>44.678607613471101</v>
      </c>
      <c r="X12" s="31">
        <v>6.7636152336226099</v>
      </c>
      <c r="Y12" s="31">
        <v>8.0413171330109492</v>
      </c>
      <c r="Z12" s="31">
        <v>297.524399311835</v>
      </c>
      <c r="AA12" s="31">
        <v>1.8332577785277699</v>
      </c>
      <c r="AB12" s="31">
        <v>0.70362150886716102</v>
      </c>
      <c r="AC12" s="31">
        <v>1.6941675307698401</v>
      </c>
      <c r="AD12" s="31">
        <v>2.36714778566982</v>
      </c>
    </row>
    <row r="13" spans="1:31" s="2" customFormat="1">
      <c r="A13" s="23" t="s">
        <v>16</v>
      </c>
      <c r="B13" s="8" t="s">
        <v>128</v>
      </c>
      <c r="C13" s="9">
        <v>1.3431894260208299</v>
      </c>
      <c r="D13" s="9">
        <v>0.147690902134758</v>
      </c>
      <c r="E13" s="9">
        <v>0.27722697385720502</v>
      </c>
      <c r="F13" s="9">
        <v>2.78864724461498E-2</v>
      </c>
      <c r="G13" s="9">
        <v>0.29737196358700002</v>
      </c>
      <c r="H13" s="8"/>
      <c r="I13" s="31">
        <v>375.14982848390002</v>
      </c>
      <c r="J13" s="31">
        <v>1168.8179193117501</v>
      </c>
      <c r="K13" s="31">
        <v>4.1598759675282597</v>
      </c>
      <c r="L13" s="31">
        <v>20.501223939574501</v>
      </c>
      <c r="M13" s="31">
        <v>4.6799100192797098</v>
      </c>
      <c r="N13" s="31">
        <v>27.223727906393201</v>
      </c>
      <c r="O13" s="31">
        <v>15.525686962775699</v>
      </c>
      <c r="P13" s="31">
        <v>32.8736197121316</v>
      </c>
      <c r="Q13" s="31">
        <v>25.0381608471154</v>
      </c>
      <c r="R13" s="31">
        <v>5.7254109039655798</v>
      </c>
      <c r="S13" s="31">
        <v>46.014059306341302</v>
      </c>
      <c r="T13" s="31">
        <v>11.2492073329785</v>
      </c>
      <c r="U13" s="31">
        <v>39.6961991491129</v>
      </c>
      <c r="V13" s="31">
        <v>6.7197168203259396</v>
      </c>
      <c r="W13" s="31">
        <v>51.249692185817104</v>
      </c>
      <c r="X13" s="31">
        <v>8.1238046449058903</v>
      </c>
      <c r="Y13" s="31">
        <v>4.1644642889474</v>
      </c>
      <c r="Z13" s="31">
        <v>39.658069843657799</v>
      </c>
      <c r="AA13" s="31">
        <v>3.79995958203481</v>
      </c>
      <c r="AB13" s="31">
        <v>4.18597684181458</v>
      </c>
      <c r="AC13" s="31">
        <v>9.7057663546999695</v>
      </c>
      <c r="AD13" s="31">
        <v>8.4972277579485294</v>
      </c>
    </row>
    <row r="14" spans="1:31" s="2" customFormat="1">
      <c r="A14" s="23" t="s">
        <v>16</v>
      </c>
      <c r="B14" s="8" t="s">
        <v>137</v>
      </c>
      <c r="C14" s="9">
        <v>1.3679512290116</v>
      </c>
      <c r="D14" s="9">
        <v>0.128166207832901</v>
      </c>
      <c r="E14" s="9">
        <v>0.26806996068585998</v>
      </c>
      <c r="F14" s="9">
        <v>1.6349070844547699E-2</v>
      </c>
      <c r="G14" s="9">
        <v>0.35072558372542001</v>
      </c>
      <c r="H14" s="8"/>
      <c r="I14" s="31">
        <v>2398.9961483009401</v>
      </c>
      <c r="J14" s="31">
        <v>1050.7748565690699</v>
      </c>
      <c r="K14" s="31">
        <v>11.8965344346416</v>
      </c>
      <c r="L14" s="31">
        <v>65.406401797569302</v>
      </c>
      <c r="M14" s="31">
        <v>14.644859127155099</v>
      </c>
      <c r="N14" s="31">
        <v>93.989436203601798</v>
      </c>
      <c r="O14" s="31">
        <v>68.309545979567801</v>
      </c>
      <c r="P14" s="31">
        <v>59.811086756106697</v>
      </c>
      <c r="Q14" s="31">
        <v>160.15125244901199</v>
      </c>
      <c r="R14" s="31">
        <v>39.953757839303201</v>
      </c>
      <c r="S14" s="31">
        <v>333.114745443434</v>
      </c>
      <c r="T14" s="31">
        <v>80.364507935100306</v>
      </c>
      <c r="U14" s="31">
        <v>269.06127518442997</v>
      </c>
      <c r="V14" s="31">
        <v>42.914716678914203</v>
      </c>
      <c r="W14" s="31">
        <v>307.56013515248702</v>
      </c>
      <c r="X14" s="31">
        <v>42.606647088288298</v>
      </c>
      <c r="Y14" s="31">
        <v>6.8770101312016996</v>
      </c>
      <c r="Z14" s="31">
        <v>39.269123209713001</v>
      </c>
      <c r="AA14" s="31">
        <v>2.21870061855109</v>
      </c>
      <c r="AB14" s="31">
        <v>1.84173850415983</v>
      </c>
      <c r="AC14" s="31">
        <v>12.021411347800701</v>
      </c>
      <c r="AD14" s="31">
        <v>9.9793794840953307</v>
      </c>
    </row>
    <row r="15" spans="1:31" s="2" customFormat="1">
      <c r="A15" s="23" t="s">
        <v>16</v>
      </c>
      <c r="B15" s="8" t="s">
        <v>129</v>
      </c>
      <c r="C15" s="9">
        <v>1.3655780104800801</v>
      </c>
      <c r="D15" s="9">
        <v>0.14259646902043299</v>
      </c>
      <c r="E15" s="9">
        <v>0.27669927430830299</v>
      </c>
      <c r="F15" s="9">
        <v>2.2375247308920002E-2</v>
      </c>
      <c r="G15" s="9">
        <v>0.45548922188010699</v>
      </c>
      <c r="H15" s="8"/>
      <c r="I15" s="31">
        <v>490.59034642809502</v>
      </c>
      <c r="J15" s="31">
        <v>1760.33178227806</v>
      </c>
      <c r="K15" s="31">
        <v>1.3480833880760901</v>
      </c>
      <c r="L15" s="31">
        <v>6.7711039596345701</v>
      </c>
      <c r="M15" s="31">
        <v>1.53357436674682</v>
      </c>
      <c r="N15" s="31">
        <v>9.6362476534227</v>
      </c>
      <c r="O15" s="31">
        <v>7.3977337343022498</v>
      </c>
      <c r="P15" s="31">
        <v>32.483348046241602</v>
      </c>
      <c r="Q15" s="31">
        <v>18.3664007338555</v>
      </c>
      <c r="R15" s="31">
        <v>5.4472535157242898</v>
      </c>
      <c r="S15" s="31">
        <v>50.535004627128203</v>
      </c>
      <c r="T15" s="31">
        <v>14.1425119063481</v>
      </c>
      <c r="U15" s="31">
        <v>55.547308769861601</v>
      </c>
      <c r="V15" s="31">
        <v>9.1773683489270592</v>
      </c>
      <c r="W15" s="31">
        <v>68.782659668599294</v>
      </c>
      <c r="X15" s="31">
        <v>10.360518534886699</v>
      </c>
      <c r="Y15" s="31">
        <v>4.1255793817874702</v>
      </c>
      <c r="Z15" s="31">
        <v>64.775096633630497</v>
      </c>
      <c r="AA15" s="31">
        <v>2.1936162510730499</v>
      </c>
      <c r="AB15" s="31">
        <v>1.0915182373807699</v>
      </c>
      <c r="AC15" s="31">
        <v>5.7337562433025298</v>
      </c>
      <c r="AD15" s="31">
        <v>5.0399844440802903</v>
      </c>
    </row>
    <row r="16" spans="1:31" s="2" customFormat="1">
      <c r="A16" s="23" t="s">
        <v>16</v>
      </c>
      <c r="B16" s="8" t="s">
        <v>138</v>
      </c>
      <c r="C16" s="9">
        <v>1.5344490207940999</v>
      </c>
      <c r="D16" s="9">
        <v>0.15689626495089001</v>
      </c>
      <c r="E16" s="9">
        <v>0.28608464491048102</v>
      </c>
      <c r="F16" s="9">
        <v>2.8558502895166999E-2</v>
      </c>
      <c r="G16" s="9">
        <v>0.31097973406811902</v>
      </c>
      <c r="H16" s="8"/>
      <c r="I16" s="31">
        <v>2742.1564868381101</v>
      </c>
      <c r="J16" s="31">
        <v>848.06925528610202</v>
      </c>
      <c r="K16" s="31">
        <v>2.9860445805717801</v>
      </c>
      <c r="L16" s="31">
        <v>20.8123190399305</v>
      </c>
      <c r="M16" s="31">
        <v>5.6570005407322297</v>
      </c>
      <c r="N16" s="31">
        <v>44.950449613044398</v>
      </c>
      <c r="O16" s="31">
        <v>51.581752748496797</v>
      </c>
      <c r="P16" s="31">
        <v>31.231122078501599</v>
      </c>
      <c r="Q16" s="31">
        <v>162.16207035275599</v>
      </c>
      <c r="R16" s="31">
        <v>48.102390354591499</v>
      </c>
      <c r="S16" s="31">
        <v>426.89540211808702</v>
      </c>
      <c r="T16" s="31">
        <v>101.665542055988</v>
      </c>
      <c r="U16" s="31">
        <v>328.50914281353801</v>
      </c>
      <c r="V16" s="31">
        <v>47.142365396071597</v>
      </c>
      <c r="W16" s="31">
        <v>305.93042623545301</v>
      </c>
      <c r="X16" s="31">
        <v>40.039995101604603</v>
      </c>
      <c r="Y16" s="31">
        <v>3.6975335182980502</v>
      </c>
      <c r="Z16" s="31">
        <v>57.749762708018501</v>
      </c>
      <c r="AA16" s="31">
        <v>0.96251149649099499</v>
      </c>
      <c r="AB16" s="31">
        <v>0.52407419526019206</v>
      </c>
      <c r="AC16" s="31">
        <v>13.613999952235799</v>
      </c>
      <c r="AD16" s="31">
        <v>9.4217144428389297</v>
      </c>
    </row>
    <row r="17" spans="1:30" s="2" customFormat="1">
      <c r="A17" s="23" t="s">
        <v>16</v>
      </c>
      <c r="B17" s="8" t="s">
        <v>130</v>
      </c>
      <c r="C17" s="9">
        <v>1.3771551605291099</v>
      </c>
      <c r="D17" s="9">
        <v>0.15080894243270401</v>
      </c>
      <c r="E17" s="9">
        <v>0.269453707853407</v>
      </c>
      <c r="F17" s="9">
        <v>2.7800933528511599E-2</v>
      </c>
      <c r="G17" s="9">
        <v>0.33121975168200901</v>
      </c>
      <c r="H17" s="8"/>
      <c r="I17" s="31">
        <v>710.82846913269395</v>
      </c>
      <c r="J17" s="31">
        <v>1159.06507097606</v>
      </c>
      <c r="K17" s="31">
        <v>1.5118087757517</v>
      </c>
      <c r="L17" s="31">
        <v>9.1890161365111904</v>
      </c>
      <c r="M17" s="31">
        <v>2.35111611881256</v>
      </c>
      <c r="N17" s="31">
        <v>18.0712613638797</v>
      </c>
      <c r="O17" s="31">
        <v>15.602541282120299</v>
      </c>
      <c r="P17" s="31">
        <v>19.055446277919302</v>
      </c>
      <c r="Q17" s="31">
        <v>37.838366411569098</v>
      </c>
      <c r="R17" s="31">
        <v>10.358720275390199</v>
      </c>
      <c r="S17" s="31">
        <v>93.761059093999705</v>
      </c>
      <c r="T17" s="31">
        <v>24.198686045974199</v>
      </c>
      <c r="U17" s="31">
        <v>85.073283610633695</v>
      </c>
      <c r="V17" s="31">
        <v>13.1541729314997</v>
      </c>
      <c r="W17" s="31">
        <v>86.752943632133196</v>
      </c>
      <c r="X17" s="31">
        <v>12.022131320604799</v>
      </c>
      <c r="Y17" s="31">
        <v>4.1149413162244803</v>
      </c>
      <c r="Z17" s="31">
        <v>53.473944685535898</v>
      </c>
      <c r="AA17" s="31">
        <v>1.1480884189368299</v>
      </c>
      <c r="AB17" s="31">
        <v>0.978996758123862</v>
      </c>
      <c r="AC17" s="31">
        <v>6.3650994618760199</v>
      </c>
      <c r="AD17" s="31">
        <v>5.5422564735059003</v>
      </c>
    </row>
    <row r="18" spans="1:30" s="2" customFormat="1">
      <c r="A18" s="23" t="s">
        <v>16</v>
      </c>
      <c r="B18" s="8" t="s">
        <v>139</v>
      </c>
      <c r="C18" s="9">
        <v>1.48931131959036</v>
      </c>
      <c r="D18" s="9">
        <v>0.15501646438879299</v>
      </c>
      <c r="E18" s="9">
        <v>0.27322929222846098</v>
      </c>
      <c r="F18" s="9">
        <v>2.8137827908881599E-2</v>
      </c>
      <c r="G18" s="9">
        <v>7.9298230438537204E-2</v>
      </c>
      <c r="H18" s="8"/>
      <c r="I18" s="31">
        <v>1779.75124170353</v>
      </c>
      <c r="J18" s="31">
        <v>1182.1734428755501</v>
      </c>
      <c r="K18" s="31">
        <v>7.2590288236471103</v>
      </c>
      <c r="L18" s="31">
        <v>41.014444944160601</v>
      </c>
      <c r="M18" s="31">
        <v>9.8103118132475799</v>
      </c>
      <c r="N18" s="31">
        <v>66.5418986464542</v>
      </c>
      <c r="O18" s="31">
        <v>52.827121682124798</v>
      </c>
      <c r="P18" s="31">
        <v>34.720551909558203</v>
      </c>
      <c r="Q18" s="31">
        <v>127.55312151239301</v>
      </c>
      <c r="R18" s="31">
        <v>31.6308975529879</v>
      </c>
      <c r="S18" s="31">
        <v>260.20685289317498</v>
      </c>
      <c r="T18" s="31">
        <v>61.101193361797698</v>
      </c>
      <c r="U18" s="31">
        <v>203.80911269069901</v>
      </c>
      <c r="V18" s="31">
        <v>31.279986064399498</v>
      </c>
      <c r="W18" s="31">
        <v>213.052493102673</v>
      </c>
      <c r="X18" s="31">
        <v>29.503399421538301</v>
      </c>
      <c r="Y18" s="31">
        <v>4.7408766008014904</v>
      </c>
      <c r="Z18" s="31">
        <v>59.162854495860898</v>
      </c>
      <c r="AA18" s="31">
        <v>1.3052062858858999</v>
      </c>
      <c r="AB18" s="31">
        <v>1.2634663899620799</v>
      </c>
      <c r="AC18" s="31">
        <v>11.7855856079182</v>
      </c>
      <c r="AD18" s="31">
        <v>8.8467343012166193</v>
      </c>
    </row>
    <row r="19" spans="1:30" s="2" customFormat="1">
      <c r="A19" s="23" t="s">
        <v>16</v>
      </c>
      <c r="B19" s="8" t="s">
        <v>131</v>
      </c>
      <c r="C19" s="9">
        <v>1.5745843925568801</v>
      </c>
      <c r="D19" s="9">
        <v>0.160941971088783</v>
      </c>
      <c r="E19" s="9">
        <v>0.23884566971340099</v>
      </c>
      <c r="F19" s="9">
        <v>1.49751541843675E-2</v>
      </c>
      <c r="G19" s="9">
        <v>0.32523303594059899</v>
      </c>
      <c r="H19" s="8"/>
      <c r="I19" s="31">
        <v>1391.2261212378301</v>
      </c>
      <c r="J19" s="31">
        <v>1135.7487211226201</v>
      </c>
      <c r="K19" s="31">
        <v>6.6962450909628801</v>
      </c>
      <c r="L19" s="31">
        <v>36.835188184463597</v>
      </c>
      <c r="M19" s="31">
        <v>8.50269799501603</v>
      </c>
      <c r="N19" s="31">
        <v>52.028262223602603</v>
      </c>
      <c r="O19" s="31">
        <v>35.337107470366</v>
      </c>
      <c r="P19" s="31">
        <v>72.108604628854906</v>
      </c>
      <c r="Q19" s="31">
        <v>76.301969265674998</v>
      </c>
      <c r="R19" s="31">
        <v>19.881913634855501</v>
      </c>
      <c r="S19" s="31">
        <v>176.18206412646799</v>
      </c>
      <c r="T19" s="31">
        <v>43.854924722399502</v>
      </c>
      <c r="U19" s="31">
        <v>154.22909800312999</v>
      </c>
      <c r="V19" s="31">
        <v>25.504391338543499</v>
      </c>
      <c r="W19" s="31">
        <v>189.675971596339</v>
      </c>
      <c r="X19" s="31">
        <v>25.835072032416399</v>
      </c>
      <c r="Y19" s="31">
        <v>3.3668485175554999</v>
      </c>
      <c r="Z19" s="31">
        <v>93.0856411509954</v>
      </c>
      <c r="AA19" s="31">
        <v>1.4252528103514199</v>
      </c>
      <c r="AB19" s="31">
        <v>3.1479239518400499</v>
      </c>
      <c r="AC19" s="31">
        <v>23.737512815532</v>
      </c>
      <c r="AD19" s="31">
        <v>16.795514511555101</v>
      </c>
    </row>
    <row r="20" spans="1:30" s="2" customFormat="1">
      <c r="A20" s="23" t="s">
        <v>16</v>
      </c>
      <c r="B20" s="8" t="s">
        <v>132</v>
      </c>
      <c r="C20" s="9">
        <v>1.4760706380781099</v>
      </c>
      <c r="D20" s="9">
        <v>0.19322485017510799</v>
      </c>
      <c r="E20" s="9">
        <v>0.265120976870729</v>
      </c>
      <c r="F20" s="9">
        <v>3.0572039323861998E-2</v>
      </c>
      <c r="G20" s="9">
        <v>0.380423023630585</v>
      </c>
      <c r="H20" s="8"/>
      <c r="I20" s="31">
        <v>127.471933536809</v>
      </c>
      <c r="J20" s="31">
        <v>612.83038677591605</v>
      </c>
      <c r="K20" s="31">
        <v>0.289742208948503</v>
      </c>
      <c r="L20" s="31">
        <v>1.97350837354285</v>
      </c>
      <c r="M20" s="31">
        <v>0.68941325250160201</v>
      </c>
      <c r="N20" s="31">
        <v>4.3185259453643603</v>
      </c>
      <c r="O20" s="31">
        <v>3.6664097367970001</v>
      </c>
      <c r="P20" s="31">
        <v>15.1295327970812</v>
      </c>
      <c r="Q20" s="31">
        <v>6.9786149830367101</v>
      </c>
      <c r="R20" s="31">
        <v>1.6242579003825</v>
      </c>
      <c r="S20" s="31">
        <v>13.7282918780922</v>
      </c>
      <c r="T20" s="31">
        <v>3.76699273260376</v>
      </c>
      <c r="U20" s="31">
        <v>14.229934208970199</v>
      </c>
      <c r="V20" s="31">
        <v>2.6940712117295198</v>
      </c>
      <c r="W20" s="31">
        <v>22.606716261620999</v>
      </c>
      <c r="X20" s="31">
        <v>3.9610368661601099</v>
      </c>
      <c r="Y20" s="31">
        <v>0.794027155996473</v>
      </c>
      <c r="Z20" s="31">
        <v>9.5170883427361197</v>
      </c>
      <c r="AA20" s="31">
        <v>1.1056403698539601</v>
      </c>
      <c r="AB20" s="31">
        <v>0.21443540597518199</v>
      </c>
      <c r="AC20" s="31">
        <v>2.99445736312137</v>
      </c>
      <c r="AD20" s="31">
        <v>2.58940859408081</v>
      </c>
    </row>
    <row r="21" spans="1:30" s="2" customFormat="1">
      <c r="A21" s="23" t="s">
        <v>16</v>
      </c>
      <c r="B21" s="8" t="s">
        <v>133</v>
      </c>
      <c r="C21" s="9">
        <v>1.49535331066322</v>
      </c>
      <c r="D21" s="9">
        <v>0.181005754302039</v>
      </c>
      <c r="E21" s="9">
        <v>0.29602504728133899</v>
      </c>
      <c r="F21" s="9">
        <v>3.7828325187884003E-2</v>
      </c>
      <c r="G21" s="9">
        <v>0.32213074176505102</v>
      </c>
      <c r="H21" s="8"/>
      <c r="I21" s="31">
        <v>1289.79746918505</v>
      </c>
      <c r="J21" s="31">
        <v>764.84710910925605</v>
      </c>
      <c r="K21" s="31">
        <v>4.2128472519268696</v>
      </c>
      <c r="L21" s="31">
        <v>27.9577884822193</v>
      </c>
      <c r="M21" s="31">
        <v>7.2303049315419798</v>
      </c>
      <c r="N21" s="31">
        <v>53.849172792000303</v>
      </c>
      <c r="O21" s="31">
        <v>37.290410682361397</v>
      </c>
      <c r="P21" s="31">
        <v>16.616422748340501</v>
      </c>
      <c r="Q21" s="31">
        <v>88.026256762874098</v>
      </c>
      <c r="R21" s="31">
        <v>21.889703146442901</v>
      </c>
      <c r="S21" s="31">
        <v>178.78757539357699</v>
      </c>
      <c r="T21" s="31">
        <v>43.876555078244003</v>
      </c>
      <c r="U21" s="31">
        <v>149.584880166255</v>
      </c>
      <c r="V21" s="31">
        <v>23.050210602500702</v>
      </c>
      <c r="W21" s="31">
        <v>160.31554367677401</v>
      </c>
      <c r="X21" s="31">
        <v>22.383800685542202</v>
      </c>
      <c r="Y21" s="31">
        <v>5.0967792983459796</v>
      </c>
      <c r="Z21" s="31">
        <v>22.156473299819702</v>
      </c>
      <c r="AA21" s="31">
        <v>2.01849386292165</v>
      </c>
      <c r="AB21" s="31">
        <v>1.60821988349259</v>
      </c>
      <c r="AC21" s="31">
        <v>6.3118079172112997</v>
      </c>
      <c r="AD21" s="31">
        <v>5.4637512708945399</v>
      </c>
    </row>
    <row r="22" spans="1:30" s="2" customFormat="1">
      <c r="A22" s="23"/>
      <c r="B22" s="8"/>
      <c r="C22" s="9"/>
      <c r="D22" s="9"/>
      <c r="E22" s="9"/>
      <c r="F22" s="9"/>
      <c r="G22" s="9"/>
      <c r="H22" s="8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2" customFormat="1">
      <c r="A23" s="23" t="s">
        <v>19</v>
      </c>
      <c r="B23" s="8" t="s">
        <v>142</v>
      </c>
      <c r="C23" s="9">
        <v>1.50153332943804</v>
      </c>
      <c r="D23" s="9">
        <v>7.7535801035903198E-2</v>
      </c>
      <c r="E23" s="9">
        <v>0.26858121671885798</v>
      </c>
      <c r="F23" s="9">
        <v>1.05039705998874E-2</v>
      </c>
      <c r="G23" s="9">
        <v>0.43453445813289499</v>
      </c>
      <c r="H23" s="8"/>
      <c r="I23" s="31">
        <v>1396.3838131013999</v>
      </c>
      <c r="J23" s="31">
        <v>1205.80201462797</v>
      </c>
      <c r="K23" s="31">
        <v>0.81357974432388802</v>
      </c>
      <c r="L23" s="31">
        <v>5.8769189579002701</v>
      </c>
      <c r="M23" s="31">
        <v>1.8693187441764401</v>
      </c>
      <c r="N23" s="31">
        <v>15.4460087631001</v>
      </c>
      <c r="O23" s="31">
        <v>20.186594955482601</v>
      </c>
      <c r="P23" s="31">
        <v>15.9325275473803</v>
      </c>
      <c r="Q23" s="31">
        <v>69.490329000744396</v>
      </c>
      <c r="R23" s="31">
        <v>21.119929936742999</v>
      </c>
      <c r="S23" s="31">
        <v>198.63213580828699</v>
      </c>
      <c r="T23" s="31">
        <v>49.016845735575401</v>
      </c>
      <c r="U23" s="31">
        <v>169.13475411719901</v>
      </c>
      <c r="V23" s="31">
        <v>25.694423080140002</v>
      </c>
      <c r="W23" s="31">
        <v>165.159029086103</v>
      </c>
      <c r="X23" s="31">
        <v>22.0812421492124</v>
      </c>
      <c r="Y23" s="31">
        <v>4.3464129833958296</v>
      </c>
      <c r="Z23" s="31">
        <v>36.037345481003698</v>
      </c>
      <c r="AA23" s="31">
        <v>1.0825622967308199</v>
      </c>
      <c r="AB23" s="31">
        <v>0.214334346438179</v>
      </c>
      <c r="AC23" s="31">
        <v>9.6311173400994203</v>
      </c>
      <c r="AD23" s="31">
        <v>7.3171744246491599</v>
      </c>
    </row>
    <row r="24" spans="1:30" s="2" customFormat="1">
      <c r="A24" s="23" t="s">
        <v>19</v>
      </c>
      <c r="B24" s="8" t="s">
        <v>156</v>
      </c>
      <c r="C24" s="9">
        <v>1.2618244674861001</v>
      </c>
      <c r="D24" s="9">
        <v>6.9852624666962501E-2</v>
      </c>
      <c r="E24" s="9">
        <v>0.28601699320638302</v>
      </c>
      <c r="F24" s="9">
        <v>1.53920786041197E-2</v>
      </c>
      <c r="G24" s="9">
        <v>0.21720628613735099</v>
      </c>
      <c r="H24" s="8"/>
      <c r="I24" s="31">
        <v>312.38304200716402</v>
      </c>
      <c r="J24" s="31">
        <v>1517.5847854446999</v>
      </c>
      <c r="K24" s="31">
        <v>1.32187662279345</v>
      </c>
      <c r="L24" s="31">
        <v>7.3211766751687604</v>
      </c>
      <c r="M24" s="31">
        <v>1.7190924815300599</v>
      </c>
      <c r="N24" s="31">
        <v>10.7267117888748</v>
      </c>
      <c r="O24" s="31">
        <v>7.4393338778617704</v>
      </c>
      <c r="P24" s="31">
        <v>11.7519044343674</v>
      </c>
      <c r="Q24" s="31">
        <v>15.9189443930086</v>
      </c>
      <c r="R24" s="31">
        <v>3.8662525212532599</v>
      </c>
      <c r="S24" s="31">
        <v>34.648569697154002</v>
      </c>
      <c r="T24" s="31">
        <v>9.3578150349907201</v>
      </c>
      <c r="U24" s="31">
        <v>36.6337985631409</v>
      </c>
      <c r="V24" s="31">
        <v>6.4356020846407</v>
      </c>
      <c r="W24" s="31">
        <v>49.0007907750812</v>
      </c>
      <c r="X24" s="31">
        <v>7.9995326858062699</v>
      </c>
      <c r="Y24" s="31">
        <v>3.14212320628691</v>
      </c>
      <c r="Z24" s="31">
        <v>130.434078905625</v>
      </c>
      <c r="AA24" s="31">
        <v>1.04654825167498</v>
      </c>
      <c r="AB24" s="31">
        <v>0.45851409701632201</v>
      </c>
      <c r="AC24" s="31">
        <v>5.4571767245622196</v>
      </c>
      <c r="AD24" s="31">
        <v>4.9998964004804698</v>
      </c>
    </row>
    <row r="25" spans="1:30" s="2" customFormat="1">
      <c r="A25" s="23" t="s">
        <v>19</v>
      </c>
      <c r="B25" s="8" t="s">
        <v>143</v>
      </c>
      <c r="C25" s="9">
        <v>1.8251729015332701</v>
      </c>
      <c r="D25" s="9">
        <v>0.14563747803007299</v>
      </c>
      <c r="E25" s="9">
        <v>0.32790145539406002</v>
      </c>
      <c r="F25" s="9">
        <v>2.7959557940914901E-2</v>
      </c>
      <c r="G25" s="9">
        <v>0.50444737650080795</v>
      </c>
      <c r="H25" s="8"/>
      <c r="I25" s="31">
        <v>1381.6962985643199</v>
      </c>
      <c r="J25" s="31">
        <v>2290.1525988691501</v>
      </c>
      <c r="K25" s="31">
        <v>2.4097141325432201</v>
      </c>
      <c r="L25" s="31">
        <v>12.6514935063941</v>
      </c>
      <c r="M25" s="31">
        <v>3.47600820165108</v>
      </c>
      <c r="N25" s="31">
        <v>24.489731406714299</v>
      </c>
      <c r="O25" s="31">
        <v>18.879167012879101</v>
      </c>
      <c r="P25" s="31">
        <v>8.2730353620009307</v>
      </c>
      <c r="Q25" s="31">
        <v>47.747271226881203</v>
      </c>
      <c r="R25" s="31">
        <v>16.0601052034711</v>
      </c>
      <c r="S25" s="31">
        <v>160.525071730288</v>
      </c>
      <c r="T25" s="31">
        <v>48.719620038927701</v>
      </c>
      <c r="U25" s="31">
        <v>206.47217834077099</v>
      </c>
      <c r="V25" s="31">
        <v>39.194502599236202</v>
      </c>
      <c r="W25" s="31">
        <v>313.60815550148698</v>
      </c>
      <c r="X25" s="31">
        <v>46.644876544249499</v>
      </c>
      <c r="Y25" s="31">
        <v>5.0584229255575304</v>
      </c>
      <c r="Z25" s="31">
        <v>406.281132879496</v>
      </c>
      <c r="AA25" s="31">
        <v>4.8130966687287398</v>
      </c>
      <c r="AB25" s="31">
        <v>0.47167298219000298</v>
      </c>
      <c r="AC25" s="31">
        <v>4.4179848027912403</v>
      </c>
      <c r="AD25" s="31">
        <v>3.4927821541150501</v>
      </c>
    </row>
    <row r="26" spans="1:30" s="2" customFormat="1">
      <c r="A26" s="23" t="s">
        <v>19</v>
      </c>
      <c r="B26" s="8" t="s">
        <v>144</v>
      </c>
      <c r="C26" s="9">
        <v>1.4811083813610999</v>
      </c>
      <c r="D26" s="9">
        <v>7.1342638662072896E-2</v>
      </c>
      <c r="E26" s="9">
        <v>0.25163689500071201</v>
      </c>
      <c r="F26" s="9">
        <v>5.8404986340225701E-3</v>
      </c>
      <c r="G26" s="9">
        <v>0.45164392214992</v>
      </c>
      <c r="H26" s="8"/>
      <c r="I26" s="31">
        <v>2214.34983530516</v>
      </c>
      <c r="J26" s="31">
        <v>4138.4481424732103</v>
      </c>
      <c r="K26" s="31">
        <v>1.86258783169185</v>
      </c>
      <c r="L26" s="31">
        <v>10.6126492753099</v>
      </c>
      <c r="M26" s="31">
        <v>2.5718111429630701</v>
      </c>
      <c r="N26" s="31">
        <v>18.012601989803802</v>
      </c>
      <c r="O26" s="31">
        <v>15.7579499526751</v>
      </c>
      <c r="P26" s="31">
        <v>42.4184053558998</v>
      </c>
      <c r="Q26" s="31">
        <v>57.993820822502101</v>
      </c>
      <c r="R26" s="31">
        <v>20.141587054654099</v>
      </c>
      <c r="S26" s="31">
        <v>230.463565267549</v>
      </c>
      <c r="T26" s="31">
        <v>69.468708577478196</v>
      </c>
      <c r="U26" s="31">
        <v>269.39474580868801</v>
      </c>
      <c r="V26" s="31">
        <v>43.634688543987799</v>
      </c>
      <c r="W26" s="31">
        <v>308.19649017871501</v>
      </c>
      <c r="X26" s="31">
        <v>42.381095093260299</v>
      </c>
      <c r="Y26" s="31">
        <v>4.6022465309144396</v>
      </c>
      <c r="Z26" s="31">
        <v>254.857192147787</v>
      </c>
      <c r="AA26" s="31">
        <v>2.29323079966378</v>
      </c>
      <c r="AB26" s="31">
        <v>1.01541575630187</v>
      </c>
      <c r="AC26" s="31">
        <v>23.889200738366402</v>
      </c>
      <c r="AD26" s="31">
        <v>18.038326939833802</v>
      </c>
    </row>
    <row r="27" spans="1:30" s="2" customFormat="1">
      <c r="A27" s="23" t="s">
        <v>19</v>
      </c>
      <c r="B27" s="8" t="s">
        <v>145</v>
      </c>
      <c r="C27" s="9">
        <v>1.26314462013701</v>
      </c>
      <c r="D27" s="9">
        <v>9.8310999468630603E-2</v>
      </c>
      <c r="E27" s="9">
        <v>0.37860539837305301</v>
      </c>
      <c r="F27" s="9">
        <v>3.32789944165372E-2</v>
      </c>
      <c r="G27" s="9">
        <v>0.397666808148744</v>
      </c>
      <c r="H27" s="8"/>
      <c r="I27" s="31">
        <v>264.68182106864703</v>
      </c>
      <c r="J27" s="31">
        <v>1957.4253570400999</v>
      </c>
      <c r="K27" s="31">
        <v>9.0439170532455801E-2</v>
      </c>
      <c r="L27" s="31">
        <v>0.63998339876739296</v>
      </c>
      <c r="M27" s="31">
        <v>0.13757841473232599</v>
      </c>
      <c r="N27" s="31">
        <v>1.0022347099843201</v>
      </c>
      <c r="O27" s="31">
        <v>1.1847510214896599</v>
      </c>
      <c r="P27" s="31">
        <v>1.65894077091346</v>
      </c>
      <c r="Q27" s="31">
        <v>5.2497117639350597</v>
      </c>
      <c r="R27" s="31">
        <v>1.90860635599777</v>
      </c>
      <c r="S27" s="31">
        <v>24.709875175554501</v>
      </c>
      <c r="T27" s="31">
        <v>8.6457310550886604</v>
      </c>
      <c r="U27" s="31">
        <v>40.178867719503401</v>
      </c>
      <c r="V27" s="31">
        <v>8.7875048778769393</v>
      </c>
      <c r="W27" s="31">
        <v>79.410886410156806</v>
      </c>
      <c r="X27" s="31">
        <v>12.327444053150099</v>
      </c>
      <c r="Y27" s="31">
        <v>4.0241292380719704</v>
      </c>
      <c r="Z27" s="31">
        <v>281.95203858096102</v>
      </c>
      <c r="AA27" s="31">
        <v>1.3441386842649501</v>
      </c>
      <c r="AB27" s="31">
        <v>5.6182590740645397E-2</v>
      </c>
      <c r="AC27" s="31">
        <v>1.6224419301589701</v>
      </c>
      <c r="AD27" s="31">
        <v>1.93706575332053</v>
      </c>
    </row>
    <row r="28" spans="1:30" s="2" customFormat="1">
      <c r="A28" s="23" t="s">
        <v>19</v>
      </c>
      <c r="B28" s="8" t="s">
        <v>146</v>
      </c>
      <c r="C28" s="9">
        <v>1.49172217548205</v>
      </c>
      <c r="D28" s="9">
        <v>9.3082720742272695E-2</v>
      </c>
      <c r="E28" s="9">
        <v>0.34305238072637501</v>
      </c>
      <c r="F28" s="9">
        <v>2.0331985970425001E-2</v>
      </c>
      <c r="G28" s="9">
        <v>0.44257195896604501</v>
      </c>
      <c r="H28" s="8"/>
      <c r="I28" s="31">
        <v>536.11096889659996</v>
      </c>
      <c r="J28" s="31">
        <v>2182.0593564576002</v>
      </c>
      <c r="K28" s="31">
        <v>0.81684428677828402</v>
      </c>
      <c r="L28" s="31">
        <v>4.93990285056221</v>
      </c>
      <c r="M28" s="31">
        <v>1.1123645165056399</v>
      </c>
      <c r="N28" s="31">
        <v>8.0068828361365192</v>
      </c>
      <c r="O28" s="31">
        <v>5.3638224558450602</v>
      </c>
      <c r="P28" s="31">
        <v>7.9090795521811499</v>
      </c>
      <c r="Q28" s="31">
        <v>13.8349375608482</v>
      </c>
      <c r="R28" s="31">
        <v>4.356931847826</v>
      </c>
      <c r="S28" s="31">
        <v>47.573790949765801</v>
      </c>
      <c r="T28" s="31">
        <v>15.4616661050655</v>
      </c>
      <c r="U28" s="31">
        <v>72.935444066347202</v>
      </c>
      <c r="V28" s="31">
        <v>15.778224291227801</v>
      </c>
      <c r="W28" s="31">
        <v>143.60025517903301</v>
      </c>
      <c r="X28" s="31">
        <v>20.545015980026498</v>
      </c>
      <c r="Y28" s="31">
        <v>2.7885529667934801</v>
      </c>
      <c r="Z28" s="31">
        <v>154.524249174343</v>
      </c>
      <c r="AA28" s="31">
        <v>0.97840656090256795</v>
      </c>
      <c r="AB28" s="31">
        <v>0.50117828494607497</v>
      </c>
      <c r="AC28" s="31">
        <v>2.9010398909394799</v>
      </c>
      <c r="AD28" s="31">
        <v>2.8009795424808601</v>
      </c>
    </row>
    <row r="29" spans="1:30" s="2" customFormat="1">
      <c r="A29" s="23" t="s">
        <v>19</v>
      </c>
      <c r="B29" s="8" t="s">
        <v>147</v>
      </c>
      <c r="C29" s="9">
        <v>1.2360191006095</v>
      </c>
      <c r="D29" s="9">
        <v>0.111773606610066</v>
      </c>
      <c r="E29" s="9">
        <v>0.57206067292585505</v>
      </c>
      <c r="F29" s="9">
        <v>6.41941360696099E-2</v>
      </c>
      <c r="G29" s="9">
        <v>0.21566307866815199</v>
      </c>
      <c r="H29" s="8"/>
      <c r="I29" s="31">
        <v>289.895402304127</v>
      </c>
      <c r="J29" s="31">
        <v>3220.1534767159701</v>
      </c>
      <c r="K29" s="31">
        <v>0.27119537306740499</v>
      </c>
      <c r="L29" s="31">
        <v>1.6817692373719999</v>
      </c>
      <c r="M29" s="31">
        <v>0.53014967379530697</v>
      </c>
      <c r="N29" s="31">
        <v>3.9163958900414499</v>
      </c>
      <c r="O29" s="31">
        <v>4.6352225812731902</v>
      </c>
      <c r="P29" s="31">
        <v>4.6859425168606803</v>
      </c>
      <c r="Q29" s="31">
        <v>13.2590695906711</v>
      </c>
      <c r="R29" s="31">
        <v>3.86922136248582</v>
      </c>
      <c r="S29" s="31">
        <v>36.839190878379497</v>
      </c>
      <c r="T29" s="31">
        <v>9.5958449237921908</v>
      </c>
      <c r="U29" s="31">
        <v>35.099700414235002</v>
      </c>
      <c r="V29" s="31">
        <v>5.8765569836741198</v>
      </c>
      <c r="W29" s="31">
        <v>40.756931074568897</v>
      </c>
      <c r="X29" s="31">
        <v>5.5909833863322902</v>
      </c>
      <c r="Y29" s="31">
        <v>4.2755764775499498</v>
      </c>
      <c r="Z29" s="31">
        <v>207.51440474686899</v>
      </c>
      <c r="AA29" s="31">
        <v>1.5349131159751599</v>
      </c>
      <c r="AB29" s="31">
        <v>0.128874335515622</v>
      </c>
      <c r="AC29" s="31">
        <v>0.799962852875303</v>
      </c>
      <c r="AD29" s="31">
        <v>1.43499684607891</v>
      </c>
    </row>
    <row r="30" spans="1:30" s="2" customFormat="1">
      <c r="A30" s="23" t="s">
        <v>19</v>
      </c>
      <c r="B30" s="8" t="s">
        <v>157</v>
      </c>
      <c r="C30" s="9">
        <v>1.2505553865475401</v>
      </c>
      <c r="D30" s="9">
        <v>8.9598699962748204E-2</v>
      </c>
      <c r="E30" s="9">
        <v>0.45109251452524601</v>
      </c>
      <c r="F30" s="9">
        <v>2.9722183896992001E-2</v>
      </c>
      <c r="G30" s="9">
        <v>0.63334787563551798</v>
      </c>
      <c r="H30" s="8"/>
      <c r="I30" s="31">
        <v>913.30928029720405</v>
      </c>
      <c r="J30" s="31">
        <v>3475.3833762320801</v>
      </c>
      <c r="K30" s="31">
        <v>0.27463660613998803</v>
      </c>
      <c r="L30" s="31">
        <v>2.0116645814298399</v>
      </c>
      <c r="M30" s="31">
        <v>0.483999560230993</v>
      </c>
      <c r="N30" s="31">
        <v>3.2925220075564399</v>
      </c>
      <c r="O30" s="31">
        <v>2.67592614304839</v>
      </c>
      <c r="P30" s="31">
        <v>7.6295397497487603</v>
      </c>
      <c r="Q30" s="31">
        <v>9.4992980226053891</v>
      </c>
      <c r="R30" s="31">
        <v>4.1646763446642803</v>
      </c>
      <c r="S30" s="31">
        <v>65.237697747496796</v>
      </c>
      <c r="T30" s="31">
        <v>25.756110403166399</v>
      </c>
      <c r="U30" s="31">
        <v>136.46532322480601</v>
      </c>
      <c r="V30" s="31">
        <v>31.319740545635302</v>
      </c>
      <c r="W30" s="31">
        <v>260.80806475790899</v>
      </c>
      <c r="X30" s="31">
        <v>36.6377340805427</v>
      </c>
      <c r="Y30" s="31">
        <v>4.2451210186481898</v>
      </c>
      <c r="Z30" s="31">
        <v>287.31139063095702</v>
      </c>
      <c r="AA30" s="31">
        <v>1.6584709846863801</v>
      </c>
      <c r="AB30" s="31">
        <v>0.19941291921832399</v>
      </c>
      <c r="AC30" s="31">
        <v>1.4797062796306599</v>
      </c>
      <c r="AD30" s="31">
        <v>2.1412691789120699</v>
      </c>
    </row>
    <row r="31" spans="1:30" s="2" customFormat="1">
      <c r="A31" s="23" t="s">
        <v>19</v>
      </c>
      <c r="B31" s="8" t="s">
        <v>148</v>
      </c>
      <c r="C31" s="9">
        <v>1.69076205608589</v>
      </c>
      <c r="D31" s="9">
        <v>9.8002608615335204E-2</v>
      </c>
      <c r="E31" s="9">
        <v>0.28632679931289401</v>
      </c>
      <c r="F31" s="9">
        <v>1.4952841672174399E-2</v>
      </c>
      <c r="G31" s="9">
        <v>0.42825438156034201</v>
      </c>
      <c r="H31" s="8"/>
      <c r="I31" s="31">
        <v>256.25604017493799</v>
      </c>
      <c r="J31" s="31">
        <v>916.965275238093</v>
      </c>
      <c r="K31" s="31">
        <v>0.76073739970823195</v>
      </c>
      <c r="L31" s="31">
        <v>5.6023127825442698</v>
      </c>
      <c r="M31" s="31">
        <v>1.44509175854233</v>
      </c>
      <c r="N31" s="31">
        <v>9.8265388773668505</v>
      </c>
      <c r="O31" s="31">
        <v>5.8084401250796596</v>
      </c>
      <c r="P31" s="31">
        <v>16.360990858134901</v>
      </c>
      <c r="Q31" s="31">
        <v>12.248416463003201</v>
      </c>
      <c r="R31" s="31">
        <v>3.0794193175956099</v>
      </c>
      <c r="S31" s="31">
        <v>28.546678782462099</v>
      </c>
      <c r="T31" s="31">
        <v>7.6439363904374904</v>
      </c>
      <c r="U31" s="31">
        <v>29.361816169772101</v>
      </c>
      <c r="V31" s="31">
        <v>5.1909264299367903</v>
      </c>
      <c r="W31" s="31">
        <v>42.844229774784203</v>
      </c>
      <c r="X31" s="31">
        <v>7.2117858203727598</v>
      </c>
      <c r="Y31" s="31">
        <v>1.04404467305712</v>
      </c>
      <c r="Z31" s="31">
        <v>35.032619573710498</v>
      </c>
      <c r="AA31" s="31">
        <v>1.0102916045657599</v>
      </c>
      <c r="AB31" s="31">
        <v>0.11373573950397101</v>
      </c>
      <c r="AC31" s="31">
        <v>4.8256871830444998</v>
      </c>
      <c r="AD31" s="31">
        <v>3.7486499295620499</v>
      </c>
    </row>
    <row r="32" spans="1:30" s="2" customFormat="1">
      <c r="A32" s="23" t="s">
        <v>19</v>
      </c>
      <c r="B32" s="8" t="s">
        <v>149</v>
      </c>
      <c r="C32" s="9">
        <v>1.2250230962258599</v>
      </c>
      <c r="D32" s="9">
        <v>0.10231927424093699</v>
      </c>
      <c r="E32" s="9">
        <v>0.543038118475484</v>
      </c>
      <c r="F32" s="9">
        <v>4.8617703314765101E-2</v>
      </c>
      <c r="G32" s="9">
        <v>0.59089107693793597</v>
      </c>
      <c r="H32" s="8"/>
      <c r="I32" s="31">
        <v>717.83392443823197</v>
      </c>
      <c r="J32" s="31">
        <v>1301.8273304674899</v>
      </c>
      <c r="K32" s="31">
        <v>0.27279085622545202</v>
      </c>
      <c r="L32" s="31">
        <v>1.8657624089398801</v>
      </c>
      <c r="M32" s="31">
        <v>0.60760233657245</v>
      </c>
      <c r="N32" s="31">
        <v>6.1212723487785601</v>
      </c>
      <c r="O32" s="31">
        <v>9.01531996211299</v>
      </c>
      <c r="P32" s="31">
        <v>5.9010404809432204</v>
      </c>
      <c r="Q32" s="31">
        <v>31.759345864501601</v>
      </c>
      <c r="R32" s="31">
        <v>9.7412930382957406</v>
      </c>
      <c r="S32" s="31">
        <v>97.317871379238497</v>
      </c>
      <c r="T32" s="31">
        <v>25.287094661885</v>
      </c>
      <c r="U32" s="31">
        <v>92.072508025874001</v>
      </c>
      <c r="V32" s="31">
        <v>14.7582909914167</v>
      </c>
      <c r="W32" s="31">
        <v>102.26799932019399</v>
      </c>
      <c r="X32" s="31">
        <v>13.761253179525699</v>
      </c>
      <c r="Y32" s="31">
        <v>3.3353556119371701</v>
      </c>
      <c r="Z32" s="31">
        <v>34.203835282131998</v>
      </c>
      <c r="AA32" s="31">
        <v>1.48001755258267</v>
      </c>
      <c r="AB32" s="31">
        <v>5.2416715159082999E-2</v>
      </c>
      <c r="AC32" s="31">
        <v>0.99683893096687803</v>
      </c>
      <c r="AD32" s="31">
        <v>1.6784157143021901</v>
      </c>
    </row>
    <row r="33" spans="1:30" s="2" customFormat="1">
      <c r="A33" s="23" t="s">
        <v>19</v>
      </c>
      <c r="B33" s="8" t="s">
        <v>150</v>
      </c>
      <c r="C33" s="9">
        <v>1.39551327077831</v>
      </c>
      <c r="D33" s="9">
        <v>0.110818338169408</v>
      </c>
      <c r="E33" s="9">
        <v>0.421864638830935</v>
      </c>
      <c r="F33" s="9">
        <v>3.3512496204181098E-2</v>
      </c>
      <c r="G33" s="9">
        <v>0.54097067761245998</v>
      </c>
      <c r="H33" s="8"/>
      <c r="I33" s="31">
        <v>488.490607879827</v>
      </c>
      <c r="J33" s="31">
        <v>1172.4511899056999</v>
      </c>
      <c r="K33" s="31">
        <v>0.299963838590799</v>
      </c>
      <c r="L33" s="31">
        <v>1.8926261343841</v>
      </c>
      <c r="M33" s="31">
        <v>0.58474824790013502</v>
      </c>
      <c r="N33" s="31">
        <v>6.2314652659598302</v>
      </c>
      <c r="O33" s="31">
        <v>7.4174176722579803</v>
      </c>
      <c r="P33" s="31">
        <v>5.30157546272918</v>
      </c>
      <c r="Q33" s="31">
        <v>23.9683563044637</v>
      </c>
      <c r="R33" s="31">
        <v>6.6492449874019597</v>
      </c>
      <c r="S33" s="31">
        <v>61.0036774341675</v>
      </c>
      <c r="T33" s="31">
        <v>16.1023595376172</v>
      </c>
      <c r="U33" s="31">
        <v>59.314043300040602</v>
      </c>
      <c r="V33" s="31">
        <v>10.3086746851718</v>
      </c>
      <c r="W33" s="31">
        <v>71.786310479328705</v>
      </c>
      <c r="X33" s="31">
        <v>10.595706423924</v>
      </c>
      <c r="Y33" s="31">
        <v>4.1574749438230301</v>
      </c>
      <c r="Z33" s="31">
        <v>45.006858311876002</v>
      </c>
      <c r="AA33" s="31">
        <v>1.22278088031719</v>
      </c>
      <c r="AB33" s="31">
        <v>0.18417614170237701</v>
      </c>
      <c r="AC33" s="31">
        <v>1.4878184073321301</v>
      </c>
      <c r="AD33" s="31">
        <v>1.8236671732121099</v>
      </c>
    </row>
    <row r="34" spans="1:30" s="2" customFormat="1">
      <c r="A34" s="23" t="s">
        <v>19</v>
      </c>
      <c r="B34" s="8" t="s">
        <v>158</v>
      </c>
      <c r="C34" s="9">
        <v>1.5391534765758601</v>
      </c>
      <c r="D34" s="9">
        <v>7.1923968369532396E-2</v>
      </c>
      <c r="E34" s="9">
        <v>0.231255911036999</v>
      </c>
      <c r="F34" s="9">
        <v>6.1668505541356304E-3</v>
      </c>
      <c r="G34" s="9">
        <v>0.329541038373037</v>
      </c>
      <c r="H34" s="8"/>
      <c r="I34" s="31">
        <v>1748.2368894737201</v>
      </c>
      <c r="J34" s="31">
        <v>594.58169796211405</v>
      </c>
      <c r="K34" s="31">
        <v>2.8531654069766601</v>
      </c>
      <c r="L34" s="31">
        <v>19.7435341653885</v>
      </c>
      <c r="M34" s="31">
        <v>5.6152702783142399</v>
      </c>
      <c r="N34" s="31">
        <v>49.805690074733398</v>
      </c>
      <c r="O34" s="31">
        <v>53.061212642576599</v>
      </c>
      <c r="P34" s="31">
        <v>48.826999662794499</v>
      </c>
      <c r="Q34" s="31">
        <v>144.18262141791101</v>
      </c>
      <c r="R34" s="31">
        <v>32.703683779867099</v>
      </c>
      <c r="S34" s="31">
        <v>255.860836318287</v>
      </c>
      <c r="T34" s="31">
        <v>57.400052623933298</v>
      </c>
      <c r="U34" s="31">
        <v>178.49604917329901</v>
      </c>
      <c r="V34" s="31">
        <v>26.1876057365279</v>
      </c>
      <c r="W34" s="31">
        <v>180.19807419514399</v>
      </c>
      <c r="X34" s="31">
        <v>27.2427291560433</v>
      </c>
      <c r="Y34" s="31">
        <v>2.6263522707111902</v>
      </c>
      <c r="Z34" s="31">
        <v>9.4703526424173798</v>
      </c>
      <c r="AA34" s="31">
        <v>1.48600917679988</v>
      </c>
      <c r="AB34" s="31">
        <v>0.69242104663654302</v>
      </c>
      <c r="AC34" s="31">
        <v>19.792529931670099</v>
      </c>
      <c r="AD34" s="31">
        <v>13.3562067905485</v>
      </c>
    </row>
    <row r="35" spans="1:30" s="2" customFormat="1">
      <c r="A35" s="23" t="s">
        <v>19</v>
      </c>
      <c r="B35" s="8" t="s">
        <v>159</v>
      </c>
      <c r="C35" s="9">
        <v>1.1479812456121501</v>
      </c>
      <c r="D35" s="9">
        <v>0.17269700355263701</v>
      </c>
      <c r="E35" s="9">
        <v>0.53205034496825498</v>
      </c>
      <c r="F35" s="9">
        <v>6.8897601184332594E-2</v>
      </c>
      <c r="G35" s="9">
        <v>0.39632284955356401</v>
      </c>
      <c r="H35" s="8"/>
      <c r="I35" s="31">
        <v>246.863810064978</v>
      </c>
      <c r="J35" s="31">
        <v>3011.9401065330599</v>
      </c>
      <c r="K35" s="31">
        <v>0.22214114615070099</v>
      </c>
      <c r="L35" s="31">
        <v>0.84690658077994796</v>
      </c>
      <c r="M35" s="31">
        <v>0.17522716993936199</v>
      </c>
      <c r="N35" s="31">
        <v>1.5494934865032199</v>
      </c>
      <c r="O35" s="31">
        <v>1.35266038252507</v>
      </c>
      <c r="P35" s="31">
        <v>2.4217112014799</v>
      </c>
      <c r="Q35" s="31">
        <v>2.9040765884368001</v>
      </c>
      <c r="R35" s="31">
        <v>1.27944432181357</v>
      </c>
      <c r="S35" s="31">
        <v>15.8855426000619</v>
      </c>
      <c r="T35" s="31">
        <v>6.8753789797126803</v>
      </c>
      <c r="U35" s="31">
        <v>36.199057174320998</v>
      </c>
      <c r="V35" s="31">
        <v>8.8791856242578806</v>
      </c>
      <c r="W35" s="31">
        <v>86.915756630783804</v>
      </c>
      <c r="X35" s="31">
        <v>14.8087972279561</v>
      </c>
      <c r="Y35" s="31">
        <v>5.3485835261475696</v>
      </c>
      <c r="Z35" s="31">
        <v>297.341438928701</v>
      </c>
      <c r="AA35" s="31">
        <v>1.6869404442428499</v>
      </c>
      <c r="AB35" s="31">
        <v>0.24814224981461799</v>
      </c>
      <c r="AC35" s="31">
        <v>0.787549071740683</v>
      </c>
      <c r="AD35" s="31">
        <v>1.5410968142428301</v>
      </c>
    </row>
    <row r="36" spans="1:30" s="2" customFormat="1">
      <c r="A36" s="23" t="s">
        <v>19</v>
      </c>
      <c r="B36" s="8" t="s">
        <v>151</v>
      </c>
      <c r="C36" s="9">
        <v>1.46664725231082</v>
      </c>
      <c r="D36" s="9">
        <v>7.5843000169460606E-2</v>
      </c>
      <c r="E36" s="9">
        <v>0.25111443845595699</v>
      </c>
      <c r="F36" s="9">
        <v>8.2286677776992005E-3</v>
      </c>
      <c r="G36" s="9">
        <v>0.284401812506133</v>
      </c>
      <c r="H36" s="8"/>
      <c r="I36" s="31">
        <v>1274.7523161029701</v>
      </c>
      <c r="J36" s="31">
        <v>1939.63145669034</v>
      </c>
      <c r="K36" s="31">
        <v>1.6001827497183601</v>
      </c>
      <c r="L36" s="31">
        <v>8.5280339152616396</v>
      </c>
      <c r="M36" s="31">
        <v>2.0205744572971698</v>
      </c>
      <c r="N36" s="31">
        <v>12.83453057312</v>
      </c>
      <c r="O36" s="31">
        <v>9.2226473453595492</v>
      </c>
      <c r="P36" s="31">
        <v>25.581178464187499</v>
      </c>
      <c r="Q36" s="31">
        <v>24.882035664544599</v>
      </c>
      <c r="R36" s="31">
        <v>8.3117133061009802</v>
      </c>
      <c r="S36" s="31">
        <v>103.365213394424</v>
      </c>
      <c r="T36" s="31">
        <v>36.0450694684722</v>
      </c>
      <c r="U36" s="31">
        <v>166.447257850439</v>
      </c>
      <c r="V36" s="31">
        <v>33.164745149274601</v>
      </c>
      <c r="W36" s="31">
        <v>266.68275733486303</v>
      </c>
      <c r="X36" s="31">
        <v>40.008727186116097</v>
      </c>
      <c r="Y36" s="31">
        <v>4.2204257965745704</v>
      </c>
      <c r="Z36" s="31">
        <v>177.60238538046701</v>
      </c>
      <c r="AA36" s="31">
        <v>1.5909719084943601</v>
      </c>
      <c r="AB36" s="31">
        <v>0.63868380234320599</v>
      </c>
      <c r="AC36" s="31">
        <v>13.9928998882366</v>
      </c>
      <c r="AD36" s="31">
        <v>10.3366054202138</v>
      </c>
    </row>
    <row r="37" spans="1:30" s="2" customFormat="1">
      <c r="A37" s="23" t="s">
        <v>19</v>
      </c>
      <c r="B37" s="8" t="s">
        <v>160</v>
      </c>
      <c r="C37" s="9">
        <v>0.82681729124001402</v>
      </c>
      <c r="D37" s="9">
        <v>9.1075284944401994E-2</v>
      </c>
      <c r="E37" s="9">
        <v>0.72031939125740596</v>
      </c>
      <c r="F37" s="9">
        <v>7.8675252496182901E-2</v>
      </c>
      <c r="G37" s="9">
        <v>0.33455601721822498</v>
      </c>
      <c r="H37" s="8"/>
      <c r="I37" s="31">
        <v>226.94675332934801</v>
      </c>
      <c r="J37" s="31">
        <v>2942.0259848476799</v>
      </c>
      <c r="K37" s="31">
        <v>8.9609543008253301E-2</v>
      </c>
      <c r="L37" s="31">
        <v>0.67600546268550299</v>
      </c>
      <c r="M37" s="31">
        <v>0.14215723211165501</v>
      </c>
      <c r="N37" s="31">
        <v>1.1283619245418799</v>
      </c>
      <c r="O37" s="31">
        <v>1.01303475261983</v>
      </c>
      <c r="P37" s="31">
        <v>1.86397321869751</v>
      </c>
      <c r="Q37" s="31">
        <v>2.7197873498442098</v>
      </c>
      <c r="R37" s="31">
        <v>1.0545233766744899</v>
      </c>
      <c r="S37" s="31">
        <v>15.2701022375514</v>
      </c>
      <c r="T37" s="31">
        <v>5.9052138767675197</v>
      </c>
      <c r="U37" s="31">
        <v>33.832581948677003</v>
      </c>
      <c r="V37" s="31">
        <v>8.9881127733090107</v>
      </c>
      <c r="W37" s="31">
        <v>84.729173683602696</v>
      </c>
      <c r="X37" s="31">
        <v>14.119260337904</v>
      </c>
      <c r="Y37" s="31">
        <v>5.1120385512680002</v>
      </c>
      <c r="Z37" s="31">
        <v>306.02764421696997</v>
      </c>
      <c r="AA37" s="31">
        <v>1.1537425115850499</v>
      </c>
      <c r="AB37" s="31">
        <v>0.115871843847727</v>
      </c>
      <c r="AC37" s="31">
        <v>0.35633215726278</v>
      </c>
      <c r="AD37" s="31">
        <v>1.17703265590157</v>
      </c>
    </row>
    <row r="38" spans="1:30" s="2" customFormat="1">
      <c r="A38" s="23" t="s">
        <v>19</v>
      </c>
      <c r="B38" s="8" t="s">
        <v>152</v>
      </c>
      <c r="C38" s="9">
        <v>1.06568030695729</v>
      </c>
      <c r="D38" s="9">
        <v>0.103428083639771</v>
      </c>
      <c r="E38" s="9">
        <v>0.50973944702222496</v>
      </c>
      <c r="F38" s="9">
        <v>5.5470317878748003E-2</v>
      </c>
      <c r="G38" s="9">
        <v>0.60403754783577501</v>
      </c>
      <c r="H38" s="8"/>
      <c r="I38" s="31">
        <v>251.44254144586</v>
      </c>
      <c r="J38" s="31">
        <v>1248.05421459024</v>
      </c>
      <c r="K38" s="31">
        <v>0.118483782620825</v>
      </c>
      <c r="L38" s="31">
        <v>0.73714580667589102</v>
      </c>
      <c r="M38" s="31">
        <v>0.202543672003165</v>
      </c>
      <c r="N38" s="31">
        <v>1.92017284871528</v>
      </c>
      <c r="O38" s="31">
        <v>2.5158255468299</v>
      </c>
      <c r="P38" s="31">
        <v>2.0170924350827901</v>
      </c>
      <c r="Q38" s="31">
        <v>9.5113646892218</v>
      </c>
      <c r="R38" s="31">
        <v>2.86922914193778</v>
      </c>
      <c r="S38" s="31">
        <v>29.183591601329599</v>
      </c>
      <c r="T38" s="31">
        <v>8.0575421239637706</v>
      </c>
      <c r="U38" s="31">
        <v>31.399908907222901</v>
      </c>
      <c r="V38" s="31">
        <v>5.4670646791647499</v>
      </c>
      <c r="W38" s="31">
        <v>46.761856715984898</v>
      </c>
      <c r="X38" s="31">
        <v>7.2559114115932797</v>
      </c>
      <c r="Y38" s="31">
        <v>2.1208577166951099</v>
      </c>
      <c r="Z38" s="31">
        <v>55.5159615360065</v>
      </c>
      <c r="AA38" s="31">
        <v>0.56986427237533099</v>
      </c>
      <c r="AB38" s="31">
        <v>6.8507002746655402E-2</v>
      </c>
      <c r="AC38" s="31">
        <v>0.76530680316244504</v>
      </c>
      <c r="AD38" s="31">
        <v>1.35283515208746</v>
      </c>
    </row>
    <row r="39" spans="1:30" s="2" customFormat="1">
      <c r="A39" s="23" t="s">
        <v>19</v>
      </c>
      <c r="B39" s="8" t="s">
        <v>153</v>
      </c>
      <c r="C39" s="9">
        <v>1.3515297002468201</v>
      </c>
      <c r="D39" s="9">
        <v>8.5311170112694595E-2</v>
      </c>
      <c r="E39" s="9">
        <v>0.38499296329671601</v>
      </c>
      <c r="F39" s="9">
        <v>2.4025533957759498E-2</v>
      </c>
      <c r="G39" s="9">
        <v>0.36743870346414598</v>
      </c>
      <c r="H39" s="8"/>
      <c r="I39" s="31">
        <v>1017.91694811948</v>
      </c>
      <c r="J39" s="31">
        <v>2863.34681037272</v>
      </c>
      <c r="K39" s="31">
        <v>0.45959903246884898</v>
      </c>
      <c r="L39" s="31">
        <v>3.0195939979062598</v>
      </c>
      <c r="M39" s="31">
        <v>0.91759995442469799</v>
      </c>
      <c r="N39" s="31">
        <v>8.3524896285511296</v>
      </c>
      <c r="O39" s="31">
        <v>11.4751008704262</v>
      </c>
      <c r="P39" s="31">
        <v>9.3575946389393092</v>
      </c>
      <c r="Q39" s="31">
        <v>39.0701705513166</v>
      </c>
      <c r="R39" s="31">
        <v>11.9587481207965</v>
      </c>
      <c r="S39" s="31">
        <v>121.83714640963299</v>
      </c>
      <c r="T39" s="31">
        <v>33.624331684022899</v>
      </c>
      <c r="U39" s="31">
        <v>133.34238466692599</v>
      </c>
      <c r="V39" s="31">
        <v>23.754854957446899</v>
      </c>
      <c r="W39" s="31">
        <v>173.14149028897501</v>
      </c>
      <c r="X39" s="31">
        <v>23.235874483978399</v>
      </c>
      <c r="Y39" s="31">
        <v>4.8941900385763102</v>
      </c>
      <c r="Z39" s="31">
        <v>140.36407435092599</v>
      </c>
      <c r="AA39" s="31">
        <v>2.0986546758832998</v>
      </c>
      <c r="AB39" s="31">
        <v>0.18275530136096099</v>
      </c>
      <c r="AC39" s="31">
        <v>2.11070191718464</v>
      </c>
      <c r="AD39" s="31">
        <v>2.3599840233955498</v>
      </c>
    </row>
    <row r="40" spans="1:30" s="2" customFormat="1">
      <c r="A40" s="23" t="s">
        <v>19</v>
      </c>
      <c r="B40" s="8" t="s">
        <v>154</v>
      </c>
      <c r="C40" s="9">
        <v>1.13456590489508</v>
      </c>
      <c r="D40" s="9">
        <v>9.2991789552842499E-2</v>
      </c>
      <c r="E40" s="9">
        <v>0.52359878272262805</v>
      </c>
      <c r="F40" s="9">
        <v>4.3402699808211501E-2</v>
      </c>
      <c r="G40" s="9">
        <v>0.68088056005731301</v>
      </c>
      <c r="H40" s="8"/>
      <c r="I40" s="31">
        <v>384.68824922654699</v>
      </c>
      <c r="J40" s="31">
        <v>2379.27666842294</v>
      </c>
      <c r="K40" s="31">
        <v>0.20944680214495301</v>
      </c>
      <c r="L40" s="31">
        <v>1.3926989273344099</v>
      </c>
      <c r="M40" s="31">
        <v>0.48495226543978698</v>
      </c>
      <c r="N40" s="31">
        <v>4.5480247202338404</v>
      </c>
      <c r="O40" s="31">
        <v>6.0172700433324602</v>
      </c>
      <c r="P40" s="31">
        <v>4.0653603956156097</v>
      </c>
      <c r="Q40" s="31">
        <v>18.964012675551899</v>
      </c>
      <c r="R40" s="31">
        <v>5.4123065204567498</v>
      </c>
      <c r="S40" s="31">
        <v>49.284618236815099</v>
      </c>
      <c r="T40" s="31">
        <v>13.3854093120075</v>
      </c>
      <c r="U40" s="31">
        <v>50.707263018563097</v>
      </c>
      <c r="V40" s="31">
        <v>9.1704498165992003</v>
      </c>
      <c r="W40" s="31">
        <v>72.081399929360202</v>
      </c>
      <c r="X40" s="31">
        <v>10.773868968095799</v>
      </c>
      <c r="Y40" s="31">
        <v>4.3188887997011802</v>
      </c>
      <c r="Z40" s="31">
        <v>82.550309532139494</v>
      </c>
      <c r="AA40" s="31">
        <v>1.90621947833688</v>
      </c>
      <c r="AB40" s="31">
        <v>5.35815488973517E-2</v>
      </c>
      <c r="AC40" s="31">
        <v>0.81898610720694898</v>
      </c>
      <c r="AD40" s="31">
        <v>1.43191381338645</v>
      </c>
    </row>
    <row r="41" spans="1:30" s="2" customFormat="1">
      <c r="A41" s="23" t="s">
        <v>19</v>
      </c>
      <c r="B41" s="8" t="s">
        <v>161</v>
      </c>
      <c r="C41" s="9">
        <v>1.6070281260556101</v>
      </c>
      <c r="D41" s="9">
        <v>7.5493957994085301E-2</v>
      </c>
      <c r="E41" s="9">
        <v>0.22996787227336801</v>
      </c>
      <c r="F41" s="9">
        <v>4.5714807484449303E-3</v>
      </c>
      <c r="G41" s="9">
        <v>0.35883648272413898</v>
      </c>
      <c r="H41" s="8"/>
      <c r="I41" s="31">
        <v>1153.8704972318701</v>
      </c>
      <c r="J41" s="31">
        <v>2155.8725027557798</v>
      </c>
      <c r="K41" s="31">
        <v>7.5472816820597801</v>
      </c>
      <c r="L41" s="31">
        <v>43.716390360365402</v>
      </c>
      <c r="M41" s="31">
        <v>10.1066352981632</v>
      </c>
      <c r="N41" s="31">
        <v>60.700580569883101</v>
      </c>
      <c r="O41" s="31">
        <v>32.6061828955525</v>
      </c>
      <c r="P41" s="31">
        <v>57.407933820922601</v>
      </c>
      <c r="Q41" s="31">
        <v>58.150687756503103</v>
      </c>
      <c r="R41" s="31">
        <v>14.2397954305223</v>
      </c>
      <c r="S41" s="31">
        <v>129.18539055060401</v>
      </c>
      <c r="T41" s="31">
        <v>34.561147022362</v>
      </c>
      <c r="U41" s="31">
        <v>130.00596697921199</v>
      </c>
      <c r="V41" s="31">
        <v>22.372101716417099</v>
      </c>
      <c r="W41" s="31">
        <v>174.43570638871299</v>
      </c>
      <c r="X41" s="31">
        <v>26.3368180413723</v>
      </c>
      <c r="Y41" s="31">
        <v>5.1786159058285799</v>
      </c>
      <c r="Z41" s="31">
        <v>143.38797211764299</v>
      </c>
      <c r="AA41" s="31">
        <v>1.85608029291081</v>
      </c>
      <c r="AB41" s="31">
        <v>2.2774166332661601</v>
      </c>
      <c r="AC41" s="31">
        <v>41.179912901818497</v>
      </c>
      <c r="AD41" s="31">
        <v>28.581978185766399</v>
      </c>
    </row>
    <row r="42" spans="1:30" s="2" customFormat="1">
      <c r="A42" s="23" t="s">
        <v>19</v>
      </c>
      <c r="B42" s="8" t="s">
        <v>155</v>
      </c>
      <c r="C42" s="9">
        <v>1.1352416481343901</v>
      </c>
      <c r="D42" s="9">
        <v>0.18603493477982899</v>
      </c>
      <c r="E42" s="9">
        <v>0.82945813517141298</v>
      </c>
      <c r="F42" s="9">
        <v>0.158894056731675</v>
      </c>
      <c r="G42" s="9">
        <v>0.70011768536936403</v>
      </c>
      <c r="H42" s="8"/>
      <c r="I42" s="31">
        <v>201.74655901780801</v>
      </c>
      <c r="J42" s="31">
        <v>1126.96408637892</v>
      </c>
      <c r="K42" s="31">
        <v>1.8960040857267799E-2</v>
      </c>
      <c r="L42" s="31">
        <v>0.26752040114041298</v>
      </c>
      <c r="M42" s="31">
        <v>8.4493053234202503E-2</v>
      </c>
      <c r="N42" s="31">
        <v>0.82667887732474099</v>
      </c>
      <c r="O42" s="31">
        <v>1.22207693463034</v>
      </c>
      <c r="P42" s="31">
        <v>1.7224381449316899</v>
      </c>
      <c r="Q42" s="31">
        <v>4.9819215154260998</v>
      </c>
      <c r="R42" s="31">
        <v>1.96114792698843</v>
      </c>
      <c r="S42" s="31">
        <v>21.519721894479201</v>
      </c>
      <c r="T42" s="31">
        <v>6.3539524652784802</v>
      </c>
      <c r="U42" s="31">
        <v>27.205805644315799</v>
      </c>
      <c r="V42" s="31">
        <v>4.6245301208760097</v>
      </c>
      <c r="W42" s="31">
        <v>33.979931658783798</v>
      </c>
      <c r="X42" s="31">
        <v>5.15672814668517</v>
      </c>
      <c r="Y42" s="31">
        <v>3.0766463508912998</v>
      </c>
      <c r="Z42" s="31">
        <v>71.125979954915294</v>
      </c>
      <c r="AA42" s="31">
        <v>0.930034993840399</v>
      </c>
      <c r="AB42" s="31">
        <v>2.79594570219991E-4</v>
      </c>
      <c r="AC42" s="31">
        <v>0.36267562818365501</v>
      </c>
      <c r="AD42" s="31">
        <v>0.95527495282450803</v>
      </c>
    </row>
    <row r="43" spans="1:30" s="2" customFormat="1">
      <c r="A43" s="23"/>
      <c r="B43" s="8"/>
      <c r="C43" s="9"/>
      <c r="D43" s="9"/>
      <c r="E43" s="9"/>
      <c r="F43" s="9"/>
      <c r="G43" s="9"/>
      <c r="H43" s="8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s="2" customFormat="1">
      <c r="A44" s="23" t="s">
        <v>27</v>
      </c>
      <c r="B44" s="8" t="s">
        <v>236</v>
      </c>
      <c r="C44" s="9">
        <v>1.57618422435794</v>
      </c>
      <c r="D44" s="9">
        <v>7.4912164330761102E-2</v>
      </c>
      <c r="E44" s="9">
        <v>0.32349220002175899</v>
      </c>
      <c r="F44" s="9">
        <v>7.12141827896843E-3</v>
      </c>
      <c r="G44" s="9">
        <v>0.21944020839536099</v>
      </c>
      <c r="H44" s="8"/>
      <c r="I44" s="31">
        <v>3879.0804854944399</v>
      </c>
      <c r="J44" s="31">
        <v>13070.1615653935</v>
      </c>
      <c r="K44" s="31">
        <v>132.33554408007899</v>
      </c>
      <c r="L44" s="31">
        <v>1185.5714641154</v>
      </c>
      <c r="M44" s="31">
        <v>306.67134069963498</v>
      </c>
      <c r="N44" s="31">
        <v>1553.31649455</v>
      </c>
      <c r="O44" s="31">
        <v>780.30255671622501</v>
      </c>
      <c r="P44" s="31">
        <v>70.431178052129198</v>
      </c>
      <c r="Q44" s="31">
        <v>652.45038550656</v>
      </c>
      <c r="R44" s="31">
        <v>119.19364848978</v>
      </c>
      <c r="S44" s="31">
        <v>687.83555842550004</v>
      </c>
      <c r="T44" s="31">
        <v>105.624533686413</v>
      </c>
      <c r="U44" s="31">
        <v>262.617391052958</v>
      </c>
      <c r="V44" s="31">
        <v>41.595899479641901</v>
      </c>
      <c r="W44" s="31">
        <v>286.159072448899</v>
      </c>
      <c r="X44" s="31">
        <v>26.435201907748901</v>
      </c>
      <c r="Y44" s="31">
        <v>107.38540241419</v>
      </c>
      <c r="Z44" s="31">
        <v>1506.2604163590499</v>
      </c>
      <c r="AA44" s="31">
        <v>323.35115863774701</v>
      </c>
      <c r="AB44" s="31">
        <v>59.6174391660388</v>
      </c>
      <c r="AC44" s="31">
        <v>61.567690098785299</v>
      </c>
      <c r="AD44" s="31">
        <v>63.8597784544584</v>
      </c>
    </row>
    <row r="45" spans="1:30" s="2" customFormat="1">
      <c r="A45" s="23" t="s">
        <v>27</v>
      </c>
      <c r="B45" s="8" t="s">
        <v>224</v>
      </c>
      <c r="C45" s="9">
        <v>1.7803539511076201</v>
      </c>
      <c r="D45" s="9">
        <v>8.7618914624740404E-2</v>
      </c>
      <c r="E45" s="9">
        <v>0.29080723301352601</v>
      </c>
      <c r="F45" s="9">
        <v>5.7279074370142199E-3</v>
      </c>
      <c r="G45" s="9">
        <v>-0.106345691907165</v>
      </c>
      <c r="H45" s="8"/>
      <c r="I45" s="31">
        <v>4489.4778343197604</v>
      </c>
      <c r="J45" s="31">
        <v>12812.6158164566</v>
      </c>
      <c r="K45" s="31">
        <v>143.76852538321799</v>
      </c>
      <c r="L45" s="31">
        <v>1517.4577482826901</v>
      </c>
      <c r="M45" s="31">
        <v>422.29787780620501</v>
      </c>
      <c r="N45" s="31">
        <v>2195.4513731673801</v>
      </c>
      <c r="O45" s="31">
        <v>1055.39995808203</v>
      </c>
      <c r="P45" s="31">
        <v>85.910776843783793</v>
      </c>
      <c r="Q45" s="31">
        <v>818.25468956817497</v>
      </c>
      <c r="R45" s="31">
        <v>141.82827955174</v>
      </c>
      <c r="S45" s="31">
        <v>828.60286984284596</v>
      </c>
      <c r="T45" s="31">
        <v>126.25814468411301</v>
      </c>
      <c r="U45" s="31">
        <v>320.63108523753101</v>
      </c>
      <c r="V45" s="31">
        <v>51.5910682757914</v>
      </c>
      <c r="W45" s="31">
        <v>352.134529690367</v>
      </c>
      <c r="X45" s="31">
        <v>30.341840137484599</v>
      </c>
      <c r="Y45" s="31">
        <v>134.84780249011101</v>
      </c>
      <c r="Z45" s="31">
        <v>1556.25372426326</v>
      </c>
      <c r="AA45" s="31">
        <v>345.12977281402499</v>
      </c>
      <c r="AB45" s="31">
        <v>30.392588833317699</v>
      </c>
      <c r="AC45" s="31">
        <v>135.712881805291</v>
      </c>
      <c r="AD45" s="31">
        <v>112.84622314787001</v>
      </c>
    </row>
    <row r="46" spans="1:30" s="2" customFormat="1">
      <c r="A46" s="23" t="s">
        <v>27</v>
      </c>
      <c r="B46" s="8" t="s">
        <v>225</v>
      </c>
      <c r="C46" s="9">
        <v>1.65979201186008</v>
      </c>
      <c r="D46" s="9">
        <v>7.8493185457997994E-2</v>
      </c>
      <c r="E46" s="9">
        <v>0.28772873349375699</v>
      </c>
      <c r="F46" s="9">
        <v>4.4840135912295499E-3</v>
      </c>
      <c r="G46" s="9">
        <v>0.50791970211631798</v>
      </c>
      <c r="H46" s="8"/>
      <c r="I46" s="31">
        <v>4463.1751999173603</v>
      </c>
      <c r="J46" s="31">
        <v>13024.403606039101</v>
      </c>
      <c r="K46" s="31">
        <v>165.56026639159001</v>
      </c>
      <c r="L46" s="31">
        <v>1732.60379916387</v>
      </c>
      <c r="M46" s="31">
        <v>466.119627237977</v>
      </c>
      <c r="N46" s="31">
        <v>2385.2587536460601</v>
      </c>
      <c r="O46" s="31">
        <v>1112.53957546421</v>
      </c>
      <c r="P46" s="31">
        <v>81.9506392215782</v>
      </c>
      <c r="Q46" s="31">
        <v>905.23561340587298</v>
      </c>
      <c r="R46" s="31">
        <v>143.799870291095</v>
      </c>
      <c r="S46" s="31">
        <v>797.39626339451502</v>
      </c>
      <c r="T46" s="31">
        <v>125.96353460746199</v>
      </c>
      <c r="U46" s="31">
        <v>322.668760355899</v>
      </c>
      <c r="V46" s="31">
        <v>49.777568984723601</v>
      </c>
      <c r="W46" s="31">
        <v>342.041193474105</v>
      </c>
      <c r="X46" s="31">
        <v>30.698076604937398</v>
      </c>
      <c r="Y46" s="31">
        <v>132.175654397264</v>
      </c>
      <c r="Z46" s="31">
        <v>1872.7516580842901</v>
      </c>
      <c r="AA46" s="31">
        <v>405.92775864797699</v>
      </c>
      <c r="AB46" s="31">
        <v>20.287295858539999</v>
      </c>
      <c r="AC46" s="31">
        <v>134.82233332806101</v>
      </c>
      <c r="AD46" s="31">
        <v>119.698638683376</v>
      </c>
    </row>
    <row r="47" spans="1:30" s="2" customFormat="1">
      <c r="A47" s="23" t="s">
        <v>27</v>
      </c>
      <c r="B47" s="8" t="s">
        <v>241</v>
      </c>
      <c r="C47" s="9">
        <v>1.91843001352265</v>
      </c>
      <c r="D47" s="9">
        <v>8.4716107138797306E-2</v>
      </c>
      <c r="E47" s="9">
        <v>0.25626010291336698</v>
      </c>
      <c r="F47" s="9">
        <v>3.3251214762732599E-3</v>
      </c>
      <c r="G47" s="9">
        <v>0.43773191511599802</v>
      </c>
      <c r="H47" s="8"/>
      <c r="I47" s="31">
        <v>4235.7532668553204</v>
      </c>
      <c r="J47" s="31">
        <v>11425.338893816201</v>
      </c>
      <c r="K47" s="31">
        <v>170.07768179004199</v>
      </c>
      <c r="L47" s="31">
        <v>1678.37238408602</v>
      </c>
      <c r="M47" s="31">
        <v>461.69365490541702</v>
      </c>
      <c r="N47" s="31">
        <v>2407.68472083915</v>
      </c>
      <c r="O47" s="31">
        <v>1124.5476272609001</v>
      </c>
      <c r="P47" s="31">
        <v>79.719178193822401</v>
      </c>
      <c r="Q47" s="31">
        <v>879.66377791189404</v>
      </c>
      <c r="R47" s="31">
        <v>145.584347974238</v>
      </c>
      <c r="S47" s="31">
        <v>799.41392681496598</v>
      </c>
      <c r="T47" s="31">
        <v>122.219123550923</v>
      </c>
      <c r="U47" s="31">
        <v>308.80776784850502</v>
      </c>
      <c r="V47" s="31">
        <v>48.723903340913303</v>
      </c>
      <c r="W47" s="31">
        <v>332.00849782686703</v>
      </c>
      <c r="X47" s="31">
        <v>28.9130952906524</v>
      </c>
      <c r="Y47" s="31">
        <v>106.257863464404</v>
      </c>
      <c r="Z47" s="31">
        <v>1575.2847712530299</v>
      </c>
      <c r="AA47" s="31">
        <v>437.27532017539397</v>
      </c>
      <c r="AB47" s="31">
        <v>27.295441693116199</v>
      </c>
      <c r="AC47" s="31">
        <v>203.51955144119901</v>
      </c>
      <c r="AD47" s="31">
        <v>151.379829648911</v>
      </c>
    </row>
    <row r="48" spans="1:30" s="2" customFormat="1">
      <c r="A48" s="23" t="s">
        <v>27</v>
      </c>
      <c r="B48" s="8" t="s">
        <v>226</v>
      </c>
      <c r="C48" s="9">
        <v>1.68687890081056</v>
      </c>
      <c r="D48" s="9">
        <v>7.8056216005173207E-2</v>
      </c>
      <c r="E48" s="9">
        <v>0.31644446368452001</v>
      </c>
      <c r="F48" s="9">
        <v>4.1872751538237401E-3</v>
      </c>
      <c r="G48" s="9">
        <v>0.42410051830065199</v>
      </c>
      <c r="H48" s="8"/>
      <c r="I48" s="31">
        <v>4667.5991061410105</v>
      </c>
      <c r="J48" s="31">
        <v>11065.453506445399</v>
      </c>
      <c r="K48" s="31">
        <v>123.113572753024</v>
      </c>
      <c r="L48" s="31">
        <v>1302.3600599732999</v>
      </c>
      <c r="M48" s="31">
        <v>366.34166681996697</v>
      </c>
      <c r="N48" s="31">
        <v>1897.6030858986301</v>
      </c>
      <c r="O48" s="31">
        <v>954.20559920362905</v>
      </c>
      <c r="P48" s="31">
        <v>75.289296558814797</v>
      </c>
      <c r="Q48" s="31">
        <v>792.25046020459899</v>
      </c>
      <c r="R48" s="31">
        <v>141.91888140011801</v>
      </c>
      <c r="S48" s="31">
        <v>829.86355630537696</v>
      </c>
      <c r="T48" s="31">
        <v>131.51394185528301</v>
      </c>
      <c r="U48" s="31">
        <v>346.90652147237699</v>
      </c>
      <c r="V48" s="31">
        <v>54.169858063208302</v>
      </c>
      <c r="W48" s="31">
        <v>373.33099114668198</v>
      </c>
      <c r="X48" s="31">
        <v>32.400964993671302</v>
      </c>
      <c r="Y48" s="31">
        <v>83.059824986069799</v>
      </c>
      <c r="Z48" s="31">
        <v>1278.6320285279801</v>
      </c>
      <c r="AA48" s="31">
        <v>306.57285578341498</v>
      </c>
      <c r="AB48" s="31">
        <v>21.707958032670899</v>
      </c>
      <c r="AC48" s="31">
        <v>103.419047023058</v>
      </c>
      <c r="AD48" s="31">
        <v>96.024937983324904</v>
      </c>
    </row>
    <row r="49" spans="1:30" s="2" customFormat="1">
      <c r="A49" s="23" t="s">
        <v>27</v>
      </c>
      <c r="B49" s="8" t="s">
        <v>237</v>
      </c>
      <c r="C49" s="9">
        <v>1.83631154273756</v>
      </c>
      <c r="D49" s="9">
        <v>8.6325225414271095E-2</v>
      </c>
      <c r="E49" s="9">
        <v>0.26276417549806702</v>
      </c>
      <c r="F49" s="9">
        <v>3.9586481747825404E-3</v>
      </c>
      <c r="G49" s="9">
        <v>0.27064162514371298</v>
      </c>
      <c r="H49" s="8"/>
      <c r="I49" s="31">
        <v>3733.1295694591699</v>
      </c>
      <c r="J49" s="31">
        <v>10424.7562714009</v>
      </c>
      <c r="K49" s="31">
        <v>160.70267464170399</v>
      </c>
      <c r="L49" s="31">
        <v>1615.80948393584</v>
      </c>
      <c r="M49" s="31">
        <v>414.99418526883898</v>
      </c>
      <c r="N49" s="31">
        <v>1997.28357171316</v>
      </c>
      <c r="O49" s="31">
        <v>847.32616682933701</v>
      </c>
      <c r="P49" s="31">
        <v>59.690437212810203</v>
      </c>
      <c r="Q49" s="31">
        <v>683.70145604885101</v>
      </c>
      <c r="R49" s="31">
        <v>112.972940381611</v>
      </c>
      <c r="S49" s="31">
        <v>636.53695732599897</v>
      </c>
      <c r="T49" s="31">
        <v>104.07158266300399</v>
      </c>
      <c r="U49" s="31">
        <v>278.076810426885</v>
      </c>
      <c r="V49" s="31">
        <v>44.534034413204303</v>
      </c>
      <c r="W49" s="31">
        <v>320.96200873163701</v>
      </c>
      <c r="X49" s="31">
        <v>29.684543751762899</v>
      </c>
      <c r="Y49" s="31">
        <v>69.110139610927604</v>
      </c>
      <c r="Z49" s="31">
        <v>839.71824522423003</v>
      </c>
      <c r="AA49" s="31">
        <v>373.854158698464</v>
      </c>
      <c r="AB49" s="31">
        <v>9.0324921473605002</v>
      </c>
      <c r="AC49" s="31">
        <v>131.166812109402</v>
      </c>
      <c r="AD49" s="31">
        <v>98.050726722463693</v>
      </c>
    </row>
    <row r="50" spans="1:30" s="2" customFormat="1">
      <c r="A50" s="23" t="s">
        <v>27</v>
      </c>
      <c r="B50" s="8" t="s">
        <v>227</v>
      </c>
      <c r="C50" s="9">
        <v>1.67155969581932</v>
      </c>
      <c r="D50" s="9">
        <v>9.0715300134294005E-2</v>
      </c>
      <c r="E50" s="9">
        <v>0.28929511985360801</v>
      </c>
      <c r="F50" s="9">
        <v>1.4407547447954199E-2</v>
      </c>
      <c r="G50" s="9">
        <v>-0.15385548635717</v>
      </c>
      <c r="H50" s="8"/>
      <c r="I50" s="31">
        <v>3683.6274957690598</v>
      </c>
      <c r="J50" s="31">
        <v>7958.4724958222196</v>
      </c>
      <c r="K50" s="31">
        <v>98.771051288459802</v>
      </c>
      <c r="L50" s="31">
        <v>967.58858022870595</v>
      </c>
      <c r="M50" s="31">
        <v>267.33500324304902</v>
      </c>
      <c r="N50" s="31">
        <v>1395.90179739674</v>
      </c>
      <c r="O50" s="31">
        <v>674.11915576371302</v>
      </c>
      <c r="P50" s="31">
        <v>54.247090687282103</v>
      </c>
      <c r="Q50" s="31">
        <v>586.44954677379303</v>
      </c>
      <c r="R50" s="31">
        <v>100.175971295453</v>
      </c>
      <c r="S50" s="31">
        <v>582.26686500109997</v>
      </c>
      <c r="T50" s="31">
        <v>99.451652761326201</v>
      </c>
      <c r="U50" s="31">
        <v>265.99352823415302</v>
      </c>
      <c r="V50" s="31">
        <v>42.336736556405597</v>
      </c>
      <c r="W50" s="31">
        <v>295.98913338674799</v>
      </c>
      <c r="X50" s="31">
        <v>30.0008709051225</v>
      </c>
      <c r="Y50" s="31">
        <v>79.0117007490161</v>
      </c>
      <c r="Z50" s="31">
        <v>979.21965983799998</v>
      </c>
      <c r="AA50" s="31">
        <v>189.00403331635599</v>
      </c>
      <c r="AB50" s="31">
        <v>4.1120066742483399</v>
      </c>
      <c r="AC50" s="31">
        <v>45.926734583671902</v>
      </c>
      <c r="AD50" s="31">
        <v>45.769723837428302</v>
      </c>
    </row>
    <row r="51" spans="1:30" s="2" customFormat="1">
      <c r="A51" s="23" t="s">
        <v>27</v>
      </c>
      <c r="B51" s="8" t="s">
        <v>242</v>
      </c>
      <c r="C51" s="9">
        <v>1.8004277686558601</v>
      </c>
      <c r="D51" s="9">
        <v>9.4673054553080102E-2</v>
      </c>
      <c r="E51" s="9">
        <v>0.28064388744187002</v>
      </c>
      <c r="F51" s="9">
        <v>6.1577083905003599E-3</v>
      </c>
      <c r="G51" s="9">
        <v>-2.2398247375124899E-2</v>
      </c>
      <c r="H51" s="8"/>
      <c r="I51" s="31">
        <v>4679.5882028911201</v>
      </c>
      <c r="J51" s="31">
        <v>15125.800177327599</v>
      </c>
      <c r="K51" s="31">
        <v>131.89597142601201</v>
      </c>
      <c r="L51" s="31">
        <v>1384.1554393374599</v>
      </c>
      <c r="M51" s="31">
        <v>403.924893080993</v>
      </c>
      <c r="N51" s="31">
        <v>2203.5413349474202</v>
      </c>
      <c r="O51" s="31">
        <v>1136.9531748924001</v>
      </c>
      <c r="P51" s="31">
        <v>85.131913662743898</v>
      </c>
      <c r="Q51" s="31">
        <v>920.14424060420004</v>
      </c>
      <c r="R51" s="31">
        <v>155.908331039665</v>
      </c>
      <c r="S51" s="31">
        <v>897.27664125059596</v>
      </c>
      <c r="T51" s="31">
        <v>135.37125684663999</v>
      </c>
      <c r="U51" s="31">
        <v>343.50954933279098</v>
      </c>
      <c r="V51" s="31">
        <v>53.487646108704801</v>
      </c>
      <c r="W51" s="31">
        <v>359.78407202070099</v>
      </c>
      <c r="X51" s="31">
        <v>30.833186398508701</v>
      </c>
      <c r="Y51" s="31">
        <v>151.31720145918899</v>
      </c>
      <c r="Z51" s="31">
        <v>2346.2078615301398</v>
      </c>
      <c r="AA51" s="31">
        <v>354.41721411294498</v>
      </c>
      <c r="AB51" s="31">
        <v>43.475657178996698</v>
      </c>
      <c r="AC51" s="31">
        <v>161.23454536502999</v>
      </c>
      <c r="AD51" s="31">
        <v>132.053347166181</v>
      </c>
    </row>
    <row r="52" spans="1:30" s="2" customFormat="1">
      <c r="A52" s="23" t="s">
        <v>27</v>
      </c>
      <c r="B52" s="8" t="s">
        <v>228</v>
      </c>
      <c r="C52" s="9">
        <v>1.27232777145651</v>
      </c>
      <c r="D52" s="9">
        <v>5.5978894243800301E-2</v>
      </c>
      <c r="E52" s="9">
        <v>0.42806563644032802</v>
      </c>
      <c r="F52" s="9">
        <v>7.3448099280189203E-3</v>
      </c>
      <c r="G52" s="9">
        <v>0.26629760113232398</v>
      </c>
      <c r="H52" s="8"/>
      <c r="I52" s="31">
        <v>4594.7973132192001</v>
      </c>
      <c r="J52" s="31">
        <v>9874.3960291562908</v>
      </c>
      <c r="K52" s="31">
        <v>157.88017674848899</v>
      </c>
      <c r="L52" s="31">
        <v>1445.0729777496899</v>
      </c>
      <c r="M52" s="31">
        <v>383.01159982542998</v>
      </c>
      <c r="N52" s="31">
        <v>1922.1614154543099</v>
      </c>
      <c r="O52" s="31">
        <v>903.20975953118102</v>
      </c>
      <c r="P52" s="31">
        <v>72.692602487311007</v>
      </c>
      <c r="Q52" s="31">
        <v>728.72702210455304</v>
      </c>
      <c r="R52" s="31">
        <v>131.97261079174399</v>
      </c>
      <c r="S52" s="31">
        <v>790.33266216868003</v>
      </c>
      <c r="T52" s="31">
        <v>129.945545957392</v>
      </c>
      <c r="U52" s="31">
        <v>347.67621582049202</v>
      </c>
      <c r="V52" s="31">
        <v>56.803976927295501</v>
      </c>
      <c r="W52" s="31">
        <v>379.89003400707998</v>
      </c>
      <c r="X52" s="31">
        <v>35.358625475401297</v>
      </c>
      <c r="Y52" s="31">
        <v>78.531569857465499</v>
      </c>
      <c r="Z52" s="31">
        <v>1281.6231435800601</v>
      </c>
      <c r="AA52" s="31">
        <v>340.25586525953901</v>
      </c>
      <c r="AB52" s="31">
        <v>13.8271812969893</v>
      </c>
      <c r="AC52" s="31">
        <v>72.2843955368769</v>
      </c>
      <c r="AD52" s="31">
        <v>106.73973233880901</v>
      </c>
    </row>
    <row r="53" spans="1:30" s="2" customFormat="1">
      <c r="A53" s="23" t="s">
        <v>27</v>
      </c>
      <c r="B53" s="8" t="s">
        <v>238</v>
      </c>
      <c r="C53" s="9">
        <v>1.4916532730746099</v>
      </c>
      <c r="D53" s="9">
        <v>7.0140854400151401E-2</v>
      </c>
      <c r="E53" s="9">
        <v>0.33515059622745302</v>
      </c>
      <c r="F53" s="9">
        <v>6.5935721374122498E-3</v>
      </c>
      <c r="G53" s="9">
        <v>0.25133437228993299</v>
      </c>
      <c r="H53" s="8"/>
      <c r="I53" s="31">
        <v>4771.8241547688904</v>
      </c>
      <c r="J53" s="31">
        <v>14509.357426256</v>
      </c>
      <c r="K53" s="31">
        <v>140.98883096388099</v>
      </c>
      <c r="L53" s="31">
        <v>1450.30591912509</v>
      </c>
      <c r="M53" s="31">
        <v>419.66746014448802</v>
      </c>
      <c r="N53" s="31">
        <v>2258.4294286377699</v>
      </c>
      <c r="O53" s="31">
        <v>1130.7848444789699</v>
      </c>
      <c r="P53" s="31">
        <v>88.358890173252803</v>
      </c>
      <c r="Q53" s="31">
        <v>902.18901149010901</v>
      </c>
      <c r="R53" s="31">
        <v>154.89105350046299</v>
      </c>
      <c r="S53" s="31">
        <v>882.38417556749903</v>
      </c>
      <c r="T53" s="31">
        <v>135.74308181930999</v>
      </c>
      <c r="U53" s="31">
        <v>349.31884394855803</v>
      </c>
      <c r="V53" s="31">
        <v>54.416540441440397</v>
      </c>
      <c r="W53" s="31">
        <v>377.89172490682103</v>
      </c>
      <c r="X53" s="31">
        <v>32.155969828982499</v>
      </c>
      <c r="Y53" s="31">
        <v>135.43886263099901</v>
      </c>
      <c r="Z53" s="31">
        <v>1960.9166891325001</v>
      </c>
      <c r="AA53" s="31">
        <v>350.00190800216302</v>
      </c>
      <c r="AB53" s="31">
        <v>32.7338076329629</v>
      </c>
      <c r="AC53" s="31">
        <v>115.237824822222</v>
      </c>
      <c r="AD53" s="31">
        <v>125.559519840473</v>
      </c>
    </row>
    <row r="54" spans="1:30" s="2" customFormat="1">
      <c r="A54" s="23" t="s">
        <v>27</v>
      </c>
      <c r="B54" s="8" t="s">
        <v>229</v>
      </c>
      <c r="C54" s="9">
        <v>1.58375283575179</v>
      </c>
      <c r="D54" s="9">
        <v>7.0946554211992599E-2</v>
      </c>
      <c r="E54" s="9">
        <v>0.32633233620212698</v>
      </c>
      <c r="F54" s="9">
        <v>5.0735005405277899E-3</v>
      </c>
      <c r="G54" s="9">
        <v>0.36700415730108199</v>
      </c>
      <c r="H54" s="8"/>
      <c r="I54" s="31">
        <v>4368.7337534560702</v>
      </c>
      <c r="J54" s="31">
        <v>10653.845579257701</v>
      </c>
      <c r="K54" s="31">
        <v>143.708607285592</v>
      </c>
      <c r="L54" s="31">
        <v>1480.27128811494</v>
      </c>
      <c r="M54" s="31">
        <v>399.58166010990499</v>
      </c>
      <c r="N54" s="31">
        <v>2070.74046299253</v>
      </c>
      <c r="O54" s="31">
        <v>948.37837808775998</v>
      </c>
      <c r="P54" s="31">
        <v>71.680605663661794</v>
      </c>
      <c r="Q54" s="31">
        <v>778.92743668127105</v>
      </c>
      <c r="R54" s="31">
        <v>130.751390116073</v>
      </c>
      <c r="S54" s="31">
        <v>765.32475701788906</v>
      </c>
      <c r="T54" s="31">
        <v>123.34840829123701</v>
      </c>
      <c r="U54" s="31">
        <v>328.659464485402</v>
      </c>
      <c r="V54" s="31">
        <v>52.615602585786597</v>
      </c>
      <c r="W54" s="31">
        <v>364.06280539281801</v>
      </c>
      <c r="X54" s="31">
        <v>33.581126454459998</v>
      </c>
      <c r="Y54" s="31">
        <v>70.2134087029971</v>
      </c>
      <c r="Z54" s="31">
        <v>1323.83673599955</v>
      </c>
      <c r="AA54" s="31">
        <v>338.00878157717199</v>
      </c>
      <c r="AB54" s="31">
        <v>8.5145080545738807</v>
      </c>
      <c r="AC54" s="31">
        <v>99.970894488016299</v>
      </c>
      <c r="AD54" s="31">
        <v>98.314802127781604</v>
      </c>
    </row>
    <row r="55" spans="1:30" s="2" customFormat="1">
      <c r="A55" s="23" t="s">
        <v>27</v>
      </c>
      <c r="B55" s="8" t="s">
        <v>230</v>
      </c>
      <c r="C55" s="9">
        <v>1.54991418729249</v>
      </c>
      <c r="D55" s="9">
        <v>7.7023681284026299E-2</v>
      </c>
      <c r="E55" s="9">
        <v>0.33420174538908898</v>
      </c>
      <c r="F55" s="9">
        <v>1.13080945289244E-2</v>
      </c>
      <c r="G55" s="9">
        <v>0.153096247335125</v>
      </c>
      <c r="H55" s="8"/>
      <c r="I55" s="31">
        <v>3575.0496631944202</v>
      </c>
      <c r="J55" s="31">
        <v>8831.2599512530705</v>
      </c>
      <c r="K55" s="31">
        <v>70.037404980262195</v>
      </c>
      <c r="L55" s="31">
        <v>756.99225574519801</v>
      </c>
      <c r="M55" s="31">
        <v>213.19117593982</v>
      </c>
      <c r="N55" s="31">
        <v>1155.4821064221801</v>
      </c>
      <c r="O55" s="31">
        <v>578.92024113242701</v>
      </c>
      <c r="P55" s="31">
        <v>47.780930684320801</v>
      </c>
      <c r="Q55" s="31">
        <v>511.093507911475</v>
      </c>
      <c r="R55" s="31">
        <v>92.241073317389294</v>
      </c>
      <c r="S55" s="31">
        <v>568.24054515513501</v>
      </c>
      <c r="T55" s="31">
        <v>97.0847405664543</v>
      </c>
      <c r="U55" s="31">
        <v>269.27011874990899</v>
      </c>
      <c r="V55" s="31">
        <v>42.478684068321002</v>
      </c>
      <c r="W55" s="31">
        <v>292.41798733733799</v>
      </c>
      <c r="X55" s="31">
        <v>29.564019273919701</v>
      </c>
      <c r="Y55" s="31">
        <v>67.170883920035294</v>
      </c>
      <c r="Z55" s="31">
        <v>981.43297769616902</v>
      </c>
      <c r="AA55" s="31">
        <v>142.57029908784099</v>
      </c>
      <c r="AB55" s="31">
        <v>6.1609693897559001</v>
      </c>
      <c r="AC55" s="31">
        <v>35.350491237438803</v>
      </c>
      <c r="AD55" s="31">
        <v>36.697722351280603</v>
      </c>
    </row>
    <row r="56" spans="1:30" s="2" customFormat="1">
      <c r="A56" s="23" t="s">
        <v>27</v>
      </c>
      <c r="B56" s="8" t="s">
        <v>231</v>
      </c>
      <c r="C56" s="9">
        <v>1.2640140102246</v>
      </c>
      <c r="D56" s="9">
        <v>6.0864243818105103E-2</v>
      </c>
      <c r="E56" s="9">
        <v>0.422300833190561</v>
      </c>
      <c r="F56" s="9">
        <v>5.1892693722326404E-3</v>
      </c>
      <c r="G56" s="9">
        <v>0.344352970720744</v>
      </c>
      <c r="H56" s="8"/>
      <c r="I56" s="31">
        <v>4146.3043433838802</v>
      </c>
      <c r="J56" s="31">
        <v>10282.651254930701</v>
      </c>
      <c r="K56" s="31">
        <v>145.25597133713299</v>
      </c>
      <c r="L56" s="31">
        <v>1343.2173906236901</v>
      </c>
      <c r="M56" s="31">
        <v>350.48270899301099</v>
      </c>
      <c r="N56" s="31">
        <v>1772.8066527114399</v>
      </c>
      <c r="O56" s="31">
        <v>844.74432177762799</v>
      </c>
      <c r="P56" s="31">
        <v>66.878854578618302</v>
      </c>
      <c r="Q56" s="31">
        <v>676.82052397850202</v>
      </c>
      <c r="R56" s="31">
        <v>118.079906723909</v>
      </c>
      <c r="S56" s="31">
        <v>711.02725074476996</v>
      </c>
      <c r="T56" s="31">
        <v>115.488659193258</v>
      </c>
      <c r="U56" s="31">
        <v>310.04143858992501</v>
      </c>
      <c r="V56" s="31">
        <v>49.799816058200101</v>
      </c>
      <c r="W56" s="31">
        <v>356.40313305519902</v>
      </c>
      <c r="X56" s="31">
        <v>32.923853470789098</v>
      </c>
      <c r="Y56" s="31">
        <v>105.97828412722301</v>
      </c>
      <c r="Z56" s="31">
        <v>1255.35549232113</v>
      </c>
      <c r="AA56" s="31">
        <v>339.26598962562798</v>
      </c>
      <c r="AB56" s="31">
        <v>13.612891350607301</v>
      </c>
      <c r="AC56" s="31">
        <v>76.970214866390194</v>
      </c>
      <c r="AD56" s="31">
        <v>112.539221874093</v>
      </c>
    </row>
    <row r="57" spans="1:30" s="2" customFormat="1">
      <c r="A57" s="23" t="s">
        <v>27</v>
      </c>
      <c r="B57" s="8" t="s">
        <v>243</v>
      </c>
      <c r="C57" s="9">
        <v>1.7258212544382501</v>
      </c>
      <c r="D57" s="9">
        <v>8.2604276776814298E-2</v>
      </c>
      <c r="E57" s="9">
        <v>0.281555950225232</v>
      </c>
      <c r="F57" s="9">
        <v>7.5883878581297802E-3</v>
      </c>
      <c r="G57" s="9">
        <v>0.52976648651228497</v>
      </c>
      <c r="H57" s="8"/>
      <c r="I57" s="31">
        <v>4500.1313844491096</v>
      </c>
      <c r="J57" s="31">
        <v>15940.545937134</v>
      </c>
      <c r="K57" s="31">
        <v>80.428910357191995</v>
      </c>
      <c r="L57" s="31">
        <v>935.26034736028998</v>
      </c>
      <c r="M57" s="31">
        <v>292.314497496549</v>
      </c>
      <c r="N57" s="31">
        <v>1706.7629065695801</v>
      </c>
      <c r="O57" s="31">
        <v>935.88105640589004</v>
      </c>
      <c r="P57" s="31">
        <v>73.867914583031094</v>
      </c>
      <c r="Q57" s="31">
        <v>830.26861608137699</v>
      </c>
      <c r="R57" s="31">
        <v>145.960247226614</v>
      </c>
      <c r="S57" s="31">
        <v>860.56060159462299</v>
      </c>
      <c r="T57" s="31">
        <v>133.71480331272801</v>
      </c>
      <c r="U57" s="31">
        <v>348.06644324449701</v>
      </c>
      <c r="V57" s="31">
        <v>54.422259673978402</v>
      </c>
      <c r="W57" s="31">
        <v>355.73802390822198</v>
      </c>
      <c r="X57" s="31">
        <v>31.140267781994499</v>
      </c>
      <c r="Y57" s="31">
        <v>99.989664815435006</v>
      </c>
      <c r="Z57" s="31">
        <v>2119.5497086472601</v>
      </c>
      <c r="AA57" s="31">
        <v>176.93034355476999</v>
      </c>
      <c r="AB57" s="31">
        <v>34.697577843956097</v>
      </c>
      <c r="AC57" s="31">
        <v>73.982442000518503</v>
      </c>
      <c r="AD57" s="31">
        <v>63.672443179636502</v>
      </c>
    </row>
    <row r="58" spans="1:30" s="2" customFormat="1">
      <c r="A58" s="23"/>
      <c r="B58" s="8"/>
      <c r="C58" s="9"/>
      <c r="D58" s="9"/>
      <c r="E58" s="9"/>
      <c r="F58" s="9"/>
      <c r="G58" s="9"/>
      <c r="H58" s="8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 s="2" customFormat="1">
      <c r="A59" s="23" t="s">
        <v>39</v>
      </c>
      <c r="B59" s="8" t="s">
        <v>343</v>
      </c>
      <c r="C59" s="9">
        <v>1.80448012995631</v>
      </c>
      <c r="D59" s="9">
        <v>0.32561303511825201</v>
      </c>
      <c r="E59" s="9">
        <v>0.275905337204774</v>
      </c>
      <c r="F59" s="9">
        <v>6.1818251907670999E-2</v>
      </c>
      <c r="G59" s="9">
        <v>0.25129014068245098</v>
      </c>
      <c r="H59" s="8"/>
      <c r="I59" s="31">
        <v>39.805469675425599</v>
      </c>
      <c r="J59" s="31">
        <v>1648.9221258114601</v>
      </c>
      <c r="K59" s="31">
        <v>2.0147690755967398</v>
      </c>
      <c r="L59" s="31">
        <v>7.9434384921114303</v>
      </c>
      <c r="M59" s="31">
        <v>1.67595804839145</v>
      </c>
      <c r="N59" s="31">
        <v>9.0546983527257492</v>
      </c>
      <c r="O59" s="31">
        <v>2.9542001907236499</v>
      </c>
      <c r="P59" s="31">
        <v>15.668487026969199</v>
      </c>
      <c r="Q59" s="31">
        <v>3.4608269056908498</v>
      </c>
      <c r="R59" s="31">
        <v>0.74830610020079502</v>
      </c>
      <c r="S59" s="31">
        <v>5.11339410222722</v>
      </c>
      <c r="T59" s="31">
        <v>1.21505818267226</v>
      </c>
      <c r="U59" s="31">
        <v>3.7280663202679301</v>
      </c>
      <c r="V59" s="31">
        <v>0.57668584621993402</v>
      </c>
      <c r="W59" s="31">
        <v>3.76809812343904</v>
      </c>
      <c r="X59" s="31">
        <v>0.57635713852456505</v>
      </c>
      <c r="Y59" s="31">
        <v>0.83134497646343297</v>
      </c>
      <c r="Z59" s="31">
        <v>42.103194071243301</v>
      </c>
      <c r="AA59" s="31">
        <v>3.4888011601446598</v>
      </c>
      <c r="AB59" s="31">
        <v>0.39823030701350098</v>
      </c>
      <c r="AC59" s="31">
        <v>2.13248819048128</v>
      </c>
      <c r="AD59" s="31">
        <v>1.6414077959130899</v>
      </c>
    </row>
    <row r="60" spans="1:30" s="2" customFormat="1">
      <c r="A60" s="23" t="s">
        <v>39</v>
      </c>
      <c r="B60" s="8" t="s">
        <v>351</v>
      </c>
      <c r="C60" s="9">
        <v>1.95048791995672</v>
      </c>
      <c r="D60" s="9">
        <v>0.20908365676841401</v>
      </c>
      <c r="E60" s="9">
        <v>0.18917029389390799</v>
      </c>
      <c r="F60" s="9">
        <v>1.79375037874724E-2</v>
      </c>
      <c r="G60" s="9">
        <v>0.29905679826474602</v>
      </c>
      <c r="H60" s="8"/>
      <c r="I60" s="31">
        <v>141.46391833835099</v>
      </c>
      <c r="J60" s="31">
        <v>2213.6021392924099</v>
      </c>
      <c r="K60" s="31">
        <v>3.9774035500692499</v>
      </c>
      <c r="L60" s="31">
        <v>16.090479060407301</v>
      </c>
      <c r="M60" s="31">
        <v>3.3336193871108901</v>
      </c>
      <c r="N60" s="31">
        <v>20.194605170935201</v>
      </c>
      <c r="O60" s="31">
        <v>11.092592698526699</v>
      </c>
      <c r="P60" s="31">
        <v>24.265625277819101</v>
      </c>
      <c r="Q60" s="31">
        <v>16.1638761977451</v>
      </c>
      <c r="R60" s="31">
        <v>3.1793820112900999</v>
      </c>
      <c r="S60" s="31">
        <v>21.047403177048501</v>
      </c>
      <c r="T60" s="31">
        <v>4.4392777050429499</v>
      </c>
      <c r="U60" s="31">
        <v>13.2387865690932</v>
      </c>
      <c r="V60" s="31">
        <v>1.9622275748340099</v>
      </c>
      <c r="W60" s="31">
        <v>15.3342375810474</v>
      </c>
      <c r="X60" s="31">
        <v>2.7347158409058498</v>
      </c>
      <c r="Y60" s="31">
        <v>35.440972854465301</v>
      </c>
      <c r="Z60" s="31">
        <v>47.293762163873303</v>
      </c>
      <c r="AA60" s="31">
        <v>2.7546004685194601</v>
      </c>
      <c r="AB60" s="31">
        <v>1.7027079922358399</v>
      </c>
      <c r="AC60" s="31">
        <v>16.547593024471201</v>
      </c>
      <c r="AD60" s="31">
        <v>8.6930701203029095</v>
      </c>
    </row>
    <row r="61" spans="1:30" s="2" customFormat="1">
      <c r="A61" s="23" t="s">
        <v>39</v>
      </c>
      <c r="B61" s="8" t="s">
        <v>346</v>
      </c>
      <c r="C61" s="9">
        <v>1.8054830830365001</v>
      </c>
      <c r="D61" s="9">
        <v>0.18081408394856599</v>
      </c>
      <c r="E61" s="9">
        <v>0.17801825355147899</v>
      </c>
      <c r="F61" s="9">
        <v>1.4319680207009701E-2</v>
      </c>
      <c r="G61" s="9">
        <v>0.295491239637027</v>
      </c>
      <c r="H61" s="8"/>
      <c r="I61" s="31">
        <v>2114.5523893314498</v>
      </c>
      <c r="J61" s="31">
        <v>2996.35698275402</v>
      </c>
      <c r="K61" s="31">
        <v>2.04710058560641</v>
      </c>
      <c r="L61" s="31">
        <v>13.401475418876901</v>
      </c>
      <c r="M61" s="31">
        <v>3.69497582244807</v>
      </c>
      <c r="N61" s="31">
        <v>25.687916325845201</v>
      </c>
      <c r="O61" s="31">
        <v>22.327146603214999</v>
      </c>
      <c r="P61" s="31">
        <v>81.294248293497304</v>
      </c>
      <c r="Q61" s="31">
        <v>71.771699463627698</v>
      </c>
      <c r="R61" s="31">
        <v>24.144752626335801</v>
      </c>
      <c r="S61" s="31">
        <v>246.01249810328301</v>
      </c>
      <c r="T61" s="31">
        <v>66.987124773857005</v>
      </c>
      <c r="U61" s="31">
        <v>243.67734706668799</v>
      </c>
      <c r="V61" s="31">
        <v>39.073024728118199</v>
      </c>
      <c r="W61" s="31">
        <v>282.49903800477398</v>
      </c>
      <c r="X61" s="31">
        <v>40.8202298953574</v>
      </c>
      <c r="Y61" s="31">
        <v>2.0305402816715099</v>
      </c>
      <c r="Z61" s="31">
        <v>832.14625565770905</v>
      </c>
      <c r="AA61" s="31">
        <v>1.9032080166035501</v>
      </c>
      <c r="AB61" s="31">
        <v>0.84483737447063101</v>
      </c>
      <c r="AC61" s="31">
        <v>17.530376794391699</v>
      </c>
      <c r="AD61" s="31">
        <v>9.3177587674895008</v>
      </c>
    </row>
    <row r="62" spans="1:30" s="2" customFormat="1">
      <c r="A62" s="23" t="s">
        <v>39</v>
      </c>
      <c r="B62" s="8" t="s">
        <v>359</v>
      </c>
      <c r="C62" s="9">
        <v>1.7650732676571801</v>
      </c>
      <c r="D62" s="9">
        <v>0.2482879955731</v>
      </c>
      <c r="E62" s="9">
        <v>0.25422693612826402</v>
      </c>
      <c r="F62" s="9">
        <v>4.4154107733931601E-2</v>
      </c>
      <c r="G62" s="9">
        <v>0.35697222628807801</v>
      </c>
      <c r="H62" s="8"/>
      <c r="I62" s="31">
        <v>61.351851423765801</v>
      </c>
      <c r="J62" s="31">
        <v>535.00939042327195</v>
      </c>
      <c r="K62" s="31">
        <v>1.9190846390740299</v>
      </c>
      <c r="L62" s="31">
        <v>10.580188318302399</v>
      </c>
      <c r="M62" s="31">
        <v>2.0812609005411602</v>
      </c>
      <c r="N62" s="31">
        <v>9.5923534434384692</v>
      </c>
      <c r="O62" s="31">
        <v>2.6562305188400801</v>
      </c>
      <c r="P62" s="31">
        <v>25.959961665309301</v>
      </c>
      <c r="Q62" s="31">
        <v>3.87050015631907</v>
      </c>
      <c r="R62" s="31">
        <v>0.71184029301497598</v>
      </c>
      <c r="S62" s="31">
        <v>5.5498246454611904</v>
      </c>
      <c r="T62" s="31">
        <v>1.3171064435833999</v>
      </c>
      <c r="U62" s="31">
        <v>5.2593596626320398</v>
      </c>
      <c r="V62" s="31">
        <v>0.84184272479584499</v>
      </c>
      <c r="W62" s="31">
        <v>6.8159702357554197</v>
      </c>
      <c r="X62" s="31">
        <v>1.07786412622823</v>
      </c>
      <c r="Y62" s="31">
        <v>0.39740993281123099</v>
      </c>
      <c r="Z62" s="31">
        <v>9.2381303930939005</v>
      </c>
      <c r="AA62" s="31">
        <v>1.4474445929000499</v>
      </c>
      <c r="AB62" s="31">
        <v>0.479215939088452</v>
      </c>
      <c r="AC62" s="31">
        <v>3.0881714918258099</v>
      </c>
      <c r="AD62" s="31">
        <v>2.0923581830212599</v>
      </c>
    </row>
    <row r="63" spans="1:30" s="2" customFormat="1">
      <c r="A63" s="23" t="s">
        <v>39</v>
      </c>
      <c r="B63" s="8" t="s">
        <v>352</v>
      </c>
      <c r="C63" s="9">
        <v>1.8384712635900899</v>
      </c>
      <c r="D63" s="9">
        <v>0.20570752241350601</v>
      </c>
      <c r="E63" s="9">
        <v>0.198268935316044</v>
      </c>
      <c r="F63" s="9">
        <v>2.1969180228739799E-2</v>
      </c>
      <c r="G63" s="9">
        <v>0.259598087315763</v>
      </c>
      <c r="H63" s="8"/>
      <c r="I63" s="31">
        <v>409.81185465869902</v>
      </c>
      <c r="J63" s="31">
        <v>2247.0256775176499</v>
      </c>
      <c r="K63" s="31">
        <v>2.29111901887791</v>
      </c>
      <c r="L63" s="31">
        <v>11.0382865956316</v>
      </c>
      <c r="M63" s="31">
        <v>2.5039869278001698</v>
      </c>
      <c r="N63" s="31">
        <v>15.801556969701201</v>
      </c>
      <c r="O63" s="31">
        <v>11.1338858188776</v>
      </c>
      <c r="P63" s="31">
        <v>20.893259001194401</v>
      </c>
      <c r="Q63" s="31">
        <v>21.440691365987401</v>
      </c>
      <c r="R63" s="31">
        <v>5.5115540474138003</v>
      </c>
      <c r="S63" s="31">
        <v>42.540771438886701</v>
      </c>
      <c r="T63" s="31">
        <v>11.140701032012901</v>
      </c>
      <c r="U63" s="31">
        <v>43.885796870055103</v>
      </c>
      <c r="V63" s="31">
        <v>8.0100504103782697</v>
      </c>
      <c r="W63" s="31">
        <v>68.836836418284506</v>
      </c>
      <c r="X63" s="31">
        <v>11.843880931155899</v>
      </c>
      <c r="Y63" s="31">
        <v>0.610913850873256</v>
      </c>
      <c r="Z63" s="31">
        <v>131.64416729217299</v>
      </c>
      <c r="AA63" s="31">
        <v>2.9430516967374101</v>
      </c>
      <c r="AB63" s="31">
        <v>0.39052233930906</v>
      </c>
      <c r="AC63" s="31">
        <v>11.8277744339332</v>
      </c>
      <c r="AD63" s="31">
        <v>6.4615619863120299</v>
      </c>
    </row>
    <row r="64" spans="1:30" s="2" customFormat="1">
      <c r="A64" s="23" t="s">
        <v>39</v>
      </c>
      <c r="B64" s="8" t="s">
        <v>347</v>
      </c>
      <c r="C64" s="9">
        <v>2.07410612519319</v>
      </c>
      <c r="D64" s="9">
        <v>0.24015478961882</v>
      </c>
      <c r="E64" s="9">
        <v>0.20689751254505301</v>
      </c>
      <c r="F64" s="9">
        <v>2.7456901460562799E-2</v>
      </c>
      <c r="G64" s="9">
        <v>0.271759163535297</v>
      </c>
      <c r="H64" s="8"/>
      <c r="I64" s="31">
        <v>115.541988131605</v>
      </c>
      <c r="J64" s="31">
        <v>1088.5994542942101</v>
      </c>
      <c r="K64" s="31">
        <v>2.6033188485226502</v>
      </c>
      <c r="L64" s="31">
        <v>14.0168983061017</v>
      </c>
      <c r="M64" s="31">
        <v>2.6242175828838801</v>
      </c>
      <c r="N64" s="31">
        <v>14.068078308097</v>
      </c>
      <c r="O64" s="31">
        <v>6.1699654367702603</v>
      </c>
      <c r="P64" s="31">
        <v>57.433602268285</v>
      </c>
      <c r="Q64" s="31">
        <v>10.6359469613735</v>
      </c>
      <c r="R64" s="31">
        <v>2.0694666084835198</v>
      </c>
      <c r="S64" s="31">
        <v>15.2560196670154</v>
      </c>
      <c r="T64" s="31">
        <v>3.5925952890895498</v>
      </c>
      <c r="U64" s="31">
        <v>11.140471995312099</v>
      </c>
      <c r="V64" s="31">
        <v>1.48571626018476</v>
      </c>
      <c r="W64" s="31">
        <v>10.2800036116521</v>
      </c>
      <c r="X64" s="31">
        <v>1.4261905724770001</v>
      </c>
      <c r="Y64" s="31">
        <v>1.3455646443309199</v>
      </c>
      <c r="Z64" s="31">
        <v>18.914639044119799</v>
      </c>
      <c r="AA64" s="31">
        <v>1.2269076563099199</v>
      </c>
      <c r="AB64" s="31">
        <v>1.8913670243659699</v>
      </c>
      <c r="AC64" s="31">
        <v>6.22200435155787</v>
      </c>
      <c r="AD64" s="31">
        <v>3.8854470450094398</v>
      </c>
    </row>
    <row r="65" spans="1:30" s="2" customFormat="1">
      <c r="A65" s="23" t="s">
        <v>39</v>
      </c>
      <c r="B65" s="8" t="s">
        <v>354</v>
      </c>
      <c r="C65" s="9">
        <v>2.1483503656418699</v>
      </c>
      <c r="D65" s="9">
        <v>0.24915027269689199</v>
      </c>
      <c r="E65" s="9">
        <v>0.20114745835942599</v>
      </c>
      <c r="F65" s="9">
        <v>3.1905415333476003E-2</v>
      </c>
      <c r="G65" s="9">
        <v>0.42408052073081798</v>
      </c>
      <c r="H65" s="8"/>
      <c r="I65" s="31">
        <v>96.187113980484995</v>
      </c>
      <c r="J65" s="31">
        <v>1026.47757447355</v>
      </c>
      <c r="K65" s="31">
        <v>2.93666197329817</v>
      </c>
      <c r="L65" s="31">
        <v>21.049907894612101</v>
      </c>
      <c r="M65" s="31">
        <v>5.4386374999485003</v>
      </c>
      <c r="N65" s="31">
        <v>32.025870712895497</v>
      </c>
      <c r="O65" s="31">
        <v>11.3365216333035</v>
      </c>
      <c r="P65" s="31">
        <v>48.378929719773602</v>
      </c>
      <c r="Q65" s="31">
        <v>12.017850925983</v>
      </c>
      <c r="R65" s="31">
        <v>1.6530966843511199</v>
      </c>
      <c r="S65" s="31">
        <v>10.627057629068201</v>
      </c>
      <c r="T65" s="31">
        <v>2.2908158770487299</v>
      </c>
      <c r="U65" s="31">
        <v>7.1948627290585296</v>
      </c>
      <c r="V65" s="31">
        <v>1.08837951471718</v>
      </c>
      <c r="W65" s="31">
        <v>7.7860451169470304</v>
      </c>
      <c r="X65" s="31">
        <v>1.4453483898606301</v>
      </c>
      <c r="Y65" s="31">
        <v>0.73374046056496101</v>
      </c>
      <c r="Z65" s="31">
        <v>52.966111977888701</v>
      </c>
      <c r="AA65" s="31">
        <v>1.2051918755533799</v>
      </c>
      <c r="AB65" s="31">
        <v>0.93357774150017503</v>
      </c>
      <c r="AC65" s="31">
        <v>5.93906509620171</v>
      </c>
      <c r="AD65" s="31">
        <v>3.5092120072733199</v>
      </c>
    </row>
    <row r="66" spans="1:30" s="2" customFormat="1">
      <c r="A66" s="23" t="s">
        <v>39</v>
      </c>
      <c r="B66" s="8" t="s">
        <v>362</v>
      </c>
      <c r="C66" s="9">
        <v>2.1784514575184799</v>
      </c>
      <c r="D66" s="9">
        <v>0.22626349881548399</v>
      </c>
      <c r="E66" s="9">
        <v>0.17905957546280901</v>
      </c>
      <c r="F66" s="9">
        <v>2.1561785317175002E-2</v>
      </c>
      <c r="G66" s="9">
        <v>0.309165612676299</v>
      </c>
      <c r="H66" s="8"/>
      <c r="I66" s="31">
        <v>6268.8714147426499</v>
      </c>
      <c r="J66" s="31">
        <v>1125.6247297011901</v>
      </c>
      <c r="K66" s="31">
        <v>1.77005996302395</v>
      </c>
      <c r="L66" s="31">
        <v>13.9716001609361</v>
      </c>
      <c r="M66" s="31">
        <v>4.5801797325163198</v>
      </c>
      <c r="N66" s="31">
        <v>38.086962586234797</v>
      </c>
      <c r="O66" s="31">
        <v>48.261208776274202</v>
      </c>
      <c r="P66" s="31">
        <v>76.626646712941096</v>
      </c>
      <c r="Q66" s="31">
        <v>180.18189693865099</v>
      </c>
      <c r="R66" s="31">
        <v>62.076013213194898</v>
      </c>
      <c r="S66" s="31">
        <v>691.17096741014404</v>
      </c>
      <c r="T66" s="31">
        <v>213.698645087665</v>
      </c>
      <c r="U66" s="31">
        <v>812.46998644946302</v>
      </c>
      <c r="V66" s="31">
        <v>132.760652573724</v>
      </c>
      <c r="W66" s="31">
        <v>906.198419913728</v>
      </c>
      <c r="X66" s="31">
        <v>125.15185437730401</v>
      </c>
      <c r="Y66" s="31">
        <v>1.67477370198278</v>
      </c>
      <c r="Z66" s="31">
        <v>135.820331133731</v>
      </c>
      <c r="AA66" s="31">
        <v>0.77329097624398102</v>
      </c>
      <c r="AB66" s="31">
        <v>0.98161896632588097</v>
      </c>
      <c r="AC66" s="31">
        <v>10.346339958360799</v>
      </c>
      <c r="AD66" s="31">
        <v>5.6099700319511703</v>
      </c>
    </row>
    <row r="67" spans="1:30" s="2" customFormat="1">
      <c r="A67" s="23" t="s">
        <v>39</v>
      </c>
      <c r="B67" s="8" t="s">
        <v>356</v>
      </c>
      <c r="C67" s="9">
        <v>2.0386983305855901</v>
      </c>
      <c r="D67" s="9">
        <v>0.26109177828857</v>
      </c>
      <c r="E67" s="9">
        <v>0.219624999110129</v>
      </c>
      <c r="F67" s="9">
        <v>3.0647667737177999E-2</v>
      </c>
      <c r="G67" s="9">
        <v>0.41651989730864902</v>
      </c>
      <c r="H67" s="8"/>
      <c r="I67" s="31">
        <v>119.869270692649</v>
      </c>
      <c r="J67" s="31">
        <v>427.28708378206198</v>
      </c>
      <c r="K67" s="31">
        <v>1.7886689229052699</v>
      </c>
      <c r="L67" s="31">
        <v>11.246268552639499</v>
      </c>
      <c r="M67" s="31">
        <v>2.4782305571946601</v>
      </c>
      <c r="N67" s="31">
        <v>13.4790276373508</v>
      </c>
      <c r="O67" s="31">
        <v>4.2416946703738603</v>
      </c>
      <c r="P67" s="31">
        <v>32.669055025167999</v>
      </c>
      <c r="Q67" s="31">
        <v>6.2040502629671801</v>
      </c>
      <c r="R67" s="31">
        <v>1.2146767665432201</v>
      </c>
      <c r="S67" s="31">
        <v>10.3822085739006</v>
      </c>
      <c r="T67" s="31">
        <v>2.7814824050876501</v>
      </c>
      <c r="U67" s="31">
        <v>10.5848580004055</v>
      </c>
      <c r="V67" s="31">
        <v>1.5518114927301001</v>
      </c>
      <c r="W67" s="31">
        <v>12.3081646540934</v>
      </c>
      <c r="X67" s="31">
        <v>2.3169418528791001</v>
      </c>
      <c r="Y67" s="31">
        <v>0.39270417392232398</v>
      </c>
      <c r="Z67" s="31">
        <v>7.0469518978088201</v>
      </c>
      <c r="AA67" s="31">
        <v>0.97652700442322604</v>
      </c>
      <c r="AB67" s="31">
        <v>1.39211788454214</v>
      </c>
      <c r="AC67" s="31">
        <v>4.6392642133856503</v>
      </c>
      <c r="AD67" s="31">
        <v>2.9437325644158201</v>
      </c>
    </row>
    <row r="68" spans="1:30" s="2" customFormat="1">
      <c r="A68" s="23" t="s">
        <v>39</v>
      </c>
      <c r="B68" s="8" t="s">
        <v>348</v>
      </c>
      <c r="C68" s="9">
        <v>1.91119225944745</v>
      </c>
      <c r="D68" s="9">
        <v>0.203736133897512</v>
      </c>
      <c r="E68" s="9">
        <v>0.19201279213080599</v>
      </c>
      <c r="F68" s="9">
        <v>1.7632750703534799E-2</v>
      </c>
      <c r="G68" s="9">
        <v>0.37105767115662802</v>
      </c>
      <c r="H68" s="8"/>
      <c r="I68" s="31">
        <v>1560.49169013749</v>
      </c>
      <c r="J68" s="31">
        <v>815.75033845548296</v>
      </c>
      <c r="K68" s="31">
        <v>2.1116027757123099</v>
      </c>
      <c r="L68" s="31">
        <v>15.680164346355999</v>
      </c>
      <c r="M68" s="31">
        <v>4.3494607737633402</v>
      </c>
      <c r="N68" s="31">
        <v>29.739147327677198</v>
      </c>
      <c r="O68" s="31">
        <v>22.096394653552998</v>
      </c>
      <c r="P68" s="31">
        <v>67.285940546779997</v>
      </c>
      <c r="Q68" s="31">
        <v>54.617933028232002</v>
      </c>
      <c r="R68" s="31">
        <v>15.876617929294699</v>
      </c>
      <c r="S68" s="31">
        <v>159.24303808458001</v>
      </c>
      <c r="T68" s="31">
        <v>44.919740903924598</v>
      </c>
      <c r="U68" s="31">
        <v>169.32200686618799</v>
      </c>
      <c r="V68" s="31">
        <v>28.505584896427401</v>
      </c>
      <c r="W68" s="31">
        <v>208.76563992987499</v>
      </c>
      <c r="X68" s="31">
        <v>34.633045844342199</v>
      </c>
      <c r="Y68" s="31">
        <v>1.9077932499591801</v>
      </c>
      <c r="Z68" s="31">
        <v>68.900331846299395</v>
      </c>
      <c r="AA68" s="31">
        <v>1.9739022632913099</v>
      </c>
      <c r="AB68" s="31">
        <v>3.8708507076363898</v>
      </c>
      <c r="AC68" s="31">
        <v>12.6008328829341</v>
      </c>
      <c r="AD68" s="31">
        <v>7.3976207559169103</v>
      </c>
    </row>
    <row r="69" spans="1:30" s="2" customFormat="1">
      <c r="A69" s="23" t="s">
        <v>39</v>
      </c>
      <c r="B69" s="8" t="s">
        <v>357</v>
      </c>
      <c r="C69" s="9">
        <v>1.9518745602626699</v>
      </c>
      <c r="D69" s="9">
        <v>0.20875717777968</v>
      </c>
      <c r="E69" s="9">
        <v>0.176942903804752</v>
      </c>
      <c r="F69" s="9">
        <v>1.55528006870869E-2</v>
      </c>
      <c r="G69" s="9">
        <v>0.29781760931291001</v>
      </c>
      <c r="H69" s="8"/>
      <c r="I69" s="31">
        <v>218.780747931299</v>
      </c>
      <c r="J69" s="31">
        <v>1470.31405640706</v>
      </c>
      <c r="K69" s="31">
        <v>1.38474749877129</v>
      </c>
      <c r="L69" s="31">
        <v>9.1038257129395408</v>
      </c>
      <c r="M69" s="31">
        <v>2.1203320379254</v>
      </c>
      <c r="N69" s="31">
        <v>14.3576300375745</v>
      </c>
      <c r="O69" s="31">
        <v>6.7139663916236501</v>
      </c>
      <c r="P69" s="31">
        <v>27.8398889906018</v>
      </c>
      <c r="Q69" s="31">
        <v>10.372378706579701</v>
      </c>
      <c r="R69" s="31">
        <v>2.0718371190386899</v>
      </c>
      <c r="S69" s="31">
        <v>17.8380432223267</v>
      </c>
      <c r="T69" s="31">
        <v>5.0270695079505296</v>
      </c>
      <c r="U69" s="31">
        <v>17.708850006867099</v>
      </c>
      <c r="V69" s="31">
        <v>2.65898542475332</v>
      </c>
      <c r="W69" s="31">
        <v>20.4850755142167</v>
      </c>
      <c r="X69" s="31">
        <v>4.0793070918127103</v>
      </c>
      <c r="Y69" s="31">
        <v>0.38892471400963702</v>
      </c>
      <c r="Z69" s="31">
        <v>84.833691862273099</v>
      </c>
      <c r="AA69" s="31">
        <v>1.2364315513783199</v>
      </c>
      <c r="AB69" s="31">
        <v>2.3365334134949798</v>
      </c>
      <c r="AC69" s="31">
        <v>15.471549905090701</v>
      </c>
      <c r="AD69" s="31">
        <v>7.98531940938327</v>
      </c>
    </row>
    <row r="70" spans="1:30" s="1" customFormat="1">
      <c r="A70" s="23"/>
      <c r="B70" s="23"/>
      <c r="C70" s="24"/>
      <c r="D70" s="24"/>
      <c r="E70" s="24"/>
      <c r="F70" s="24"/>
      <c r="G70" s="24"/>
      <c r="H70" s="2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 s="2" customFormat="1">
      <c r="A71" s="23" t="s">
        <v>41</v>
      </c>
      <c r="B71" s="8" t="s">
        <v>363</v>
      </c>
      <c r="C71" s="9">
        <v>2.08913375231583</v>
      </c>
      <c r="D71" s="9">
        <v>0.11914490742414099</v>
      </c>
      <c r="E71" s="9">
        <v>0.20417859555196599</v>
      </c>
      <c r="F71" s="9">
        <v>1.19888742668626E-2</v>
      </c>
      <c r="G71" s="9">
        <v>0.31266392959718098</v>
      </c>
      <c r="H71" s="8"/>
      <c r="I71" s="31">
        <v>158.27052383295</v>
      </c>
      <c r="J71" s="31">
        <v>2683.3717371030598</v>
      </c>
      <c r="K71" s="31">
        <v>2.6275298948525401</v>
      </c>
      <c r="L71" s="31">
        <v>19.3586812832615</v>
      </c>
      <c r="M71" s="31">
        <v>4.9765276369639002</v>
      </c>
      <c r="N71" s="31">
        <v>32.953211607320597</v>
      </c>
      <c r="O71" s="31">
        <v>16.253757312690901</v>
      </c>
      <c r="P71" s="31">
        <v>66.475205637338803</v>
      </c>
      <c r="Q71" s="31">
        <v>20.471389106660499</v>
      </c>
      <c r="R71" s="31">
        <v>3.46737941099139</v>
      </c>
      <c r="S71" s="31">
        <v>21.724881454152602</v>
      </c>
      <c r="T71" s="31">
        <v>4.3749848214519798</v>
      </c>
      <c r="U71" s="31">
        <v>13.9836068858456</v>
      </c>
      <c r="V71" s="31">
        <v>2.4490101663888302</v>
      </c>
      <c r="W71" s="31">
        <v>19.635714575714701</v>
      </c>
      <c r="X71" s="31">
        <v>3.1750941651281699</v>
      </c>
      <c r="Y71" s="31">
        <v>4.62709422875563</v>
      </c>
      <c r="Z71" s="31">
        <v>743.20922118470105</v>
      </c>
      <c r="AA71" s="31">
        <v>0.54906003272543502</v>
      </c>
      <c r="AB71" s="31">
        <v>2.0618514036636499</v>
      </c>
      <c r="AC71" s="31">
        <v>9.4392543950277705</v>
      </c>
      <c r="AD71" s="31">
        <v>5.4848450195923499</v>
      </c>
    </row>
    <row r="72" spans="1:30" s="2" customFormat="1">
      <c r="A72" s="23" t="s">
        <v>41</v>
      </c>
      <c r="B72" s="8" t="s">
        <v>376</v>
      </c>
      <c r="C72" s="9">
        <v>1.6797835297368999</v>
      </c>
      <c r="D72" s="9">
        <v>0.15311351016149699</v>
      </c>
      <c r="E72" s="9">
        <v>0.38445710652019799</v>
      </c>
      <c r="F72" s="9">
        <v>4.8751031182448099E-2</v>
      </c>
      <c r="G72" s="9">
        <v>0.23449220205921101</v>
      </c>
      <c r="H72" s="8"/>
      <c r="I72" s="31">
        <v>51.4135455332964</v>
      </c>
      <c r="J72" s="31">
        <v>631.85849727951995</v>
      </c>
      <c r="K72" s="31">
        <v>1.96454337248925</v>
      </c>
      <c r="L72" s="31">
        <v>11.356039177244901</v>
      </c>
      <c r="M72" s="31">
        <v>2.8586668289355099</v>
      </c>
      <c r="N72" s="31">
        <v>17.592223054357898</v>
      </c>
      <c r="O72" s="31">
        <v>8.6807842207857693</v>
      </c>
      <c r="P72" s="31">
        <v>22.756457842722501</v>
      </c>
      <c r="Q72" s="31">
        <v>11.098463245313001</v>
      </c>
      <c r="R72" s="31">
        <v>1.6076654359906899</v>
      </c>
      <c r="S72" s="31">
        <v>8.5334654425414698</v>
      </c>
      <c r="T72" s="31">
        <v>1.6739425677500701</v>
      </c>
      <c r="U72" s="31">
        <v>4.4611505704832597</v>
      </c>
      <c r="V72" s="31">
        <v>0.67864558803567199</v>
      </c>
      <c r="W72" s="31">
        <v>4.4030585019694701</v>
      </c>
      <c r="X72" s="31">
        <v>0.56369846479448205</v>
      </c>
      <c r="Y72" s="31">
        <v>0.69408220045563795</v>
      </c>
      <c r="Z72" s="31">
        <v>34.984952820058403</v>
      </c>
      <c r="AA72" s="31">
        <v>0.37845681925984098</v>
      </c>
      <c r="AB72" s="31">
        <v>0.35995659562652199</v>
      </c>
      <c r="AC72" s="31">
        <v>1.75391383347807</v>
      </c>
      <c r="AD72" s="31">
        <v>1.6905924958330201</v>
      </c>
    </row>
    <row r="73" spans="1:30" s="2" customFormat="1">
      <c r="A73" s="23" t="s">
        <v>41</v>
      </c>
      <c r="B73" s="8" t="s">
        <v>377</v>
      </c>
      <c r="C73" s="9">
        <v>1.83365992914833</v>
      </c>
      <c r="D73" s="9">
        <v>0.108888319749416</v>
      </c>
      <c r="E73" s="9">
        <v>0.26127593910362701</v>
      </c>
      <c r="F73" s="9">
        <v>1.64916548187788E-2</v>
      </c>
      <c r="G73" s="9">
        <v>0.49331498861404299</v>
      </c>
      <c r="H73" s="8"/>
      <c r="I73" s="31">
        <v>109.500607892627</v>
      </c>
      <c r="J73" s="31">
        <v>837.98967321267696</v>
      </c>
      <c r="K73" s="31">
        <v>6.1165021676788696</v>
      </c>
      <c r="L73" s="31">
        <v>30.6974080582726</v>
      </c>
      <c r="M73" s="31">
        <v>6.8799927937229803</v>
      </c>
      <c r="N73" s="31">
        <v>40.355431267928097</v>
      </c>
      <c r="O73" s="31">
        <v>14.6425056697563</v>
      </c>
      <c r="P73" s="31">
        <v>72.043330068370096</v>
      </c>
      <c r="Q73" s="31">
        <v>15.8414025641351</v>
      </c>
      <c r="R73" s="31">
        <v>2.4449367309243901</v>
      </c>
      <c r="S73" s="31">
        <v>14.9602224384974</v>
      </c>
      <c r="T73" s="31">
        <v>2.8559339811683602</v>
      </c>
      <c r="U73" s="31">
        <v>9.3523974427887104</v>
      </c>
      <c r="V73" s="31">
        <v>1.60216604376725</v>
      </c>
      <c r="W73" s="31">
        <v>12.441702114619</v>
      </c>
      <c r="X73" s="31">
        <v>2.2267337834622101</v>
      </c>
      <c r="Y73" s="31">
        <v>2.0735374478752702</v>
      </c>
      <c r="Z73" s="31">
        <v>71.009970864626993</v>
      </c>
      <c r="AA73" s="31">
        <v>1.49645504776862</v>
      </c>
      <c r="AB73" s="31">
        <v>1.02516330303005</v>
      </c>
      <c r="AC73" s="31">
        <v>5.1114930060430597</v>
      </c>
      <c r="AD73" s="31">
        <v>3.9325154728310898</v>
      </c>
    </row>
    <row r="74" spans="1:30" s="2" customFormat="1">
      <c r="A74" s="23" t="s">
        <v>41</v>
      </c>
      <c r="B74" s="8" t="s">
        <v>379</v>
      </c>
      <c r="C74" s="9">
        <v>2.0094187615630901</v>
      </c>
      <c r="D74" s="9">
        <v>0.11774511128496599</v>
      </c>
      <c r="E74" s="9">
        <v>0.226247644250963</v>
      </c>
      <c r="F74" s="9">
        <v>1.4832338388430901E-2</v>
      </c>
      <c r="G74" s="9">
        <v>0.32017823095048698</v>
      </c>
      <c r="H74" s="8"/>
      <c r="I74" s="31">
        <v>167.17873381598599</v>
      </c>
      <c r="J74" s="31">
        <v>775.20813649295701</v>
      </c>
      <c r="K74" s="31">
        <v>5.2108488524638403</v>
      </c>
      <c r="L74" s="31">
        <v>34.871821580711099</v>
      </c>
      <c r="M74" s="31">
        <v>8.0451885091804805</v>
      </c>
      <c r="N74" s="31">
        <v>46.722271176575497</v>
      </c>
      <c r="O74" s="31">
        <v>20.147918278684401</v>
      </c>
      <c r="P74" s="31">
        <v>99.004032253368095</v>
      </c>
      <c r="Q74" s="31">
        <v>23.087646739282299</v>
      </c>
      <c r="R74" s="31">
        <v>3.85835867112861</v>
      </c>
      <c r="S74" s="31">
        <v>23.1505466174319</v>
      </c>
      <c r="T74" s="31">
        <v>4.6817080962357496</v>
      </c>
      <c r="U74" s="31">
        <v>14.1529935874277</v>
      </c>
      <c r="V74" s="31">
        <v>2.22976177105443</v>
      </c>
      <c r="W74" s="31">
        <v>17.765447142119601</v>
      </c>
      <c r="X74" s="31">
        <v>3.17489729236094</v>
      </c>
      <c r="Y74" s="31">
        <v>2.86925695403318</v>
      </c>
      <c r="Z74" s="31">
        <v>57.760714709446603</v>
      </c>
      <c r="AA74" s="31">
        <v>0.59737545811323101</v>
      </c>
      <c r="AB74" s="31">
        <v>2.1372292028930899</v>
      </c>
      <c r="AC74" s="31">
        <v>5.6691931728399902</v>
      </c>
      <c r="AD74" s="31">
        <v>3.7330825294244701</v>
      </c>
    </row>
    <row r="75" spans="1:30" s="2" customFormat="1">
      <c r="A75" s="23" t="s">
        <v>41</v>
      </c>
      <c r="B75" s="8" t="s">
        <v>365</v>
      </c>
      <c r="C75" s="9">
        <v>1.9711574924481901</v>
      </c>
      <c r="D75" s="9">
        <v>0.10630697004885301</v>
      </c>
      <c r="E75" s="9">
        <v>0.200854617361447</v>
      </c>
      <c r="F75" s="9">
        <v>1.13139705568093E-2</v>
      </c>
      <c r="G75" s="9">
        <v>0.42790557324817602</v>
      </c>
      <c r="H75" s="8"/>
      <c r="I75" s="31">
        <v>521.07120315342297</v>
      </c>
      <c r="J75" s="31">
        <v>1753.6451343175399</v>
      </c>
      <c r="K75" s="31">
        <v>7.6125674258232596</v>
      </c>
      <c r="L75" s="31">
        <v>51.337391979188503</v>
      </c>
      <c r="M75" s="31">
        <v>13.132241823083101</v>
      </c>
      <c r="N75" s="31">
        <v>81.540659485250501</v>
      </c>
      <c r="O75" s="31">
        <v>42.686617176279498</v>
      </c>
      <c r="P75" s="31">
        <v>121.52948254173199</v>
      </c>
      <c r="Q75" s="31">
        <v>58.106299377906197</v>
      </c>
      <c r="R75" s="31">
        <v>10.7094063056607</v>
      </c>
      <c r="S75" s="31">
        <v>72.956393690944296</v>
      </c>
      <c r="T75" s="31">
        <v>15.179168268695699</v>
      </c>
      <c r="U75" s="31">
        <v>48.987880450977798</v>
      </c>
      <c r="V75" s="31">
        <v>8.3486947632083695</v>
      </c>
      <c r="W75" s="31">
        <v>64.648843999794096</v>
      </c>
      <c r="X75" s="31">
        <v>10.6740693006561</v>
      </c>
      <c r="Y75" s="31">
        <v>2.4787734630798002</v>
      </c>
      <c r="Z75" s="31">
        <v>196.02987304310199</v>
      </c>
      <c r="AA75" s="31">
        <v>0.418307925404449</v>
      </c>
      <c r="AB75" s="31">
        <v>0.95928979081919397</v>
      </c>
      <c r="AC75" s="31">
        <v>9.2567594471761208</v>
      </c>
      <c r="AD75" s="31">
        <v>5.3194562204115199</v>
      </c>
    </row>
    <row r="76" spans="1:30" s="2" customFormat="1">
      <c r="A76" s="23" t="s">
        <v>41</v>
      </c>
      <c r="B76" s="8" t="s">
        <v>368</v>
      </c>
      <c r="C76" s="9">
        <v>1.4410035495254701</v>
      </c>
      <c r="D76" s="9">
        <v>0.159333575394561</v>
      </c>
      <c r="E76" s="9">
        <v>0.38660550155915802</v>
      </c>
      <c r="F76" s="9">
        <v>5.7802011106849203E-2</v>
      </c>
      <c r="G76" s="9">
        <v>0.257047437431981</v>
      </c>
      <c r="H76" s="8"/>
      <c r="I76" s="31">
        <v>16.664984697341701</v>
      </c>
      <c r="J76" s="31">
        <v>730.51148410273697</v>
      </c>
      <c r="K76" s="31">
        <v>0.98650191807534504</v>
      </c>
      <c r="L76" s="31">
        <v>4.5511243883462296</v>
      </c>
      <c r="M76" s="31">
        <v>0.94664879421599601</v>
      </c>
      <c r="N76" s="31">
        <v>5.49716981007521</v>
      </c>
      <c r="O76" s="31">
        <v>1.3891924329857801</v>
      </c>
      <c r="P76" s="31">
        <v>9.4603738257553207</v>
      </c>
      <c r="Q76" s="31">
        <v>1.5699195137359701</v>
      </c>
      <c r="R76" s="31">
        <v>0.25407610850906598</v>
      </c>
      <c r="S76" s="31">
        <v>1.8912153266125999</v>
      </c>
      <c r="T76" s="31">
        <v>0.48393318867909002</v>
      </c>
      <c r="U76" s="31">
        <v>1.73251228920522</v>
      </c>
      <c r="V76" s="31">
        <v>0.245932123440947</v>
      </c>
      <c r="W76" s="31">
        <v>1.8141901711542401</v>
      </c>
      <c r="X76" s="31">
        <v>0.26056850425247802</v>
      </c>
      <c r="Y76" s="31">
        <v>1.0180925999386501</v>
      </c>
      <c r="Z76" s="31">
        <v>26.789540387435899</v>
      </c>
      <c r="AA76" s="31">
        <v>0.85994876179023305</v>
      </c>
      <c r="AB76" s="31">
        <v>0.422021055449458</v>
      </c>
      <c r="AC76" s="31">
        <v>1.2010098530200299</v>
      </c>
      <c r="AD76" s="31">
        <v>1.37701398384797</v>
      </c>
    </row>
    <row r="77" spans="1:30" s="2" customFormat="1">
      <c r="A77" s="23" t="s">
        <v>41</v>
      </c>
      <c r="B77" s="8" t="s">
        <v>369</v>
      </c>
      <c r="C77" s="9">
        <v>1.88518019896426</v>
      </c>
      <c r="D77" s="9">
        <v>0.10575087921801</v>
      </c>
      <c r="E77" s="9">
        <v>0.250866678556673</v>
      </c>
      <c r="F77" s="9">
        <v>1.78949770388988E-2</v>
      </c>
      <c r="G77" s="9">
        <v>0.127160712064076</v>
      </c>
      <c r="H77" s="8"/>
      <c r="I77" s="31">
        <v>112.13309509071399</v>
      </c>
      <c r="J77" s="31">
        <v>2603.7162150189702</v>
      </c>
      <c r="K77" s="31">
        <v>5.2167191313764398</v>
      </c>
      <c r="L77" s="31">
        <v>33.802071244955499</v>
      </c>
      <c r="M77" s="31">
        <v>8.1537520815932893</v>
      </c>
      <c r="N77" s="31">
        <v>48.731898139107997</v>
      </c>
      <c r="O77" s="31">
        <v>21.5978154821332</v>
      </c>
      <c r="P77" s="31">
        <v>72.247666896437806</v>
      </c>
      <c r="Q77" s="31">
        <v>23.0874191745548</v>
      </c>
      <c r="R77" s="31">
        <v>3.5782453714146998</v>
      </c>
      <c r="S77" s="31">
        <v>19.667488401539298</v>
      </c>
      <c r="T77" s="31">
        <v>3.7018545890565302</v>
      </c>
      <c r="U77" s="31">
        <v>10.0701583367957</v>
      </c>
      <c r="V77" s="31">
        <v>1.38447979521811</v>
      </c>
      <c r="W77" s="31">
        <v>10.4777433542924</v>
      </c>
      <c r="X77" s="31">
        <v>1.98713623998934</v>
      </c>
      <c r="Y77" s="31">
        <v>3.2992594168240301</v>
      </c>
      <c r="Z77" s="31">
        <v>317.51030039003001</v>
      </c>
      <c r="AA77" s="31">
        <v>1.31287406913284</v>
      </c>
      <c r="AB77" s="31">
        <v>1.4692314005556</v>
      </c>
      <c r="AC77" s="31">
        <v>6.4037056926839497</v>
      </c>
      <c r="AD77" s="31">
        <v>4.37446319285882</v>
      </c>
    </row>
    <row r="78" spans="1:30" s="2" customFormat="1">
      <c r="A78" s="23" t="s">
        <v>41</v>
      </c>
      <c r="B78" s="8" t="s">
        <v>381</v>
      </c>
      <c r="C78" s="9">
        <v>1.87537989983</v>
      </c>
      <c r="D78" s="9">
        <v>0.118004691866501</v>
      </c>
      <c r="E78" s="9">
        <v>0.25085121916424802</v>
      </c>
      <c r="F78" s="9">
        <v>2.1732834390538601E-2</v>
      </c>
      <c r="G78" s="9">
        <v>0.41950517771992102</v>
      </c>
      <c r="H78" s="8"/>
      <c r="I78" s="31">
        <v>80.544355494264394</v>
      </c>
      <c r="J78" s="31">
        <v>775.06361308747398</v>
      </c>
      <c r="K78" s="31">
        <v>3.4928547432420398</v>
      </c>
      <c r="L78" s="31">
        <v>23.5570354085521</v>
      </c>
      <c r="M78" s="31">
        <v>5.7927468065354599</v>
      </c>
      <c r="N78" s="31">
        <v>35.838921014992899</v>
      </c>
      <c r="O78" s="31">
        <v>15.8792965562692</v>
      </c>
      <c r="P78" s="31">
        <v>39.671535325652798</v>
      </c>
      <c r="Q78" s="31">
        <v>18.151138376078698</v>
      </c>
      <c r="R78" s="31">
        <v>2.3967546596947198</v>
      </c>
      <c r="S78" s="31">
        <v>13.579080146102299</v>
      </c>
      <c r="T78" s="31">
        <v>2.3513001725609199</v>
      </c>
      <c r="U78" s="31">
        <v>6.8053828296019301</v>
      </c>
      <c r="V78" s="31">
        <v>0.92923282121309003</v>
      </c>
      <c r="W78" s="31">
        <v>5.7767540907659596</v>
      </c>
      <c r="X78" s="31">
        <v>0.957220944633565</v>
      </c>
      <c r="Y78" s="31">
        <v>1.4603958473974901</v>
      </c>
      <c r="Z78" s="31">
        <v>54.430081223401103</v>
      </c>
      <c r="AA78" s="31">
        <v>0.45931041899277403</v>
      </c>
      <c r="AB78" s="31">
        <v>1.64164667210037</v>
      </c>
      <c r="AC78" s="31">
        <v>4.3220917705175896</v>
      </c>
      <c r="AD78" s="31">
        <v>2.96720621064433</v>
      </c>
    </row>
    <row r="79" spans="1:30" s="2" customFormat="1">
      <c r="A79" s="23" t="s">
        <v>41</v>
      </c>
      <c r="B79" s="8" t="s">
        <v>374</v>
      </c>
      <c r="C79" s="9">
        <v>1.5474830239924999</v>
      </c>
      <c r="D79" s="9">
        <v>0.139435941078804</v>
      </c>
      <c r="E79" s="9">
        <v>0.55278657344118498</v>
      </c>
      <c r="F79" s="9">
        <v>5.7469625519253199E-2</v>
      </c>
      <c r="G79" s="9">
        <v>0.612718733710511</v>
      </c>
      <c r="H79" s="8"/>
      <c r="I79" s="31">
        <v>52.706727264296703</v>
      </c>
      <c r="J79" s="31">
        <v>385.66490387900899</v>
      </c>
      <c r="K79" s="31">
        <v>6.0387962573650098</v>
      </c>
      <c r="L79" s="31">
        <v>15.423362768834201</v>
      </c>
      <c r="M79" s="31">
        <v>2.2014262730850298</v>
      </c>
      <c r="N79" s="31">
        <v>8.7687718875041405</v>
      </c>
      <c r="O79" s="31">
        <v>2.7102661680683</v>
      </c>
      <c r="P79" s="31">
        <v>4.7625915870469901</v>
      </c>
      <c r="Q79" s="31">
        <v>3.55183873880096</v>
      </c>
      <c r="R79" s="31">
        <v>1.0260458003833901</v>
      </c>
      <c r="S79" s="31">
        <v>7.8925242274787202</v>
      </c>
      <c r="T79" s="31">
        <v>1.7742654221594301</v>
      </c>
      <c r="U79" s="31">
        <v>5.3952158876082903</v>
      </c>
      <c r="V79" s="31">
        <v>0.85194788036366997</v>
      </c>
      <c r="W79" s="31">
        <v>5.1200413265356701</v>
      </c>
      <c r="X79" s="31">
        <v>0.62958051592747699</v>
      </c>
      <c r="Y79" s="31">
        <v>1.8337998212867199</v>
      </c>
      <c r="Z79" s="31">
        <v>16.182739266334298</v>
      </c>
      <c r="AA79" s="31">
        <v>1.7882338205463899</v>
      </c>
      <c r="AB79" s="31">
        <v>0.131688729773244</v>
      </c>
      <c r="AC79" s="31">
        <v>1.16448344659478</v>
      </c>
      <c r="AD79" s="31">
        <v>1.9232734294504701</v>
      </c>
    </row>
    <row r="80" spans="1:30" s="1" customFormat="1">
      <c r="A80" s="23"/>
      <c r="B80" s="23"/>
      <c r="C80" s="24"/>
      <c r="D80" s="24"/>
      <c r="E80" s="24"/>
      <c r="F80" s="24"/>
      <c r="G80" s="24"/>
      <c r="H80" s="2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 s="1" customFormat="1">
      <c r="A81" s="23" t="s">
        <v>403</v>
      </c>
      <c r="B81" s="23"/>
      <c r="C81" s="24"/>
      <c r="D81" s="24"/>
      <c r="E81" s="24"/>
      <c r="F81" s="24"/>
      <c r="G81" s="24"/>
      <c r="H81" s="2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 s="2" customFormat="1">
      <c r="A82" s="23" t="s">
        <v>414</v>
      </c>
      <c r="B82" s="8" t="s">
        <v>414</v>
      </c>
      <c r="C82" s="9">
        <v>5.4419109214046903</v>
      </c>
      <c r="D82" s="9">
        <v>0.23688378431082399</v>
      </c>
      <c r="E82" s="9">
        <v>8.77077334682594E-2</v>
      </c>
      <c r="F82" s="9">
        <v>1.37216848894985E-3</v>
      </c>
      <c r="G82" s="9">
        <v>0.116937646867455</v>
      </c>
      <c r="H82" s="8"/>
      <c r="I82" s="31">
        <v>3645.6658742892701</v>
      </c>
      <c r="J82" s="31">
        <v>3990.1664469871598</v>
      </c>
      <c r="K82" s="31">
        <v>377.53545355729398</v>
      </c>
      <c r="L82" s="31">
        <v>1742.66431989592</v>
      </c>
      <c r="M82" s="31">
        <v>327.89607019061401</v>
      </c>
      <c r="N82" s="31">
        <v>1584.6423473622499</v>
      </c>
      <c r="O82" s="31">
        <v>514.06739537340502</v>
      </c>
      <c r="P82" s="31">
        <v>80.215005364314095</v>
      </c>
      <c r="Q82" s="31">
        <v>589.02214552543705</v>
      </c>
      <c r="R82" s="31">
        <v>118.011919211611</v>
      </c>
      <c r="S82" s="31">
        <v>855.40499082506506</v>
      </c>
      <c r="T82" s="31">
        <v>177.32302172012999</v>
      </c>
      <c r="U82" s="31">
        <v>522.38433130937699</v>
      </c>
      <c r="V82" s="31">
        <v>68.389835625358401</v>
      </c>
      <c r="W82" s="31">
        <v>349.622658485513</v>
      </c>
      <c r="X82" s="31">
        <v>29.9401228134757</v>
      </c>
      <c r="Y82" s="31">
        <v>56.438455345864</v>
      </c>
      <c r="Z82" s="31">
        <v>197.471971677852</v>
      </c>
      <c r="AA82" s="31">
        <v>0.362742918610097</v>
      </c>
      <c r="AB82" s="31">
        <v>205.399800398791</v>
      </c>
      <c r="AC82" s="31">
        <v>321.34407075575399</v>
      </c>
      <c r="AD82" s="31">
        <v>68.087615830615803</v>
      </c>
    </row>
    <row r="83" spans="1:30" s="2" customFormat="1">
      <c r="A83" s="23" t="s">
        <v>414</v>
      </c>
      <c r="B83" s="8" t="s">
        <v>414</v>
      </c>
      <c r="C83" s="9">
        <v>5.59001435348915</v>
      </c>
      <c r="D83" s="9">
        <v>0.24799075356780101</v>
      </c>
      <c r="E83" s="9">
        <v>8.7403614950831293E-2</v>
      </c>
      <c r="F83" s="9">
        <v>1.6636407694884401E-3</v>
      </c>
      <c r="G83" s="9">
        <v>0.19382053147243999</v>
      </c>
      <c r="H83" s="8"/>
      <c r="I83" s="31">
        <v>3569.6544608643599</v>
      </c>
      <c r="J83" s="31">
        <v>3934.8826348882099</v>
      </c>
      <c r="K83" s="31">
        <v>372.48783585992197</v>
      </c>
      <c r="L83" s="31">
        <v>1714.0020942379499</v>
      </c>
      <c r="M83" s="31">
        <v>323.665915192856</v>
      </c>
      <c r="N83" s="31">
        <v>1562.7652775194199</v>
      </c>
      <c r="O83" s="31">
        <v>506.84022486131801</v>
      </c>
      <c r="P83" s="31">
        <v>79.418608736477907</v>
      </c>
      <c r="Q83" s="31">
        <v>580.56857345436595</v>
      </c>
      <c r="R83" s="31">
        <v>116.514655363296</v>
      </c>
      <c r="S83" s="31">
        <v>837.46174793978298</v>
      </c>
      <c r="T83" s="31">
        <v>174.86797808518901</v>
      </c>
      <c r="U83" s="31">
        <v>510.86305300114702</v>
      </c>
      <c r="V83" s="31">
        <v>67.457060588541097</v>
      </c>
      <c r="W83" s="31">
        <v>343.552118773698</v>
      </c>
      <c r="X83" s="31">
        <v>29.331980323414001</v>
      </c>
      <c r="Y83" s="31">
        <v>55.932703552822801</v>
      </c>
      <c r="Z83" s="31">
        <v>193.26447452355299</v>
      </c>
      <c r="AA83" s="31">
        <v>0.35617886811765198</v>
      </c>
      <c r="AB83" s="31">
        <v>201.68710983464101</v>
      </c>
      <c r="AC83" s="31">
        <v>317.47824937462099</v>
      </c>
      <c r="AD83" s="31">
        <v>67.838951595233496</v>
      </c>
    </row>
    <row r="84" spans="1:30" s="2" customFormat="1">
      <c r="A84" s="23" t="s">
        <v>414</v>
      </c>
      <c r="B84" s="8" t="s">
        <v>414</v>
      </c>
      <c r="C84" s="9">
        <v>5.3068503304225603</v>
      </c>
      <c r="D84" s="9">
        <v>0.24065240661667101</v>
      </c>
      <c r="E84" s="9">
        <v>8.7798925853294907E-2</v>
      </c>
      <c r="F84" s="9">
        <v>2.0149843273595401E-3</v>
      </c>
      <c r="G84" s="9">
        <v>0.207040396144444</v>
      </c>
      <c r="H84" s="8"/>
      <c r="I84" s="31">
        <v>3796.85779345735</v>
      </c>
      <c r="J84" s="31">
        <v>4207.6582605859803</v>
      </c>
      <c r="K84" s="31">
        <v>398.44936847907701</v>
      </c>
      <c r="L84" s="31">
        <v>1810.5212720547499</v>
      </c>
      <c r="M84" s="31">
        <v>342.84848793447901</v>
      </c>
      <c r="N84" s="31">
        <v>1645.8069846506</v>
      </c>
      <c r="O84" s="31">
        <v>529.38561287524305</v>
      </c>
      <c r="P84" s="31">
        <v>82.568105889346896</v>
      </c>
      <c r="Q84" s="31">
        <v>619.01502678578697</v>
      </c>
      <c r="R84" s="31">
        <v>121.93215753210799</v>
      </c>
      <c r="S84" s="31">
        <v>879.92386252983499</v>
      </c>
      <c r="T84" s="31">
        <v>184.45511539841499</v>
      </c>
      <c r="U84" s="31">
        <v>539.06133596099505</v>
      </c>
      <c r="V84" s="31">
        <v>71.755297864232105</v>
      </c>
      <c r="W84" s="31">
        <v>363.02666715374397</v>
      </c>
      <c r="X84" s="31">
        <v>30.873083960772799</v>
      </c>
      <c r="Y84" s="31">
        <v>59.350592406725603</v>
      </c>
      <c r="Z84" s="31">
        <v>204.812922798562</v>
      </c>
      <c r="AA84" s="31">
        <v>0.27735015451906497</v>
      </c>
      <c r="AB84" s="31">
        <v>216.27017583124601</v>
      </c>
      <c r="AC84" s="31">
        <v>332.59037681065502</v>
      </c>
      <c r="AD84" s="31">
        <v>68.989976073174105</v>
      </c>
    </row>
    <row r="85" spans="1:30" s="2" customFormat="1">
      <c r="A85" s="23" t="s">
        <v>414</v>
      </c>
      <c r="B85" s="8" t="s">
        <v>414</v>
      </c>
      <c r="C85" s="9">
        <v>5.3211541349199099</v>
      </c>
      <c r="D85" s="9">
        <v>0.25324244430253201</v>
      </c>
      <c r="E85" s="9">
        <v>8.7256221299219699E-2</v>
      </c>
      <c r="F85" s="9">
        <v>2.4291445318563101E-3</v>
      </c>
      <c r="G85" s="9">
        <v>0.25044213993513798</v>
      </c>
      <c r="H85" s="8"/>
      <c r="I85" s="31">
        <v>3893.8260917918401</v>
      </c>
      <c r="J85" s="31">
        <v>4221.8222671309404</v>
      </c>
      <c r="K85" s="31">
        <v>399.63678582393197</v>
      </c>
      <c r="L85" s="31">
        <v>1862.08419810224</v>
      </c>
      <c r="M85" s="31">
        <v>348.35358827908999</v>
      </c>
      <c r="N85" s="31">
        <v>1695.72649851346</v>
      </c>
      <c r="O85" s="31">
        <v>542.05218142726403</v>
      </c>
      <c r="P85" s="31">
        <v>85.095858828555095</v>
      </c>
      <c r="Q85" s="31">
        <v>626.09118579082804</v>
      </c>
      <c r="R85" s="31">
        <v>125.190351025883</v>
      </c>
      <c r="S85" s="31">
        <v>908.87025503506902</v>
      </c>
      <c r="T85" s="31">
        <v>187.544381044603</v>
      </c>
      <c r="U85" s="31">
        <v>558.46453864772104</v>
      </c>
      <c r="V85" s="31">
        <v>72.740232926975693</v>
      </c>
      <c r="W85" s="31">
        <v>375.71157755985098</v>
      </c>
      <c r="X85" s="31">
        <v>31.6607979570603</v>
      </c>
      <c r="Y85" s="31">
        <v>60.773558498790997</v>
      </c>
      <c r="Z85" s="31">
        <v>209.44209497927099</v>
      </c>
      <c r="AA85" s="31">
        <v>0.48428575508027899</v>
      </c>
      <c r="AB85" s="31">
        <v>208.447807176135</v>
      </c>
      <c r="AC85" s="31">
        <v>324.24339584374201</v>
      </c>
      <c r="AD85" s="31">
        <v>65.897359139385699</v>
      </c>
    </row>
    <row r="86" spans="1:30" s="2" customFormat="1">
      <c r="A86" s="23" t="s">
        <v>414</v>
      </c>
      <c r="B86" s="8" t="s">
        <v>414</v>
      </c>
      <c r="C86" s="9">
        <v>5.4735398938561799</v>
      </c>
      <c r="D86" s="9">
        <v>0.24218788774192199</v>
      </c>
      <c r="E86" s="9">
        <v>8.6688832711787497E-2</v>
      </c>
      <c r="F86" s="9">
        <v>1.89662001084291E-3</v>
      </c>
      <c r="G86" s="9">
        <v>0.38122110275482501</v>
      </c>
      <c r="H86" s="8"/>
      <c r="I86" s="31">
        <v>3496.7152127505001</v>
      </c>
      <c r="J86" s="31">
        <v>3924.6437974560499</v>
      </c>
      <c r="K86" s="31">
        <v>364.12143358350301</v>
      </c>
      <c r="L86" s="31">
        <v>1675.00872095516</v>
      </c>
      <c r="M86" s="31">
        <v>315.96913941542903</v>
      </c>
      <c r="N86" s="31">
        <v>1525.9263727819</v>
      </c>
      <c r="O86" s="31">
        <v>495.14775759997099</v>
      </c>
      <c r="P86" s="31">
        <v>76.496571546448905</v>
      </c>
      <c r="Q86" s="31">
        <v>560.06243243906601</v>
      </c>
      <c r="R86" s="31">
        <v>112.84548394502001</v>
      </c>
      <c r="S86" s="31">
        <v>819.20291331765702</v>
      </c>
      <c r="T86" s="31">
        <v>170.51260026141799</v>
      </c>
      <c r="U86" s="31">
        <v>503.19130709152802</v>
      </c>
      <c r="V86" s="31">
        <v>65.747662790565499</v>
      </c>
      <c r="W86" s="31">
        <v>337.96733581561398</v>
      </c>
      <c r="X86" s="31">
        <v>29.044312286046299</v>
      </c>
      <c r="Y86" s="31">
        <v>53.882576597699597</v>
      </c>
      <c r="Z86" s="31">
        <v>188.92023186715701</v>
      </c>
      <c r="AA86" s="31">
        <v>0.27807658474494601</v>
      </c>
      <c r="AB86" s="31">
        <v>194.85501765100699</v>
      </c>
      <c r="AC86" s="31">
        <v>307.25789787830399</v>
      </c>
      <c r="AD86" s="31">
        <v>65.376661890027904</v>
      </c>
    </row>
    <row r="87" spans="1:30" s="2" customFormat="1">
      <c r="A87" s="23" t="s">
        <v>414</v>
      </c>
      <c r="B87" s="8" t="s">
        <v>414</v>
      </c>
      <c r="C87" s="9">
        <v>5.4903863225427498</v>
      </c>
      <c r="D87" s="9">
        <v>0.248330423289288</v>
      </c>
      <c r="E87" s="9">
        <v>8.6749425013139703E-2</v>
      </c>
      <c r="F87" s="9">
        <v>1.7607313929749199E-3</v>
      </c>
      <c r="G87" s="9">
        <v>0.36559119190170603</v>
      </c>
      <c r="H87" s="8"/>
      <c r="I87" s="31">
        <v>3489.5740146840799</v>
      </c>
      <c r="J87" s="31">
        <v>3880.1716835894799</v>
      </c>
      <c r="K87" s="31">
        <v>362.14683939208999</v>
      </c>
      <c r="L87" s="31">
        <v>1678.1420009634201</v>
      </c>
      <c r="M87" s="31">
        <v>314.30393924932298</v>
      </c>
      <c r="N87" s="31">
        <v>1523.83230355567</v>
      </c>
      <c r="O87" s="31">
        <v>490.03956953911</v>
      </c>
      <c r="P87" s="31">
        <v>76.270030602741897</v>
      </c>
      <c r="Q87" s="31">
        <v>560.08524069958503</v>
      </c>
      <c r="R87" s="31">
        <v>112.184077826997</v>
      </c>
      <c r="S87" s="31">
        <v>806.50713039044399</v>
      </c>
      <c r="T87" s="31">
        <v>169.96791752358601</v>
      </c>
      <c r="U87" s="31">
        <v>498.52155458613697</v>
      </c>
      <c r="V87" s="31">
        <v>65.378273223977999</v>
      </c>
      <c r="W87" s="31">
        <v>331.39833625344397</v>
      </c>
      <c r="X87" s="31">
        <v>28.2482621354659</v>
      </c>
      <c r="Y87" s="31">
        <v>53.781274055814897</v>
      </c>
      <c r="Z87" s="31">
        <v>187.92531462108599</v>
      </c>
      <c r="AA87" s="31">
        <v>0.26492073483979101</v>
      </c>
      <c r="AB87" s="31">
        <v>195.91075162325899</v>
      </c>
      <c r="AC87" s="31">
        <v>306.24906158007502</v>
      </c>
      <c r="AD87" s="31">
        <v>64.502710862023505</v>
      </c>
    </row>
    <row r="88" spans="1:30" s="2" customFormat="1">
      <c r="A88" s="23" t="s">
        <v>414</v>
      </c>
      <c r="B88" s="8" t="s">
        <v>414</v>
      </c>
      <c r="C88" s="9">
        <v>5.2944492571116601</v>
      </c>
      <c r="D88" s="9">
        <v>0.240645552731028</v>
      </c>
      <c r="E88" s="9">
        <v>8.7302330002628797E-2</v>
      </c>
      <c r="F88" s="9">
        <v>1.69646618163441E-3</v>
      </c>
      <c r="G88" s="9">
        <v>0.214026879960487</v>
      </c>
      <c r="H88" s="8"/>
      <c r="I88" s="31">
        <v>3472.1897375301501</v>
      </c>
      <c r="J88" s="31">
        <v>3857.0423207126901</v>
      </c>
      <c r="K88" s="31">
        <v>357.28643534123597</v>
      </c>
      <c r="L88" s="31">
        <v>1657.4661414719001</v>
      </c>
      <c r="M88" s="31">
        <v>311.952131809295</v>
      </c>
      <c r="N88" s="31">
        <v>1501.7537072458999</v>
      </c>
      <c r="O88" s="31">
        <v>487.88381171351898</v>
      </c>
      <c r="P88" s="31">
        <v>75.897109758363996</v>
      </c>
      <c r="Q88" s="31">
        <v>558.10712633296896</v>
      </c>
      <c r="R88" s="31">
        <v>112.664729039533</v>
      </c>
      <c r="S88" s="31">
        <v>803.92284451365197</v>
      </c>
      <c r="T88" s="31">
        <v>169.167448834038</v>
      </c>
      <c r="U88" s="31">
        <v>494.74642063671399</v>
      </c>
      <c r="V88" s="31">
        <v>64.911371977388299</v>
      </c>
      <c r="W88" s="31">
        <v>334.96557251054202</v>
      </c>
      <c r="X88" s="31">
        <v>27.877603681630401</v>
      </c>
      <c r="Y88" s="31">
        <v>53.239899160607997</v>
      </c>
      <c r="Z88" s="31">
        <v>186.32192604539401</v>
      </c>
      <c r="AA88" s="31">
        <v>0.29601400857205601</v>
      </c>
      <c r="AB88" s="31">
        <v>191.599961523389</v>
      </c>
      <c r="AC88" s="31">
        <v>301.84365977124799</v>
      </c>
      <c r="AD88" s="31">
        <v>62.694407983781197</v>
      </c>
    </row>
    <row r="89" spans="1:30" s="2" customFormat="1">
      <c r="A89" s="23" t="s">
        <v>414</v>
      </c>
      <c r="B89" s="8" t="s">
        <v>414</v>
      </c>
      <c r="C89" s="9">
        <v>5.3147660875985796</v>
      </c>
      <c r="D89" s="9">
        <v>0.23679432232086001</v>
      </c>
      <c r="E89" s="9">
        <v>8.8485338087383097E-2</v>
      </c>
      <c r="F89" s="9">
        <v>2.0528546287586699E-3</v>
      </c>
      <c r="G89" s="9">
        <v>0.261212085951194</v>
      </c>
      <c r="H89" s="8"/>
      <c r="I89" s="31">
        <v>3401.9156703683798</v>
      </c>
      <c r="J89" s="31">
        <v>3816.3551924276398</v>
      </c>
      <c r="K89" s="31">
        <v>353.18484637068701</v>
      </c>
      <c r="L89" s="31">
        <v>1641.5268981357201</v>
      </c>
      <c r="M89" s="31">
        <v>303.88809172848102</v>
      </c>
      <c r="N89" s="31">
        <v>1493.3068238901301</v>
      </c>
      <c r="O89" s="31">
        <v>477.05056733079698</v>
      </c>
      <c r="P89" s="31">
        <v>74.929136983065405</v>
      </c>
      <c r="Q89" s="31">
        <v>554.66265883246501</v>
      </c>
      <c r="R89" s="31">
        <v>109.349038976862</v>
      </c>
      <c r="S89" s="31">
        <v>797.39372215109302</v>
      </c>
      <c r="T89" s="31">
        <v>166.869402135391</v>
      </c>
      <c r="U89" s="31">
        <v>481.88270079171798</v>
      </c>
      <c r="V89" s="31">
        <v>63.546576424017502</v>
      </c>
      <c r="W89" s="31">
        <v>325.24422742326402</v>
      </c>
      <c r="X89" s="31">
        <v>28.1946050472881</v>
      </c>
      <c r="Y89" s="31">
        <v>52.7494904283162</v>
      </c>
      <c r="Z89" s="31">
        <v>184.37761590744199</v>
      </c>
      <c r="AA89" s="31">
        <v>0.129249738978752</v>
      </c>
      <c r="AB89" s="31">
        <v>188.34002865912299</v>
      </c>
      <c r="AC89" s="31">
        <v>299.12547453419597</v>
      </c>
      <c r="AD89" s="31">
        <v>62.8846700348941</v>
      </c>
    </row>
    <row r="90" spans="1:30" s="2" customFormat="1">
      <c r="A90" s="23" t="s">
        <v>414</v>
      </c>
      <c r="B90" s="8" t="s">
        <v>414</v>
      </c>
      <c r="C90" s="9">
        <v>5.6279039521921499</v>
      </c>
      <c r="D90" s="9">
        <v>0.25072269363206701</v>
      </c>
      <c r="E90" s="9">
        <v>8.8425452668589005E-2</v>
      </c>
      <c r="F90" s="9">
        <v>1.93695755353155E-3</v>
      </c>
      <c r="G90" s="9">
        <v>0.306021983540957</v>
      </c>
      <c r="H90" s="8"/>
      <c r="I90" s="31">
        <v>3839.1998317723901</v>
      </c>
      <c r="J90" s="31">
        <v>4258.9717771301903</v>
      </c>
      <c r="K90" s="31">
        <v>396.50351381160999</v>
      </c>
      <c r="L90" s="31">
        <v>1831.71245331213</v>
      </c>
      <c r="M90" s="31">
        <v>341.503559010885</v>
      </c>
      <c r="N90" s="31">
        <v>1689.84460301338</v>
      </c>
      <c r="O90" s="31">
        <v>541.97992434998503</v>
      </c>
      <c r="P90" s="31">
        <v>83.868503937262901</v>
      </c>
      <c r="Q90" s="31">
        <v>623.53266266851801</v>
      </c>
      <c r="R90" s="31">
        <v>124.849853849911</v>
      </c>
      <c r="S90" s="31">
        <v>897.48862291509499</v>
      </c>
      <c r="T90" s="31">
        <v>185.07651772800099</v>
      </c>
      <c r="U90" s="31">
        <v>545.37875104102102</v>
      </c>
      <c r="V90" s="31">
        <v>72.387195803070895</v>
      </c>
      <c r="W90" s="31">
        <v>367.50313722602698</v>
      </c>
      <c r="X90" s="31">
        <v>31.822605098168701</v>
      </c>
      <c r="Y90" s="31">
        <v>60.028265143561498</v>
      </c>
      <c r="Z90" s="31">
        <v>205.90451264258701</v>
      </c>
      <c r="AA90" s="31">
        <v>0.276650346748403</v>
      </c>
      <c r="AB90" s="31">
        <v>211.189317385392</v>
      </c>
      <c r="AC90" s="31">
        <v>326.66855093655403</v>
      </c>
      <c r="AD90" s="31">
        <v>67.921830136474199</v>
      </c>
    </row>
    <row r="91" spans="1:30" s="2" customFormat="1">
      <c r="A91" s="23" t="s">
        <v>414</v>
      </c>
      <c r="B91" s="8" t="s">
        <v>414</v>
      </c>
      <c r="C91" s="9">
        <v>5.5541656821911003</v>
      </c>
      <c r="D91" s="9">
        <v>0.25406613645547399</v>
      </c>
      <c r="E91" s="9">
        <v>8.8250367224860099E-2</v>
      </c>
      <c r="F91" s="9">
        <v>1.81896328735786E-3</v>
      </c>
      <c r="G91" s="9">
        <v>0.166769779897497</v>
      </c>
      <c r="H91" s="8"/>
      <c r="I91" s="31">
        <v>3775.43670270436</v>
      </c>
      <c r="J91" s="31">
        <v>4226.0532795532599</v>
      </c>
      <c r="K91" s="31">
        <v>387.08918420523702</v>
      </c>
      <c r="L91" s="31">
        <v>1804.1049932809301</v>
      </c>
      <c r="M91" s="31">
        <v>334.26577652774102</v>
      </c>
      <c r="N91" s="31">
        <v>1660.0567789705401</v>
      </c>
      <c r="O91" s="31">
        <v>526.40304997512396</v>
      </c>
      <c r="P91" s="31">
        <v>82.258548387217601</v>
      </c>
      <c r="Q91" s="31">
        <v>607.28548637396</v>
      </c>
      <c r="R91" s="31">
        <v>121.91129951566499</v>
      </c>
      <c r="S91" s="31">
        <v>877.953172632735</v>
      </c>
      <c r="T91" s="31">
        <v>183.12805056686801</v>
      </c>
      <c r="U91" s="31">
        <v>536.51499927391296</v>
      </c>
      <c r="V91" s="31">
        <v>70.449258270119699</v>
      </c>
      <c r="W91" s="31">
        <v>363.24173192403299</v>
      </c>
      <c r="X91" s="31">
        <v>30.678588744180299</v>
      </c>
      <c r="Y91" s="31">
        <v>57.761644592224798</v>
      </c>
      <c r="Z91" s="31">
        <v>201.87733938347401</v>
      </c>
      <c r="AA91" s="31">
        <v>0.31377555449726402</v>
      </c>
      <c r="AB91" s="31">
        <v>203.881256921611</v>
      </c>
      <c r="AC91" s="31">
        <v>320.46510541464102</v>
      </c>
      <c r="AD91" s="31">
        <v>66.390086739647899</v>
      </c>
    </row>
    <row r="92" spans="1:30" s="2" customFormat="1">
      <c r="A92" s="23" t="s">
        <v>414</v>
      </c>
      <c r="B92" s="8" t="s">
        <v>414</v>
      </c>
      <c r="C92" s="9">
        <v>5.62268375179465</v>
      </c>
      <c r="D92" s="9">
        <v>0.25390843615824898</v>
      </c>
      <c r="E92" s="9">
        <v>8.8559086610290397E-2</v>
      </c>
      <c r="F92" s="9">
        <v>2.27261846763493E-3</v>
      </c>
      <c r="G92" s="9">
        <v>0.29408622632398101</v>
      </c>
      <c r="H92" s="8"/>
      <c r="I92" s="31">
        <v>3760.6065901427201</v>
      </c>
      <c r="J92" s="31">
        <v>4200.3385208260297</v>
      </c>
      <c r="K92" s="31">
        <v>384.56489943935298</v>
      </c>
      <c r="L92" s="31">
        <v>1770.85955087906</v>
      </c>
      <c r="M92" s="31">
        <v>330.35193942817199</v>
      </c>
      <c r="N92" s="31">
        <v>1635.6715195460799</v>
      </c>
      <c r="O92" s="31">
        <v>530.83425330452997</v>
      </c>
      <c r="P92" s="31">
        <v>82.159430880341304</v>
      </c>
      <c r="Q92" s="31">
        <v>601.07466820127604</v>
      </c>
      <c r="R92" s="31">
        <v>120.86721145835</v>
      </c>
      <c r="S92" s="31">
        <v>878.16255940014196</v>
      </c>
      <c r="T92" s="31">
        <v>181.996706020538</v>
      </c>
      <c r="U92" s="31">
        <v>529.71926294741002</v>
      </c>
      <c r="V92" s="31">
        <v>70.386446477410104</v>
      </c>
      <c r="W92" s="31">
        <v>357.285248817926</v>
      </c>
      <c r="X92" s="31">
        <v>30.500163872102501</v>
      </c>
      <c r="Y92" s="31">
        <v>58.506418476644598</v>
      </c>
      <c r="Z92" s="31">
        <v>198.35218172638901</v>
      </c>
      <c r="AA92" s="31">
        <v>0.32138303834662202</v>
      </c>
      <c r="AB92" s="31">
        <v>202.41616360512299</v>
      </c>
      <c r="AC92" s="31">
        <v>317.21731064142301</v>
      </c>
      <c r="AD92" s="31">
        <v>64.209391483373096</v>
      </c>
    </row>
    <row r="93" spans="1:30" s="2" customFormat="1">
      <c r="A93" s="34" t="s">
        <v>414</v>
      </c>
      <c r="B93" s="35" t="s">
        <v>414</v>
      </c>
      <c r="C93" s="36">
        <v>5.5320267478900496</v>
      </c>
      <c r="D93" s="36">
        <v>0.24778804871328</v>
      </c>
      <c r="E93" s="36">
        <v>8.6723870480165596E-2</v>
      </c>
      <c r="F93" s="36">
        <v>2.0418259816091301E-3</v>
      </c>
      <c r="G93" s="36">
        <v>0.21979935957625599</v>
      </c>
      <c r="H93" s="35"/>
      <c r="I93" s="37">
        <v>3791.68378993632</v>
      </c>
      <c r="J93" s="37">
        <v>4222.1279262357702</v>
      </c>
      <c r="K93" s="37">
        <v>389.99596312867698</v>
      </c>
      <c r="L93" s="37">
        <v>1796.34011384104</v>
      </c>
      <c r="M93" s="37">
        <v>334.93283755276701</v>
      </c>
      <c r="N93" s="37">
        <v>1666.5982071794799</v>
      </c>
      <c r="O93" s="37">
        <v>533.41029646732204</v>
      </c>
      <c r="P93" s="37">
        <v>83.336409665279007</v>
      </c>
      <c r="Q93" s="37">
        <v>617.028119048897</v>
      </c>
      <c r="R93" s="37">
        <v>122.820155440948</v>
      </c>
      <c r="S93" s="37">
        <v>873.46815307726104</v>
      </c>
      <c r="T93" s="37">
        <v>182.64757930789801</v>
      </c>
      <c r="U93" s="37">
        <v>533.76381049328404</v>
      </c>
      <c r="V93" s="37">
        <v>71.104536006013106</v>
      </c>
      <c r="W93" s="37">
        <v>360.173962746131</v>
      </c>
      <c r="X93" s="37">
        <v>30.946965975385801</v>
      </c>
      <c r="Y93" s="37">
        <v>58.608004241381899</v>
      </c>
      <c r="Z93" s="37">
        <v>200.893623856288</v>
      </c>
      <c r="AA93" s="37">
        <v>0.225911857668392</v>
      </c>
      <c r="AB93" s="37">
        <v>207.25076590757899</v>
      </c>
      <c r="AC93" s="37">
        <v>324.68710697044298</v>
      </c>
      <c r="AD93" s="37">
        <v>66.245690651129195</v>
      </c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4"/>
  <sheetViews>
    <sheetView zoomScaleNormal="100" workbookViewId="0">
      <selection activeCell="AG14" sqref="AG14"/>
    </sheetView>
  </sheetViews>
  <sheetFormatPr defaultColWidth="11" defaultRowHeight="15.95"/>
  <cols>
    <col min="1" max="1" width="13.125" style="3" customWidth="1"/>
    <col min="2" max="2" width="12.625" style="3" customWidth="1"/>
    <col min="3" max="3" width="22.875" style="3" customWidth="1"/>
    <col min="4" max="4" width="26.875" style="3" customWidth="1"/>
    <col min="5" max="5" width="24" style="3" customWidth="1"/>
    <col min="6" max="6" width="28" style="3" customWidth="1"/>
    <col min="7" max="7" width="29.625" style="3" customWidth="1"/>
    <col min="8" max="8" width="10.875" style="3"/>
    <col min="9" max="9" width="10.5" style="3" customWidth="1"/>
    <col min="10" max="10" width="7.5" style="3" customWidth="1"/>
    <col min="11" max="11" width="9.5" style="3" customWidth="1"/>
    <col min="12" max="12" width="6" style="3" customWidth="1"/>
    <col min="13" max="14" width="8.5" style="3" customWidth="1"/>
    <col min="15" max="15" width="7.5" style="3" customWidth="1"/>
    <col min="16" max="16" width="8.5" style="3" customWidth="1"/>
    <col min="17" max="17" width="7.5" style="3" customWidth="1"/>
    <col min="18" max="18" width="6.5" style="3" customWidth="1"/>
    <col min="19" max="19" width="8.5" style="3" customWidth="1"/>
    <col min="20" max="20" width="7.5" style="3" customWidth="1"/>
    <col min="21" max="21" width="8.5" style="3" customWidth="1"/>
    <col min="22" max="22" width="7.5" style="3" customWidth="1"/>
    <col min="23" max="23" width="8.5" style="3" customWidth="1"/>
    <col min="24" max="26" width="7.5" style="3" customWidth="1"/>
    <col min="27" max="27" width="6.5" style="3" customWidth="1"/>
    <col min="28" max="28" width="5.5" style="3" customWidth="1"/>
    <col min="29" max="29" width="7.5" style="3" customWidth="1"/>
    <col min="30" max="30" width="8.5" style="3" customWidth="1"/>
    <col min="31" max="31" width="7.5" style="3" customWidth="1"/>
    <col min="32" max="32" width="8.125" style="3" customWidth="1"/>
  </cols>
  <sheetData>
    <row r="1" spans="1:32">
      <c r="A1" s="4" t="s">
        <v>415</v>
      </c>
    </row>
    <row r="2" spans="1:32" s="1" customFormat="1">
      <c r="A2" s="5" t="s">
        <v>1</v>
      </c>
      <c r="B2" s="5" t="s">
        <v>90</v>
      </c>
      <c r="C2" s="6" t="s">
        <v>408</v>
      </c>
      <c r="D2" s="6" t="s">
        <v>409</v>
      </c>
      <c r="E2" s="6" t="s">
        <v>410</v>
      </c>
      <c r="F2" s="6" t="s">
        <v>411</v>
      </c>
      <c r="G2" s="5" t="s">
        <v>412</v>
      </c>
      <c r="H2" s="5"/>
      <c r="I2" s="5" t="s">
        <v>416</v>
      </c>
      <c r="J2" s="5" t="s">
        <v>118</v>
      </c>
      <c r="K2" s="5" t="s">
        <v>58</v>
      </c>
      <c r="L2" s="5" t="s">
        <v>60</v>
      </c>
      <c r="M2" s="5" t="s">
        <v>64</v>
      </c>
      <c r="N2" s="5" t="s">
        <v>65</v>
      </c>
      <c r="O2" s="5" t="s">
        <v>66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72</v>
      </c>
      <c r="V2" s="5" t="s">
        <v>73</v>
      </c>
      <c r="W2" s="5" t="s">
        <v>74</v>
      </c>
      <c r="X2" s="5" t="s">
        <v>75</v>
      </c>
      <c r="Y2" s="5" t="s">
        <v>76</v>
      </c>
      <c r="Z2" s="5" t="s">
        <v>77</v>
      </c>
      <c r="AA2" s="5" t="s">
        <v>78</v>
      </c>
      <c r="AB2" s="5" t="s">
        <v>79</v>
      </c>
      <c r="AC2" s="5" t="s">
        <v>80</v>
      </c>
      <c r="AD2" s="5" t="s">
        <v>83</v>
      </c>
      <c r="AE2" s="5" t="s">
        <v>84</v>
      </c>
      <c r="AF2" s="5" t="s">
        <v>413</v>
      </c>
    </row>
    <row r="3" spans="1:32" s="2" customFormat="1">
      <c r="A3" s="23" t="s">
        <v>32</v>
      </c>
      <c r="B3" s="8" t="s">
        <v>264</v>
      </c>
      <c r="C3" s="9">
        <v>1.6283264335924199</v>
      </c>
      <c r="D3" s="9">
        <v>8.4676145866946106E-2</v>
      </c>
      <c r="E3" s="9">
        <v>0.3070037354763</v>
      </c>
      <c r="F3" s="9">
        <v>9.0730039046891392E-3</v>
      </c>
      <c r="G3" s="9">
        <v>0.222053957407782</v>
      </c>
      <c r="H3" s="8"/>
      <c r="I3" s="25">
        <v>3101.23</v>
      </c>
      <c r="J3" s="26">
        <v>1.43557</v>
      </c>
      <c r="K3" s="25">
        <v>2649.8209999999999</v>
      </c>
      <c r="L3" s="26">
        <v>1.9009999999999999E-3</v>
      </c>
      <c r="M3" s="26">
        <v>227.84520000000001</v>
      </c>
      <c r="N3" s="26">
        <v>835.20190000000002</v>
      </c>
      <c r="O3" s="26">
        <v>142.49080000000001</v>
      </c>
      <c r="P3" s="26">
        <v>787.16</v>
      </c>
      <c r="Q3" s="26">
        <v>303.11309999999997</v>
      </c>
      <c r="R3" s="26">
        <v>15.95947</v>
      </c>
      <c r="S3" s="26">
        <v>400.99099999999999</v>
      </c>
      <c r="T3" s="26">
        <v>67.655029999999996</v>
      </c>
      <c r="U3" s="26">
        <v>419.07769999999999</v>
      </c>
      <c r="V3" s="26">
        <v>80.887169999999998</v>
      </c>
      <c r="W3" s="26">
        <v>219.0531</v>
      </c>
      <c r="X3" s="26">
        <v>29.586639999999999</v>
      </c>
      <c r="Y3" s="26">
        <v>197.35749999999999</v>
      </c>
      <c r="Z3" s="26">
        <v>26.19717</v>
      </c>
      <c r="AA3" s="26">
        <v>3.13E-3</v>
      </c>
      <c r="AB3" s="26">
        <v>7.3379999999999999E-3</v>
      </c>
      <c r="AC3" s="26">
        <v>0.28581000000000001</v>
      </c>
      <c r="AD3" s="26">
        <v>14.14805</v>
      </c>
      <c r="AE3" s="26">
        <v>17.384989999999998</v>
      </c>
      <c r="AF3" s="26">
        <v>15.063040000000001</v>
      </c>
    </row>
    <row r="4" spans="1:32" s="2" customFormat="1">
      <c r="A4" s="23" t="s">
        <v>32</v>
      </c>
      <c r="B4" s="8" t="s">
        <v>265</v>
      </c>
      <c r="C4" s="9">
        <v>0.31910206494424298</v>
      </c>
      <c r="D4" s="9">
        <v>2.195774843537E-2</v>
      </c>
      <c r="E4" s="9">
        <v>0.83702104810135303</v>
      </c>
      <c r="F4" s="9">
        <v>2.81854150508235E-2</v>
      </c>
      <c r="G4" s="9">
        <v>0.36158468889561801</v>
      </c>
      <c r="H4" s="8"/>
      <c r="I4" s="25">
        <v>3807.9850000000001</v>
      </c>
      <c r="J4" s="26">
        <v>9.3409630000000003</v>
      </c>
      <c r="K4" s="25">
        <v>1782.0530000000001</v>
      </c>
      <c r="L4" s="26">
        <v>0.146455</v>
      </c>
      <c r="M4" s="26">
        <v>23.285250000000001</v>
      </c>
      <c r="N4" s="26">
        <v>88.857860000000002</v>
      </c>
      <c r="O4" s="26">
        <v>17.992080000000001</v>
      </c>
      <c r="P4" s="26">
        <v>129.0719</v>
      </c>
      <c r="Q4" s="26">
        <v>93.717460000000003</v>
      </c>
      <c r="R4" s="26">
        <v>10.62412</v>
      </c>
      <c r="S4" s="26">
        <v>173.5248</v>
      </c>
      <c r="T4" s="26">
        <v>32.497480000000003</v>
      </c>
      <c r="U4" s="26">
        <v>202.29589999999999</v>
      </c>
      <c r="V4" s="26">
        <v>38.017530000000001</v>
      </c>
      <c r="W4" s="26">
        <v>111.3661</v>
      </c>
      <c r="X4" s="26">
        <v>17.654710000000001</v>
      </c>
      <c r="Y4" s="26">
        <v>136.9982</v>
      </c>
      <c r="Z4" s="26">
        <v>21.304929999999999</v>
      </c>
      <c r="AA4" s="26">
        <v>0.41035100000000002</v>
      </c>
      <c r="AB4" s="26">
        <v>2.8823000000000001E-2</v>
      </c>
      <c r="AC4" s="26">
        <v>1.459527</v>
      </c>
      <c r="AD4" s="26">
        <v>2.2626330000000001</v>
      </c>
      <c r="AE4" s="26">
        <v>1.351726</v>
      </c>
      <c r="AF4" s="26">
        <v>11.77337</v>
      </c>
    </row>
    <row r="5" spans="1:32" s="2" customFormat="1">
      <c r="A5" s="23" t="s">
        <v>32</v>
      </c>
      <c r="B5" s="8" t="s">
        <v>266</v>
      </c>
      <c r="C5" s="9">
        <v>1.54050700571899</v>
      </c>
      <c r="D5" s="9">
        <v>7.9207838239885406E-2</v>
      </c>
      <c r="E5" s="9">
        <v>0.306687169908405</v>
      </c>
      <c r="F5" s="9">
        <v>8.2920713386116906E-3</v>
      </c>
      <c r="G5" s="9">
        <v>0.419162479765121</v>
      </c>
      <c r="H5" s="8"/>
      <c r="I5" s="25">
        <v>2932.3719999999998</v>
      </c>
      <c r="J5" s="26">
        <v>1.0937589999999999</v>
      </c>
      <c r="K5" s="25">
        <v>2370.21</v>
      </c>
      <c r="L5" s="26">
        <v>1.2369E-2</v>
      </c>
      <c r="M5" s="26">
        <v>288.94080000000002</v>
      </c>
      <c r="N5" s="26">
        <v>837.48040000000003</v>
      </c>
      <c r="O5" s="26">
        <v>119.7058</v>
      </c>
      <c r="P5" s="26">
        <v>575.32140000000004</v>
      </c>
      <c r="Q5" s="26">
        <v>219.77440000000001</v>
      </c>
      <c r="R5" s="26">
        <v>19.102509999999999</v>
      </c>
      <c r="S5" s="26">
        <v>323.07479999999998</v>
      </c>
      <c r="T5" s="26">
        <v>57.796939999999999</v>
      </c>
      <c r="U5" s="26">
        <v>384.86279999999999</v>
      </c>
      <c r="V5" s="26">
        <v>79.888530000000003</v>
      </c>
      <c r="W5" s="26">
        <v>220.78579999999999</v>
      </c>
      <c r="X5" s="26">
        <v>29.12144</v>
      </c>
      <c r="Y5" s="26">
        <v>184.00569999999999</v>
      </c>
      <c r="Z5" s="26">
        <v>24.324480000000001</v>
      </c>
      <c r="AA5" s="26">
        <v>2.8829E-2</v>
      </c>
      <c r="AB5" s="26">
        <v>1.6702999999999999E-2</v>
      </c>
      <c r="AC5" s="26">
        <v>0.18621199999999999</v>
      </c>
      <c r="AD5" s="26">
        <v>11.33479</v>
      </c>
      <c r="AE5" s="26">
        <v>20.008510000000001</v>
      </c>
      <c r="AF5" s="26">
        <v>17.576699999999999</v>
      </c>
    </row>
    <row r="6" spans="1:32" s="2" customFormat="1">
      <c r="A6" s="23" t="s">
        <v>32</v>
      </c>
      <c r="B6" s="8" t="s">
        <v>267</v>
      </c>
      <c r="C6" s="9">
        <v>1.25190844106877</v>
      </c>
      <c r="D6" s="9">
        <v>6.82598883765963E-2</v>
      </c>
      <c r="E6" s="9">
        <v>0.431120693501303</v>
      </c>
      <c r="F6" s="9">
        <v>1.58019676218955E-2</v>
      </c>
      <c r="G6" s="9">
        <v>0.50310388678933304</v>
      </c>
      <c r="H6" s="8"/>
      <c r="I6" s="25">
        <v>2870.9050000000002</v>
      </c>
      <c r="J6" s="26">
        <v>0.84869600000000001</v>
      </c>
      <c r="K6" s="25">
        <v>2908.527</v>
      </c>
      <c r="L6" s="26">
        <v>1.4504E-2</v>
      </c>
      <c r="M6" s="26">
        <v>283.34829999999999</v>
      </c>
      <c r="N6" s="26">
        <v>903.64459999999997</v>
      </c>
      <c r="O6" s="26">
        <v>138.60849999999999</v>
      </c>
      <c r="P6" s="26">
        <v>715.80449999999996</v>
      </c>
      <c r="Q6" s="26">
        <v>304.00319999999999</v>
      </c>
      <c r="R6" s="26">
        <v>20.296469999999999</v>
      </c>
      <c r="S6" s="26">
        <v>461.36169999999998</v>
      </c>
      <c r="T6" s="26">
        <v>81.715609999999998</v>
      </c>
      <c r="U6" s="26">
        <v>512.19770000000005</v>
      </c>
      <c r="V6" s="26">
        <v>100.0878</v>
      </c>
      <c r="W6" s="26">
        <v>257.86439999999999</v>
      </c>
      <c r="X6" s="26">
        <v>30.593589999999999</v>
      </c>
      <c r="Y6" s="26">
        <v>181.3793</v>
      </c>
      <c r="Z6" s="26">
        <v>23.591550000000002</v>
      </c>
      <c r="AA6" s="26">
        <v>6.2176000000000002E-2</v>
      </c>
      <c r="AB6" s="26">
        <v>8.5000000000000006E-3</v>
      </c>
      <c r="AC6" s="26">
        <v>7.6057E-2</v>
      </c>
      <c r="AD6" s="26">
        <v>5.2154249999999998</v>
      </c>
      <c r="AE6" s="26">
        <v>7.9198389999999996</v>
      </c>
      <c r="AF6" s="26">
        <v>10.662319999999999</v>
      </c>
    </row>
    <row r="7" spans="1:32" s="2" customFormat="1">
      <c r="A7" s="23" t="s">
        <v>32</v>
      </c>
      <c r="B7" s="8" t="s">
        <v>268</v>
      </c>
      <c r="C7" s="9">
        <v>1.61675543898313</v>
      </c>
      <c r="D7" s="9">
        <v>8.6625499373065698E-2</v>
      </c>
      <c r="E7" s="9">
        <v>0.28409915103720401</v>
      </c>
      <c r="F7" s="9">
        <v>1.09675150373562E-2</v>
      </c>
      <c r="G7" s="9">
        <v>-0.55898142921357996</v>
      </c>
      <c r="H7" s="8"/>
      <c r="I7" s="25">
        <v>3260.259</v>
      </c>
      <c r="J7" s="26">
        <v>0.25085000000000002</v>
      </c>
      <c r="K7" s="25">
        <v>3147.864</v>
      </c>
      <c r="L7" s="26">
        <v>1.542E-2</v>
      </c>
      <c r="M7" s="26">
        <v>365.70330000000001</v>
      </c>
      <c r="N7" s="26">
        <v>1221.9179999999999</v>
      </c>
      <c r="O7" s="26">
        <v>190.13589999999999</v>
      </c>
      <c r="P7" s="26">
        <v>967.71720000000005</v>
      </c>
      <c r="Q7" s="26">
        <v>353.91129999999998</v>
      </c>
      <c r="R7" s="26">
        <v>18.648309999999999</v>
      </c>
      <c r="S7" s="26">
        <v>448.1986</v>
      </c>
      <c r="T7" s="26">
        <v>78.580780000000004</v>
      </c>
      <c r="U7" s="26">
        <v>494.553</v>
      </c>
      <c r="V7" s="26">
        <v>94.782910000000001</v>
      </c>
      <c r="W7" s="26">
        <v>257.05599999999998</v>
      </c>
      <c r="X7" s="26">
        <v>35.222439999999999</v>
      </c>
      <c r="Y7" s="26">
        <v>239.27279999999999</v>
      </c>
      <c r="Z7" s="26">
        <v>31.55538</v>
      </c>
      <c r="AA7" s="26">
        <v>9.4223000000000001E-2</v>
      </c>
      <c r="AB7" s="26">
        <v>1.2673E-2</v>
      </c>
      <c r="AC7" s="26">
        <v>0.23719199999999999</v>
      </c>
      <c r="AD7" s="26">
        <v>17.894359999999999</v>
      </c>
      <c r="AE7" s="26">
        <v>30.334980000000002</v>
      </c>
      <c r="AF7" s="26">
        <v>24.073740000000001</v>
      </c>
    </row>
    <row r="8" spans="1:32" s="2" customFormat="1">
      <c r="A8" s="23" t="s">
        <v>32</v>
      </c>
      <c r="B8" s="8" t="s">
        <v>269</v>
      </c>
      <c r="C8" s="9">
        <v>0.914205604932811</v>
      </c>
      <c r="D8" s="9">
        <v>5.7878390158423297E-2</v>
      </c>
      <c r="E8" s="9">
        <v>0.61282235064464896</v>
      </c>
      <c r="F8" s="9">
        <v>2.54439927843698E-2</v>
      </c>
      <c r="G8" s="9">
        <v>0.49388223337238701</v>
      </c>
      <c r="H8" s="8"/>
      <c r="I8" s="25">
        <v>2422.6</v>
      </c>
      <c r="J8" s="26">
        <v>0.53832100000000005</v>
      </c>
      <c r="K8" s="25">
        <v>1931.2919999999999</v>
      </c>
      <c r="L8" s="26">
        <v>-1.6000000000000001E-4</v>
      </c>
      <c r="M8" s="26">
        <v>279.64960000000002</v>
      </c>
      <c r="N8" s="26">
        <v>880.7577</v>
      </c>
      <c r="O8" s="26">
        <v>133.58580000000001</v>
      </c>
      <c r="P8" s="26">
        <v>666.21969999999999</v>
      </c>
      <c r="Q8" s="26">
        <v>227.53489999999999</v>
      </c>
      <c r="R8" s="26">
        <v>14.438969999999999</v>
      </c>
      <c r="S8" s="26">
        <v>298.00830000000002</v>
      </c>
      <c r="T8" s="26">
        <v>49.493340000000003</v>
      </c>
      <c r="U8" s="26">
        <v>314.66660000000002</v>
      </c>
      <c r="V8" s="26">
        <v>63.708660000000002</v>
      </c>
      <c r="W8" s="26">
        <v>172.88570000000001</v>
      </c>
      <c r="X8" s="26">
        <v>22.395409999999998</v>
      </c>
      <c r="Y8" s="26">
        <v>140.25299999999999</v>
      </c>
      <c r="Z8" s="26">
        <v>18.909749999999999</v>
      </c>
      <c r="AA8" s="26">
        <v>4.2630000000000003E-3</v>
      </c>
      <c r="AB8" s="26">
        <v>8.6320000000000008E-3</v>
      </c>
      <c r="AC8" s="26">
        <v>0.25547500000000001</v>
      </c>
      <c r="AD8" s="26">
        <v>2.7410109999999999</v>
      </c>
      <c r="AE8" s="26">
        <v>3.312208</v>
      </c>
      <c r="AF8" s="26">
        <v>8.1785730000000001</v>
      </c>
    </row>
    <row r="9" spans="1:32" s="2" customFormat="1">
      <c r="A9" s="23" t="s">
        <v>32</v>
      </c>
      <c r="B9" s="8" t="s">
        <v>270</v>
      </c>
      <c r="C9" s="9">
        <v>1.6224762469527201</v>
      </c>
      <c r="D9" s="9">
        <v>8.1400151814260094E-2</v>
      </c>
      <c r="E9" s="9">
        <v>0.30997004912014298</v>
      </c>
      <c r="F9" s="9">
        <v>6.9845426725656003E-3</v>
      </c>
      <c r="G9" s="9">
        <v>0.34662553353829501</v>
      </c>
      <c r="H9" s="8"/>
      <c r="I9" s="25">
        <v>3591.4589999999998</v>
      </c>
      <c r="J9" s="26">
        <v>0.63247200000000003</v>
      </c>
      <c r="K9" s="25">
        <v>4079.826</v>
      </c>
      <c r="L9" s="26">
        <v>1.1638000000000001E-2</v>
      </c>
      <c r="M9" s="26">
        <v>459.55990000000003</v>
      </c>
      <c r="N9" s="26">
        <v>1554.2190000000001</v>
      </c>
      <c r="O9" s="26">
        <v>254.06960000000001</v>
      </c>
      <c r="P9" s="26">
        <v>1336.528</v>
      </c>
      <c r="Q9" s="26">
        <v>579.26509999999996</v>
      </c>
      <c r="R9" s="26">
        <v>17.903569999999998</v>
      </c>
      <c r="S9" s="26">
        <v>710.39279999999997</v>
      </c>
      <c r="T9" s="26">
        <v>121.60420000000001</v>
      </c>
      <c r="U9" s="26">
        <v>692.38310000000001</v>
      </c>
      <c r="V9" s="26">
        <v>118.1974</v>
      </c>
      <c r="W9" s="26">
        <v>292.82139999999998</v>
      </c>
      <c r="X9" s="26">
        <v>39.45326</v>
      </c>
      <c r="Y9" s="26">
        <v>263.49590000000001</v>
      </c>
      <c r="Z9" s="26">
        <v>34.755549999999999</v>
      </c>
      <c r="AA9" s="26">
        <v>6.8082000000000004E-2</v>
      </c>
      <c r="AB9" s="26">
        <v>1.35E-2</v>
      </c>
      <c r="AC9" s="26">
        <v>0.100633</v>
      </c>
      <c r="AD9" s="26">
        <v>18.092189999999999</v>
      </c>
      <c r="AE9" s="26">
        <v>21.577670000000001</v>
      </c>
      <c r="AF9" s="26">
        <v>20.099509999999999</v>
      </c>
    </row>
    <row r="10" spans="1:32" s="2" customFormat="1">
      <c r="A10" s="23" t="s">
        <v>32</v>
      </c>
      <c r="B10" s="8" t="s">
        <v>271</v>
      </c>
      <c r="C10" s="9">
        <v>1.15108731892997</v>
      </c>
      <c r="D10" s="9">
        <v>6.2547234721346698E-2</v>
      </c>
      <c r="E10" s="9">
        <v>0.49442504816586302</v>
      </c>
      <c r="F10" s="9">
        <v>1.5923726025918902E-2</v>
      </c>
      <c r="G10" s="9">
        <v>0.31176686114319202</v>
      </c>
      <c r="H10" s="8"/>
      <c r="I10" s="25">
        <v>2535.7809999999999</v>
      </c>
      <c r="J10" s="26">
        <v>1.0906560000000001</v>
      </c>
      <c r="K10" s="25">
        <v>1734.989</v>
      </c>
      <c r="L10" s="26">
        <v>-2.2000000000000001E-4</v>
      </c>
      <c r="M10" s="26">
        <v>147.2209</v>
      </c>
      <c r="N10" s="26">
        <v>503.33539999999999</v>
      </c>
      <c r="O10" s="26">
        <v>86.64152</v>
      </c>
      <c r="P10" s="26">
        <v>487.8057</v>
      </c>
      <c r="Q10" s="26">
        <v>242.5018</v>
      </c>
      <c r="R10" s="26">
        <v>14.47894</v>
      </c>
      <c r="S10" s="26">
        <v>351.19830000000002</v>
      </c>
      <c r="T10" s="26">
        <v>58.794879999999999</v>
      </c>
      <c r="U10" s="26">
        <v>323.72280000000001</v>
      </c>
      <c r="V10" s="26">
        <v>55.523739999999997</v>
      </c>
      <c r="W10" s="26">
        <v>132.624</v>
      </c>
      <c r="X10" s="26">
        <v>15.99042</v>
      </c>
      <c r="Y10" s="26">
        <v>97.941950000000006</v>
      </c>
      <c r="Z10" s="26">
        <v>13.064959999999999</v>
      </c>
      <c r="AA10" s="26">
        <v>2.6619999999999999E-3</v>
      </c>
      <c r="AB10" s="26">
        <v>8.8269999999999998E-3</v>
      </c>
      <c r="AC10" s="26">
        <v>0.21495800000000001</v>
      </c>
      <c r="AD10" s="26">
        <v>3.3539759999999998</v>
      </c>
      <c r="AE10" s="26">
        <v>5.2775730000000003</v>
      </c>
      <c r="AF10" s="26">
        <v>8.7183390000000003</v>
      </c>
    </row>
    <row r="11" spans="1:32" s="2" customFormat="1">
      <c r="A11" s="23" t="s">
        <v>32</v>
      </c>
      <c r="B11" s="8" t="s">
        <v>272</v>
      </c>
      <c r="C11" s="9">
        <v>1.1335591964309699</v>
      </c>
      <c r="D11" s="9">
        <v>6.2059138493976602E-2</v>
      </c>
      <c r="E11" s="9">
        <v>0.51515996486861604</v>
      </c>
      <c r="F11" s="9">
        <v>1.7181022549349299E-2</v>
      </c>
      <c r="G11" s="9">
        <v>0.492281193063415</v>
      </c>
      <c r="H11" s="8"/>
      <c r="I11" s="25">
        <v>2620.7750000000001</v>
      </c>
      <c r="J11" s="26">
        <v>1.123246</v>
      </c>
      <c r="K11" s="25">
        <v>2108.0250000000001</v>
      </c>
      <c r="L11" s="26">
        <v>-1.5E-5</v>
      </c>
      <c r="M11" s="26">
        <v>236.15729999999999</v>
      </c>
      <c r="N11" s="26">
        <v>759.09259999999995</v>
      </c>
      <c r="O11" s="26">
        <v>120.21550000000001</v>
      </c>
      <c r="P11" s="26">
        <v>635.34199999999998</v>
      </c>
      <c r="Q11" s="26">
        <v>239.61949999999999</v>
      </c>
      <c r="R11" s="26">
        <v>14.561349999999999</v>
      </c>
      <c r="S11" s="26">
        <v>338.58969999999999</v>
      </c>
      <c r="T11" s="26">
        <v>60.097119999999997</v>
      </c>
      <c r="U11" s="26">
        <v>372.89049999999997</v>
      </c>
      <c r="V11" s="26">
        <v>71.719040000000007</v>
      </c>
      <c r="W11" s="26">
        <v>183.1027</v>
      </c>
      <c r="X11" s="26">
        <v>22.573260000000001</v>
      </c>
      <c r="Y11" s="26">
        <v>133.04409999999999</v>
      </c>
      <c r="Z11" s="26">
        <v>16.630379999999999</v>
      </c>
      <c r="AA11" s="26">
        <v>8.0200000000000005E-11</v>
      </c>
      <c r="AB11" s="26">
        <v>9.8949999999999993E-3</v>
      </c>
      <c r="AC11" s="26">
        <v>7.8342999999999996E-2</v>
      </c>
      <c r="AD11" s="26">
        <v>3.2153670000000001</v>
      </c>
      <c r="AE11" s="26">
        <v>4.5293840000000003</v>
      </c>
      <c r="AF11" s="26">
        <v>7.8933759999999999</v>
      </c>
    </row>
    <row r="12" spans="1:32" s="2" customFormat="1">
      <c r="A12" s="23" t="s">
        <v>32</v>
      </c>
      <c r="B12" s="8" t="s">
        <v>273</v>
      </c>
      <c r="C12" s="9">
        <v>1.01932138479942</v>
      </c>
      <c r="D12" s="9">
        <v>5.4495645204180099E-2</v>
      </c>
      <c r="E12" s="9">
        <v>0.57162363082296996</v>
      </c>
      <c r="F12" s="9">
        <v>1.8905938658202299E-2</v>
      </c>
      <c r="G12" s="9">
        <v>0.37365356253877802</v>
      </c>
      <c r="H12" s="8"/>
      <c r="I12" s="25">
        <v>2625.9</v>
      </c>
      <c r="J12" s="26">
        <v>0.65363000000000004</v>
      </c>
      <c r="K12" s="25">
        <v>1949.4090000000001</v>
      </c>
      <c r="L12" s="26">
        <v>7.1500000000000002E-6</v>
      </c>
      <c r="M12" s="26">
        <v>224.98390000000001</v>
      </c>
      <c r="N12" s="26">
        <v>717.52570000000003</v>
      </c>
      <c r="O12" s="26">
        <v>114.91289999999999</v>
      </c>
      <c r="P12" s="26">
        <v>595.60239999999999</v>
      </c>
      <c r="Q12" s="26">
        <v>246.8348</v>
      </c>
      <c r="R12" s="26">
        <v>15.9689</v>
      </c>
      <c r="S12" s="26">
        <v>333.58080000000001</v>
      </c>
      <c r="T12" s="26">
        <v>59.743009999999998</v>
      </c>
      <c r="U12" s="26">
        <v>357.23059999999998</v>
      </c>
      <c r="V12" s="26">
        <v>63.135429999999999</v>
      </c>
      <c r="W12" s="26">
        <v>152.98570000000001</v>
      </c>
      <c r="X12" s="26">
        <v>18.93187</v>
      </c>
      <c r="Y12" s="26">
        <v>119.7439</v>
      </c>
      <c r="Z12" s="26">
        <v>14.78192</v>
      </c>
      <c r="AA12" s="26">
        <v>4.2741000000000001E-2</v>
      </c>
      <c r="AB12" s="26">
        <v>9.2309999999999996E-3</v>
      </c>
      <c r="AC12" s="26">
        <v>9.5270999999999995E-2</v>
      </c>
      <c r="AD12" s="26">
        <v>3.4754849999999999</v>
      </c>
      <c r="AE12" s="26">
        <v>3.477312</v>
      </c>
      <c r="AF12" s="26">
        <v>7.2648960000000002</v>
      </c>
    </row>
    <row r="13" spans="1:32" s="2" customFormat="1">
      <c r="A13" s="23" t="s">
        <v>32</v>
      </c>
      <c r="B13" s="8" t="s">
        <v>274</v>
      </c>
      <c r="C13" s="9">
        <v>1.18634408312007</v>
      </c>
      <c r="D13" s="9">
        <v>6.7893632802541903E-2</v>
      </c>
      <c r="E13" s="9">
        <v>0.46727596402072802</v>
      </c>
      <c r="F13" s="9">
        <v>1.42180084250945E-2</v>
      </c>
      <c r="G13" s="9">
        <v>0.39746330210279301</v>
      </c>
      <c r="H13" s="8"/>
      <c r="I13" s="25">
        <v>2346.029</v>
      </c>
      <c r="J13" s="26">
        <v>0.75081299999999995</v>
      </c>
      <c r="K13" s="25">
        <v>2141.777</v>
      </c>
      <c r="L13" s="26">
        <v>1.2605999999999999E-2</v>
      </c>
      <c r="M13" s="26">
        <v>203.14920000000001</v>
      </c>
      <c r="N13" s="26">
        <v>709.44500000000005</v>
      </c>
      <c r="O13" s="26">
        <v>119.0547</v>
      </c>
      <c r="P13" s="26">
        <v>642.1934</v>
      </c>
      <c r="Q13" s="26">
        <v>300.41469999999998</v>
      </c>
      <c r="R13" s="26">
        <v>11.7257</v>
      </c>
      <c r="S13" s="26">
        <v>363.8039</v>
      </c>
      <c r="T13" s="26">
        <v>62.233640000000001</v>
      </c>
      <c r="U13" s="26">
        <v>337.29390000000001</v>
      </c>
      <c r="V13" s="26">
        <v>53.876849999999997</v>
      </c>
      <c r="W13" s="26">
        <v>132.90710000000001</v>
      </c>
      <c r="X13" s="26">
        <v>18.10108</v>
      </c>
      <c r="Y13" s="26">
        <v>122.7216</v>
      </c>
      <c r="Z13" s="26">
        <v>15.93553</v>
      </c>
      <c r="AA13" s="26">
        <v>5.4999999999999997E-11</v>
      </c>
      <c r="AB13" s="26">
        <v>7.2529999999999999E-3</v>
      </c>
      <c r="AC13" s="26">
        <v>0.14404500000000001</v>
      </c>
      <c r="AD13" s="26">
        <v>3.2053020000000001</v>
      </c>
      <c r="AE13" s="26">
        <v>6.8754330000000001</v>
      </c>
      <c r="AF13" s="26">
        <v>10.40156</v>
      </c>
    </row>
    <row r="14" spans="1:32" s="2" customFormat="1">
      <c r="A14" s="23" t="s">
        <v>32</v>
      </c>
      <c r="B14" s="8" t="s">
        <v>275</v>
      </c>
      <c r="C14" s="9">
        <v>1.47069925002025</v>
      </c>
      <c r="D14" s="9">
        <v>7.7061271099575807E-2</v>
      </c>
      <c r="E14" s="9">
        <v>0.32280777584412201</v>
      </c>
      <c r="F14" s="9">
        <v>1.07833751057876E-2</v>
      </c>
      <c r="G14" s="9">
        <v>-8.16073617309577E-2</v>
      </c>
      <c r="H14" s="8"/>
      <c r="I14" s="25">
        <v>3186.9879999999998</v>
      </c>
      <c r="J14" s="26">
        <v>0.33400299999999999</v>
      </c>
      <c r="K14" s="25">
        <v>3205.7</v>
      </c>
      <c r="L14" s="26">
        <v>1.5689999999999999E-2</v>
      </c>
      <c r="M14" s="26">
        <v>302.74310000000003</v>
      </c>
      <c r="N14" s="26">
        <v>1065.414</v>
      </c>
      <c r="O14" s="26">
        <v>178.75810000000001</v>
      </c>
      <c r="P14" s="26">
        <v>975.05029999999999</v>
      </c>
      <c r="Q14" s="26">
        <v>411.34800000000001</v>
      </c>
      <c r="R14" s="26">
        <v>22.67174</v>
      </c>
      <c r="S14" s="26">
        <v>570.06539999999995</v>
      </c>
      <c r="T14" s="26">
        <v>98.042320000000004</v>
      </c>
      <c r="U14" s="26">
        <v>608.37710000000004</v>
      </c>
      <c r="V14" s="26">
        <v>117.2102</v>
      </c>
      <c r="W14" s="26">
        <v>305.4579</v>
      </c>
      <c r="X14" s="26">
        <v>37.050539999999998</v>
      </c>
      <c r="Y14" s="26">
        <v>218.81800000000001</v>
      </c>
      <c r="Z14" s="26">
        <v>28.697710000000001</v>
      </c>
      <c r="AA14" s="26">
        <v>-2.4E-10</v>
      </c>
      <c r="AB14" s="26">
        <v>1.8844E-2</v>
      </c>
      <c r="AC14" s="26">
        <v>0.105271</v>
      </c>
      <c r="AD14" s="26">
        <v>16.93901</v>
      </c>
      <c r="AE14" s="26">
        <v>18.87894</v>
      </c>
      <c r="AF14" s="26">
        <v>18.715779999999999</v>
      </c>
    </row>
    <row r="15" spans="1:32" s="2" customFormat="1">
      <c r="A15" s="23" t="s">
        <v>32</v>
      </c>
      <c r="B15" s="8" t="s">
        <v>276</v>
      </c>
      <c r="C15" s="9">
        <v>1.1022016117890201</v>
      </c>
      <c r="D15" s="9">
        <v>6.4391213178947596E-2</v>
      </c>
      <c r="E15" s="9">
        <v>0.61872875618331902</v>
      </c>
      <c r="F15" s="9">
        <v>1.8231604558216399E-2</v>
      </c>
      <c r="G15" s="9">
        <v>0.20403807233846</v>
      </c>
      <c r="H15" s="8"/>
      <c r="I15" s="25">
        <v>2716.4180000000001</v>
      </c>
      <c r="J15" s="26">
        <v>1.222513</v>
      </c>
      <c r="K15" s="25">
        <v>1694.41</v>
      </c>
      <c r="L15" s="26">
        <v>1.9591999999999998E-2</v>
      </c>
      <c r="M15" s="26">
        <v>48.574570000000001</v>
      </c>
      <c r="N15" s="26">
        <v>191.15280000000001</v>
      </c>
      <c r="O15" s="26">
        <v>36.452889999999996</v>
      </c>
      <c r="P15" s="26">
        <v>233.9616</v>
      </c>
      <c r="Q15" s="26">
        <v>119.0963</v>
      </c>
      <c r="R15" s="26">
        <v>12.695930000000001</v>
      </c>
      <c r="S15" s="26">
        <v>207.1617</v>
      </c>
      <c r="T15" s="26">
        <v>36.556780000000003</v>
      </c>
      <c r="U15" s="26">
        <v>236.94329999999999</v>
      </c>
      <c r="V15" s="26">
        <v>48.557650000000002</v>
      </c>
      <c r="W15" s="26">
        <v>141.85140000000001</v>
      </c>
      <c r="X15" s="26">
        <v>20.176359999999999</v>
      </c>
      <c r="Y15" s="26">
        <v>146.49459999999999</v>
      </c>
      <c r="Z15" s="26">
        <v>23.13561</v>
      </c>
      <c r="AA15" s="26">
        <v>3.803E-3</v>
      </c>
      <c r="AB15" s="26">
        <v>9.2259999999999998E-3</v>
      </c>
      <c r="AC15" s="26">
        <v>1.1361300000000001</v>
      </c>
      <c r="AD15" s="26">
        <v>5.762607</v>
      </c>
      <c r="AE15" s="26">
        <v>7.0220219999999998</v>
      </c>
      <c r="AF15" s="26">
        <v>14.531890000000001</v>
      </c>
    </row>
    <row r="16" spans="1:32" s="2" customFormat="1">
      <c r="A16" s="23" t="s">
        <v>32</v>
      </c>
      <c r="B16" s="8" t="s">
        <v>277</v>
      </c>
      <c r="C16" s="9">
        <v>0.91093088224056495</v>
      </c>
      <c r="D16" s="9">
        <v>5.3182252298525398E-2</v>
      </c>
      <c r="E16" s="9">
        <v>0.65048991486811303</v>
      </c>
      <c r="F16" s="9">
        <v>1.88174341644806E-2</v>
      </c>
      <c r="G16" s="9">
        <v>0.41989846312116902</v>
      </c>
      <c r="H16" s="8"/>
      <c r="I16" s="25">
        <v>3399.1170000000002</v>
      </c>
      <c r="J16" s="26">
        <v>7.0576309999999998</v>
      </c>
      <c r="K16" s="25">
        <v>2764.8919999999998</v>
      </c>
      <c r="L16" s="26">
        <v>1.5011E-2</v>
      </c>
      <c r="M16" s="26">
        <v>84.224810000000005</v>
      </c>
      <c r="N16" s="26">
        <v>349.09500000000003</v>
      </c>
      <c r="O16" s="26">
        <v>69.829539999999994</v>
      </c>
      <c r="P16" s="26">
        <v>444.55560000000003</v>
      </c>
      <c r="Q16" s="26">
        <v>252.82429999999999</v>
      </c>
      <c r="R16" s="26">
        <v>15.22766</v>
      </c>
      <c r="S16" s="26">
        <v>387.5179</v>
      </c>
      <c r="T16" s="26">
        <v>71.475449999999995</v>
      </c>
      <c r="U16" s="26">
        <v>414.03129999999999</v>
      </c>
      <c r="V16" s="26">
        <v>73.033910000000006</v>
      </c>
      <c r="W16" s="26">
        <v>200.57069999999999</v>
      </c>
      <c r="X16" s="26">
        <v>30.817540000000001</v>
      </c>
      <c r="Y16" s="26">
        <v>244.0282</v>
      </c>
      <c r="Z16" s="26">
        <v>36.915430000000001</v>
      </c>
      <c r="AA16" s="26">
        <v>2.9288999999999999E-2</v>
      </c>
      <c r="AB16" s="26">
        <v>1.2536E-2</v>
      </c>
      <c r="AC16" s="26">
        <v>0.41978799999999999</v>
      </c>
      <c r="AD16" s="26">
        <v>9.4627280000000003</v>
      </c>
      <c r="AE16" s="26">
        <v>4.3253529999999998</v>
      </c>
      <c r="AF16" s="26">
        <v>11.71889</v>
      </c>
    </row>
    <row r="17" spans="1:32" s="2" customFormat="1">
      <c r="A17" s="23" t="s">
        <v>32</v>
      </c>
      <c r="B17" s="8" t="s">
        <v>278</v>
      </c>
      <c r="C17" s="9">
        <v>1.0261843500427801</v>
      </c>
      <c r="D17" s="9">
        <v>5.5155314618857497E-2</v>
      </c>
      <c r="E17" s="9">
        <v>0.514788875652469</v>
      </c>
      <c r="F17" s="9">
        <v>1.7412042345279599E-2</v>
      </c>
      <c r="G17" s="9">
        <v>0.42029788766902698</v>
      </c>
      <c r="H17" s="8"/>
      <c r="I17" s="25">
        <v>2086.7399999999998</v>
      </c>
      <c r="J17" s="26">
        <v>0.79533799999999999</v>
      </c>
      <c r="K17" s="25">
        <v>2266.4720000000002</v>
      </c>
      <c r="L17" s="26">
        <v>-9.8999999999999994E-5</v>
      </c>
      <c r="M17" s="26">
        <v>264.7011</v>
      </c>
      <c r="N17" s="26">
        <v>857.74969999999996</v>
      </c>
      <c r="O17" s="26">
        <v>139.95740000000001</v>
      </c>
      <c r="P17" s="26">
        <v>751.76880000000006</v>
      </c>
      <c r="Q17" s="26">
        <v>305.01979999999998</v>
      </c>
      <c r="R17" s="26">
        <v>12.90855</v>
      </c>
      <c r="S17" s="26">
        <v>410.33269999999999</v>
      </c>
      <c r="T17" s="26">
        <v>67.070070000000001</v>
      </c>
      <c r="U17" s="26">
        <v>391.78460000000001</v>
      </c>
      <c r="V17" s="26">
        <v>70.568349999999995</v>
      </c>
      <c r="W17" s="26">
        <v>177.62710000000001</v>
      </c>
      <c r="X17" s="26">
        <v>22.29515</v>
      </c>
      <c r="Y17" s="26">
        <v>142.4272</v>
      </c>
      <c r="Z17" s="26">
        <v>18.628550000000001</v>
      </c>
      <c r="AA17" s="26">
        <v>3.1759000000000003E-2</v>
      </c>
      <c r="AB17" s="26">
        <v>5.7879999999999997E-3</v>
      </c>
      <c r="AC17" s="26">
        <v>0.11448899999999999</v>
      </c>
      <c r="AD17" s="26">
        <v>2.159796</v>
      </c>
      <c r="AE17" s="26">
        <v>5.221158</v>
      </c>
      <c r="AF17" s="26">
        <v>9.5035799999999995</v>
      </c>
    </row>
    <row r="18" spans="1:32" s="2" customFormat="1">
      <c r="A18" s="23" t="s">
        <v>32</v>
      </c>
      <c r="B18" s="8" t="s">
        <v>279</v>
      </c>
      <c r="C18" s="9">
        <v>1.2287929717644499</v>
      </c>
      <c r="D18" s="9">
        <v>9.1527544713728107E-2</v>
      </c>
      <c r="E18" s="9">
        <v>0.45736323995049699</v>
      </c>
      <c r="F18" s="9">
        <v>2.1340866863093801E-2</v>
      </c>
      <c r="G18" s="9">
        <v>-0.26792121199886698</v>
      </c>
      <c r="H18" s="8"/>
      <c r="I18" s="25">
        <v>2446.6</v>
      </c>
      <c r="J18" s="26">
        <v>1.3527610000000001</v>
      </c>
      <c r="K18" s="25">
        <v>2319.3919999999998</v>
      </c>
      <c r="L18" s="26">
        <v>1.2985999999999999E-2</v>
      </c>
      <c r="M18" s="26">
        <v>219.80090000000001</v>
      </c>
      <c r="N18" s="26">
        <v>764.42190000000005</v>
      </c>
      <c r="O18" s="26">
        <v>129.47020000000001</v>
      </c>
      <c r="P18" s="26">
        <v>736.41639999999995</v>
      </c>
      <c r="Q18" s="26">
        <v>301.02890000000002</v>
      </c>
      <c r="R18" s="26">
        <v>15.8344</v>
      </c>
      <c r="S18" s="26">
        <v>435.36439999999999</v>
      </c>
      <c r="T18" s="26">
        <v>69.840810000000005</v>
      </c>
      <c r="U18" s="26">
        <v>421.3768</v>
      </c>
      <c r="V18" s="26">
        <v>81.266829999999999</v>
      </c>
      <c r="W18" s="26">
        <v>208.41589999999999</v>
      </c>
      <c r="X18" s="26">
        <v>25.22993</v>
      </c>
      <c r="Y18" s="26">
        <v>155.09350000000001</v>
      </c>
      <c r="Z18" s="26">
        <v>19.950379999999999</v>
      </c>
      <c r="AA18" s="26">
        <v>2.8233000000000001E-2</v>
      </c>
      <c r="AB18" s="26">
        <v>7.5989999999999999E-3</v>
      </c>
      <c r="AC18" s="26">
        <v>0.27402199999999999</v>
      </c>
      <c r="AD18" s="26">
        <v>5.5849159999999998</v>
      </c>
      <c r="AE18" s="26">
        <v>7.3066990000000001</v>
      </c>
      <c r="AF18" s="26">
        <v>10.49145</v>
      </c>
    </row>
    <row r="19" spans="1:32" s="2" customFormat="1">
      <c r="A19" s="23" t="s">
        <v>32</v>
      </c>
      <c r="B19" s="8" t="s">
        <v>280</v>
      </c>
      <c r="C19" s="9">
        <v>1.38636390639963</v>
      </c>
      <c r="D19" s="9">
        <v>7.1418728409968907E-2</v>
      </c>
      <c r="E19" s="9">
        <v>0.37528595869997999</v>
      </c>
      <c r="F19" s="9">
        <v>1.3015622423357799E-2</v>
      </c>
      <c r="G19" s="9">
        <v>-1.00761950683143E-2</v>
      </c>
      <c r="H19" s="8"/>
      <c r="I19" s="25">
        <v>2772.2719999999999</v>
      </c>
      <c r="J19" s="26">
        <v>1.5491600000000001</v>
      </c>
      <c r="K19" s="25">
        <v>2576.2249999999999</v>
      </c>
      <c r="L19" s="26">
        <v>6.8240000000000002E-3</v>
      </c>
      <c r="M19" s="26">
        <v>259.08929999999998</v>
      </c>
      <c r="N19" s="26">
        <v>871.38229999999999</v>
      </c>
      <c r="O19" s="26">
        <v>137.45869999999999</v>
      </c>
      <c r="P19" s="26">
        <v>711.87819999999999</v>
      </c>
      <c r="Q19" s="26">
        <v>269.75790000000001</v>
      </c>
      <c r="R19" s="26">
        <v>16.18525</v>
      </c>
      <c r="S19" s="26">
        <v>378.7688</v>
      </c>
      <c r="T19" s="26">
        <v>66.814430000000002</v>
      </c>
      <c r="U19" s="26">
        <v>433.30970000000002</v>
      </c>
      <c r="V19" s="26">
        <v>87.418890000000005</v>
      </c>
      <c r="W19" s="26">
        <v>235.92060000000001</v>
      </c>
      <c r="X19" s="26">
        <v>30.113620000000001</v>
      </c>
      <c r="Y19" s="26">
        <v>185.1087</v>
      </c>
      <c r="Z19" s="26">
        <v>24.780850000000001</v>
      </c>
      <c r="AA19" s="26">
        <v>1.2898E-2</v>
      </c>
      <c r="AB19" s="26">
        <v>1.0411999999999999E-2</v>
      </c>
      <c r="AC19" s="26">
        <v>0.27101900000000001</v>
      </c>
      <c r="AD19" s="26">
        <v>8.6999010000000006</v>
      </c>
      <c r="AE19" s="26">
        <v>12.66342</v>
      </c>
      <c r="AF19" s="26">
        <v>14.046670000000001</v>
      </c>
    </row>
    <row r="20" spans="1:32" s="2" customFormat="1">
      <c r="A20" s="23" t="s">
        <v>32</v>
      </c>
      <c r="B20" s="8" t="s">
        <v>281</v>
      </c>
      <c r="C20" s="9">
        <v>1.05584071770971</v>
      </c>
      <c r="D20" s="9">
        <v>6.0658657501434503E-2</v>
      </c>
      <c r="E20" s="9">
        <v>0.51962112553107398</v>
      </c>
      <c r="F20" s="9">
        <v>1.8579080616267899E-2</v>
      </c>
      <c r="G20" s="9">
        <v>0.198438238626306</v>
      </c>
      <c r="H20" s="8"/>
      <c r="I20" s="25">
        <v>2430.1129999999998</v>
      </c>
      <c r="J20" s="26">
        <v>0.419514</v>
      </c>
      <c r="K20" s="25">
        <v>2212.6529999999998</v>
      </c>
      <c r="L20" s="26">
        <v>-2.9E-4</v>
      </c>
      <c r="M20" s="26">
        <v>223.0258</v>
      </c>
      <c r="N20" s="26">
        <v>718.97550000000001</v>
      </c>
      <c r="O20" s="26">
        <v>114.7615</v>
      </c>
      <c r="P20" s="26">
        <v>604.18550000000005</v>
      </c>
      <c r="Q20" s="26">
        <v>278.2056</v>
      </c>
      <c r="R20" s="26">
        <v>15.23161</v>
      </c>
      <c r="S20" s="26">
        <v>378.92630000000003</v>
      </c>
      <c r="T20" s="26">
        <v>66.911860000000004</v>
      </c>
      <c r="U20" s="26">
        <v>390.33870000000002</v>
      </c>
      <c r="V20" s="26">
        <v>65.088800000000006</v>
      </c>
      <c r="W20" s="26">
        <v>160.74010000000001</v>
      </c>
      <c r="X20" s="26">
        <v>22.34205</v>
      </c>
      <c r="Y20" s="26">
        <v>153.6806</v>
      </c>
      <c r="Z20" s="26">
        <v>20.77205</v>
      </c>
      <c r="AA20" s="26">
        <v>6.1850000000000004E-3</v>
      </c>
      <c r="AB20" s="26">
        <v>1.1440000000000001E-2</v>
      </c>
      <c r="AC20" s="26">
        <v>5.4836000000000003E-2</v>
      </c>
      <c r="AD20" s="26">
        <v>5.1152150000000001</v>
      </c>
      <c r="AE20" s="26">
        <v>4.5534720000000002</v>
      </c>
      <c r="AF20" s="26">
        <v>8.5919270000000001</v>
      </c>
    </row>
    <row r="21" spans="1:32" s="2" customFormat="1">
      <c r="A21" s="23" t="s">
        <v>32</v>
      </c>
      <c r="B21" s="8" t="s">
        <v>282</v>
      </c>
      <c r="C21" s="9">
        <v>1.6323113984981299</v>
      </c>
      <c r="D21" s="9">
        <v>8.3455222042280397E-2</v>
      </c>
      <c r="E21" s="9">
        <v>0.26837365812383202</v>
      </c>
      <c r="F21" s="9">
        <v>6.38260257921345E-3</v>
      </c>
      <c r="G21" s="9">
        <v>0.10543831469604099</v>
      </c>
      <c r="H21" s="8"/>
      <c r="I21" s="25">
        <v>2726.9549999999999</v>
      </c>
      <c r="J21" s="26">
        <v>0.70269700000000002</v>
      </c>
      <c r="K21" s="25">
        <v>2416.4259999999999</v>
      </c>
      <c r="L21" s="26">
        <v>1.2400000000000001E-4</v>
      </c>
      <c r="M21" s="26">
        <v>265.01780000000002</v>
      </c>
      <c r="N21" s="26">
        <v>934.48109999999997</v>
      </c>
      <c r="O21" s="26">
        <v>146.59119999999999</v>
      </c>
      <c r="P21" s="26">
        <v>762.24450000000002</v>
      </c>
      <c r="Q21" s="26">
        <v>282.03320000000002</v>
      </c>
      <c r="R21" s="26">
        <v>15.534990000000001</v>
      </c>
      <c r="S21" s="26">
        <v>365.10149999999999</v>
      </c>
      <c r="T21" s="26">
        <v>62.663620000000002</v>
      </c>
      <c r="U21" s="26">
        <v>392.7466</v>
      </c>
      <c r="V21" s="26">
        <v>76.964849999999998</v>
      </c>
      <c r="W21" s="26">
        <v>205.44220000000001</v>
      </c>
      <c r="X21" s="26">
        <v>27.21021</v>
      </c>
      <c r="Y21" s="26">
        <v>178.33519999999999</v>
      </c>
      <c r="Z21" s="26">
        <v>23.425170000000001</v>
      </c>
      <c r="AA21" s="26">
        <v>-2.1999999999999999E-10</v>
      </c>
      <c r="AB21" s="26">
        <v>1.0207000000000001E-2</v>
      </c>
      <c r="AC21" s="26">
        <v>0.215362</v>
      </c>
      <c r="AD21" s="26">
        <v>12.808260000000001</v>
      </c>
      <c r="AE21" s="26">
        <v>29.439879999999999</v>
      </c>
      <c r="AF21" s="26">
        <v>23.10416</v>
      </c>
    </row>
    <row r="22" spans="1:32" s="2" customFormat="1">
      <c r="A22" s="23" t="s">
        <v>32</v>
      </c>
      <c r="B22" s="8" t="s">
        <v>283</v>
      </c>
      <c r="C22" s="9">
        <v>1.2279708917079899</v>
      </c>
      <c r="D22" s="9">
        <v>7.1756125842939694E-2</v>
      </c>
      <c r="E22" s="9">
        <v>0.36841523234175</v>
      </c>
      <c r="F22" s="9">
        <v>1.4596203657952301E-2</v>
      </c>
      <c r="G22" s="9">
        <v>-0.19708498455272599</v>
      </c>
      <c r="H22" s="8"/>
      <c r="I22" s="25">
        <v>2261.3330000000001</v>
      </c>
      <c r="J22" s="26">
        <v>0.93565699999999996</v>
      </c>
      <c r="K22" s="25">
        <v>1617.53</v>
      </c>
      <c r="L22" s="26">
        <v>-3.5E-4</v>
      </c>
      <c r="M22" s="26">
        <v>58.062559999999998</v>
      </c>
      <c r="N22" s="26">
        <v>212.29990000000001</v>
      </c>
      <c r="O22" s="26">
        <v>40.438229999999997</v>
      </c>
      <c r="P22" s="26">
        <v>269.52499999999998</v>
      </c>
      <c r="Q22" s="26">
        <v>134.16200000000001</v>
      </c>
      <c r="R22" s="26">
        <v>14.317310000000001</v>
      </c>
      <c r="S22" s="26">
        <v>227.5095</v>
      </c>
      <c r="T22" s="26">
        <v>39.676630000000003</v>
      </c>
      <c r="U22" s="26">
        <v>264.82139999999998</v>
      </c>
      <c r="V22" s="26">
        <v>55.058990000000001</v>
      </c>
      <c r="W22" s="26">
        <v>149.73009999999999</v>
      </c>
      <c r="X22" s="26">
        <v>19.46949</v>
      </c>
      <c r="Y22" s="26">
        <v>120.19370000000001</v>
      </c>
      <c r="Z22" s="26">
        <v>15.809010000000001</v>
      </c>
      <c r="AA22" s="26">
        <v>3.1248000000000001E-2</v>
      </c>
      <c r="AB22" s="26">
        <v>8.8979999999999997E-3</v>
      </c>
      <c r="AC22" s="26">
        <v>0.10056900000000001</v>
      </c>
      <c r="AD22" s="26">
        <v>5.704866</v>
      </c>
      <c r="AE22" s="26">
        <v>13.12867</v>
      </c>
      <c r="AF22" s="26">
        <v>15.32699</v>
      </c>
    </row>
    <row r="23" spans="1:32" s="1" customFormat="1">
      <c r="A23" s="23"/>
      <c r="B23" s="23"/>
      <c r="C23" s="24"/>
      <c r="D23" s="24"/>
      <c r="E23" s="24"/>
      <c r="F23" s="24"/>
      <c r="G23" s="24"/>
      <c r="H23" s="23"/>
      <c r="I23" s="27"/>
      <c r="J23" s="28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s="2" customFormat="1">
      <c r="A24" s="23" t="s">
        <v>38</v>
      </c>
      <c r="B24" s="8" t="s">
        <v>323</v>
      </c>
      <c r="C24" s="9">
        <v>1.3029312354682701</v>
      </c>
      <c r="D24" s="9">
        <v>5.2456634375773602E-2</v>
      </c>
      <c r="E24" s="9">
        <v>0.49878379525377797</v>
      </c>
      <c r="F24" s="9">
        <v>1.6472733783933501E-2</v>
      </c>
      <c r="G24" s="9">
        <v>0.49867047264870201</v>
      </c>
      <c r="H24" s="8"/>
      <c r="I24" s="25">
        <v>2688.5050000000001</v>
      </c>
      <c r="J24" s="26">
        <v>0.72245199999999998</v>
      </c>
      <c r="K24" s="25">
        <v>832.29300000000001</v>
      </c>
      <c r="L24" s="26">
        <v>3.1387999999999999E-2</v>
      </c>
      <c r="M24" s="26">
        <v>18.420300000000001</v>
      </c>
      <c r="N24" s="26">
        <v>52.414360000000002</v>
      </c>
      <c r="O24" s="26">
        <v>8.6372780000000002</v>
      </c>
      <c r="P24" s="26">
        <v>56.007649999999998</v>
      </c>
      <c r="Q24" s="26">
        <v>31.503489999999999</v>
      </c>
      <c r="R24" s="26">
        <v>20.348220000000001</v>
      </c>
      <c r="S24" s="26">
        <v>78.129519999999999</v>
      </c>
      <c r="T24" s="26">
        <v>14.832330000000001</v>
      </c>
      <c r="U24" s="26">
        <v>109.6888</v>
      </c>
      <c r="V24" s="26">
        <v>26.932839999999999</v>
      </c>
      <c r="W24" s="26">
        <v>80.033019999999993</v>
      </c>
      <c r="X24" s="26">
        <v>9.9087019999999999</v>
      </c>
      <c r="Y24" s="26">
        <v>59.596730000000001</v>
      </c>
      <c r="Z24" s="26">
        <v>9.0185320000000004</v>
      </c>
      <c r="AA24" s="26">
        <v>-8.0000000000000004E-22</v>
      </c>
      <c r="AB24" s="26">
        <v>3.9589999999999998E-3</v>
      </c>
      <c r="AC24" s="26">
        <v>1.9351210000000001</v>
      </c>
      <c r="AD24" s="26">
        <v>0.95652999999999999</v>
      </c>
      <c r="AE24" s="26">
        <v>2.9710779999999999</v>
      </c>
      <c r="AF24" s="26">
        <v>4.2733499999999998</v>
      </c>
    </row>
    <row r="25" spans="1:32" s="2" customFormat="1">
      <c r="A25" s="23" t="s">
        <v>38</v>
      </c>
      <c r="B25" s="8" t="s">
        <v>324</v>
      </c>
      <c r="C25" s="9">
        <v>1.46934656568911</v>
      </c>
      <c r="D25" s="9">
        <v>5.5220174203059698E-2</v>
      </c>
      <c r="E25" s="9">
        <v>0.35531837919303599</v>
      </c>
      <c r="F25" s="9">
        <v>1.07864086284769E-2</v>
      </c>
      <c r="G25" s="9">
        <v>0.36806805559370998</v>
      </c>
      <c r="H25" s="8"/>
      <c r="I25" s="25">
        <v>2759.17</v>
      </c>
      <c r="J25" s="26">
        <v>0.50517500000000004</v>
      </c>
      <c r="K25" s="25">
        <v>1073.2270000000001</v>
      </c>
      <c r="L25" s="26">
        <v>1.2163999999999999E-2</v>
      </c>
      <c r="M25" s="26">
        <v>21.59834</v>
      </c>
      <c r="N25" s="26">
        <v>74.824389999999994</v>
      </c>
      <c r="O25" s="26">
        <v>15.229189999999999</v>
      </c>
      <c r="P25" s="26">
        <v>112.4581</v>
      </c>
      <c r="Q25" s="26">
        <v>62.040100000000002</v>
      </c>
      <c r="R25" s="26">
        <v>15.27904</v>
      </c>
      <c r="S25" s="26">
        <v>129.0675</v>
      </c>
      <c r="T25" s="26">
        <v>23.846080000000001</v>
      </c>
      <c r="U25" s="26">
        <v>164.46029999999999</v>
      </c>
      <c r="V25" s="26">
        <v>36.56438</v>
      </c>
      <c r="W25" s="26">
        <v>102.31870000000001</v>
      </c>
      <c r="X25" s="26">
        <v>12.61614</v>
      </c>
      <c r="Y25" s="26">
        <v>73.55162</v>
      </c>
      <c r="Z25" s="26">
        <v>10.09506</v>
      </c>
      <c r="AA25" s="26">
        <v>2.4500000000000001E-21</v>
      </c>
      <c r="AB25" s="26">
        <v>4.653E-3</v>
      </c>
      <c r="AC25" s="26">
        <v>0.101026</v>
      </c>
      <c r="AD25" s="26">
        <v>0.68190600000000001</v>
      </c>
      <c r="AE25" s="26">
        <v>4.7884289999999998</v>
      </c>
      <c r="AF25" s="26">
        <v>4.6298599999999999</v>
      </c>
    </row>
    <row r="26" spans="1:32" s="2" customFormat="1">
      <c r="A26" s="23" t="s">
        <v>38</v>
      </c>
      <c r="B26" s="8" t="s">
        <v>325</v>
      </c>
      <c r="C26" s="9">
        <v>1.9486289489003199</v>
      </c>
      <c r="D26" s="9">
        <v>7.0469319275289696E-2</v>
      </c>
      <c r="E26" s="9">
        <v>0.27146984022244502</v>
      </c>
      <c r="F26" s="9">
        <v>6.7329419024354902E-3</v>
      </c>
      <c r="G26" s="9">
        <v>0.453392260779376</v>
      </c>
      <c r="H26" s="8"/>
      <c r="I26" s="25">
        <v>3050.68</v>
      </c>
      <c r="J26" s="26">
        <v>0.98419299999999998</v>
      </c>
      <c r="K26" s="25">
        <v>1039.7339999999999</v>
      </c>
      <c r="L26" s="26">
        <v>3.3113999999999998E-2</v>
      </c>
      <c r="M26" s="26">
        <v>52.996540000000003</v>
      </c>
      <c r="N26" s="26">
        <v>128.18960000000001</v>
      </c>
      <c r="O26" s="26">
        <v>18.88316</v>
      </c>
      <c r="P26" s="26">
        <v>116.8245</v>
      </c>
      <c r="Q26" s="26">
        <v>52.354559999999999</v>
      </c>
      <c r="R26" s="26">
        <v>39.865670000000001</v>
      </c>
      <c r="S26" s="26">
        <v>111.8994</v>
      </c>
      <c r="T26" s="26">
        <v>19.805409999999998</v>
      </c>
      <c r="U26" s="26">
        <v>143.14699999999999</v>
      </c>
      <c r="V26" s="26">
        <v>35.15775</v>
      </c>
      <c r="W26" s="26">
        <v>102.8633</v>
      </c>
      <c r="X26" s="26">
        <v>12.8871</v>
      </c>
      <c r="Y26" s="26">
        <v>80.353740000000002</v>
      </c>
      <c r="Z26" s="26">
        <v>12.19998</v>
      </c>
      <c r="AA26" s="26">
        <v>-9.5999999999999997E-21</v>
      </c>
      <c r="AB26" s="26">
        <v>6.0099999999999997E-3</v>
      </c>
      <c r="AC26" s="26">
        <v>2.9042249999999998</v>
      </c>
      <c r="AD26" s="26">
        <v>2.9588960000000002</v>
      </c>
      <c r="AE26" s="26">
        <v>13.738670000000001</v>
      </c>
      <c r="AF26" s="26">
        <v>8.9099020000000007</v>
      </c>
    </row>
    <row r="27" spans="1:32" s="2" customFormat="1">
      <c r="A27" s="23" t="s">
        <v>38</v>
      </c>
      <c r="B27" s="8" t="s">
        <v>326</v>
      </c>
      <c r="C27" s="9">
        <v>1.4447446665497701</v>
      </c>
      <c r="D27" s="9">
        <v>5.18739697049432E-2</v>
      </c>
      <c r="E27" s="9">
        <v>0.456261372331703</v>
      </c>
      <c r="F27" s="9">
        <v>1.1319962724447E-2</v>
      </c>
      <c r="G27" s="9">
        <v>0.42580958431135701</v>
      </c>
      <c r="H27" s="8"/>
      <c r="I27" s="25">
        <v>2418.5639999999999</v>
      </c>
      <c r="J27" s="26">
        <v>0.56745500000000004</v>
      </c>
      <c r="K27" s="25">
        <v>293.43419999999998</v>
      </c>
      <c r="L27" s="26">
        <v>1.8203E-2</v>
      </c>
      <c r="M27" s="26">
        <v>15.04724</v>
      </c>
      <c r="N27" s="26">
        <v>40.963619999999999</v>
      </c>
      <c r="O27" s="26">
        <v>7.1296299999999997</v>
      </c>
      <c r="P27" s="26">
        <v>51.39385</v>
      </c>
      <c r="Q27" s="26">
        <v>22.730969999999999</v>
      </c>
      <c r="R27" s="26">
        <v>14.71871</v>
      </c>
      <c r="S27" s="26">
        <v>42.898650000000004</v>
      </c>
      <c r="T27" s="26">
        <v>6.3023670000000003</v>
      </c>
      <c r="U27" s="26">
        <v>40.963439999999999</v>
      </c>
      <c r="V27" s="26">
        <v>9.6116659999999996</v>
      </c>
      <c r="W27" s="26">
        <v>27.737909999999999</v>
      </c>
      <c r="X27" s="26">
        <v>3.4367869999999998</v>
      </c>
      <c r="Y27" s="26">
        <v>21.623819999999998</v>
      </c>
      <c r="Z27" s="26">
        <v>3.5813600000000001</v>
      </c>
      <c r="AA27" s="26">
        <v>3.2599999999999999E-20</v>
      </c>
      <c r="AB27" s="26">
        <v>1.86E-6</v>
      </c>
      <c r="AC27" s="26">
        <v>4.3069649999999999</v>
      </c>
      <c r="AD27" s="26">
        <v>0.205204</v>
      </c>
      <c r="AE27" s="26">
        <v>4.1352770000000003</v>
      </c>
      <c r="AF27" s="26">
        <v>4.9351729999999998</v>
      </c>
    </row>
    <row r="28" spans="1:32" s="2" customFormat="1">
      <c r="A28" s="23" t="s">
        <v>38</v>
      </c>
      <c r="B28" s="8" t="s">
        <v>339</v>
      </c>
      <c r="C28" s="9">
        <v>1.4762907797285301</v>
      </c>
      <c r="D28" s="9">
        <v>6.2523154805395498E-2</v>
      </c>
      <c r="E28" s="9">
        <v>0.42500251457111998</v>
      </c>
      <c r="F28" s="9">
        <v>1.27143156052583E-2</v>
      </c>
      <c r="G28" s="9">
        <v>0.41373569329705301</v>
      </c>
      <c r="H28" s="8"/>
      <c r="I28" s="25">
        <v>2605.4360000000001</v>
      </c>
      <c r="J28" s="26">
        <v>0.65320400000000001</v>
      </c>
      <c r="K28" s="25">
        <v>952.99090000000001</v>
      </c>
      <c r="L28" s="26">
        <v>4.3678000000000002E-2</v>
      </c>
      <c r="M28" s="26">
        <v>16.93008</v>
      </c>
      <c r="N28" s="26">
        <v>55.378239999999998</v>
      </c>
      <c r="O28" s="26">
        <v>10.31692</v>
      </c>
      <c r="P28" s="26">
        <v>73.333510000000004</v>
      </c>
      <c r="Q28" s="26">
        <v>41.153950000000002</v>
      </c>
      <c r="R28" s="26">
        <v>14.65849</v>
      </c>
      <c r="S28" s="26">
        <v>95.034090000000006</v>
      </c>
      <c r="T28" s="26">
        <v>18.175930000000001</v>
      </c>
      <c r="U28" s="26">
        <v>134.7475</v>
      </c>
      <c r="V28" s="26">
        <v>32.431069999999998</v>
      </c>
      <c r="W28" s="26">
        <v>92.799239999999998</v>
      </c>
      <c r="X28" s="26">
        <v>11.20928</v>
      </c>
      <c r="Y28" s="26">
        <v>63.626840000000001</v>
      </c>
      <c r="Z28" s="26">
        <v>8.6533189999999998</v>
      </c>
      <c r="AA28" s="26">
        <v>-1.4E-19</v>
      </c>
      <c r="AB28" s="26">
        <v>-2.4999999999999999E-8</v>
      </c>
      <c r="AC28" s="26">
        <v>0.53278599999999998</v>
      </c>
      <c r="AD28" s="26">
        <v>1.2279519999999999</v>
      </c>
      <c r="AE28" s="26">
        <v>3.458761</v>
      </c>
      <c r="AF28" s="26">
        <v>3.8746779999999998</v>
      </c>
    </row>
    <row r="29" spans="1:32" s="2" customFormat="1">
      <c r="A29" s="23" t="s">
        <v>38</v>
      </c>
      <c r="B29" s="8" t="s">
        <v>327</v>
      </c>
      <c r="C29" s="9">
        <v>1.69026156651951</v>
      </c>
      <c r="D29" s="9">
        <v>6.0302049416668099E-2</v>
      </c>
      <c r="E29" s="9">
        <v>0.32511956866264402</v>
      </c>
      <c r="F29" s="9">
        <v>7.5205915780949999E-3</v>
      </c>
      <c r="G29" s="9">
        <v>0.386451058831142</v>
      </c>
      <c r="H29" s="8"/>
      <c r="I29" s="25">
        <v>3357.85</v>
      </c>
      <c r="J29" s="26">
        <v>1.0761430000000001</v>
      </c>
      <c r="K29" s="25">
        <v>1224.1089999999999</v>
      </c>
      <c r="L29" s="26">
        <v>3.7957999999999999E-2</v>
      </c>
      <c r="M29" s="26">
        <v>15.715780000000001</v>
      </c>
      <c r="N29" s="26">
        <v>57.678550000000001</v>
      </c>
      <c r="O29" s="26">
        <v>12.031169999999999</v>
      </c>
      <c r="P29" s="26">
        <v>92.096890000000002</v>
      </c>
      <c r="Q29" s="26">
        <v>59.28951</v>
      </c>
      <c r="R29" s="26">
        <v>21.205269999999999</v>
      </c>
      <c r="S29" s="26">
        <v>140.47640000000001</v>
      </c>
      <c r="T29" s="26">
        <v>26.575690000000002</v>
      </c>
      <c r="U29" s="26">
        <v>189.96690000000001</v>
      </c>
      <c r="V29" s="26">
        <v>42.690019999999997</v>
      </c>
      <c r="W29" s="26">
        <v>119.4064</v>
      </c>
      <c r="X29" s="26">
        <v>14.8803</v>
      </c>
      <c r="Y29" s="26">
        <v>87.941559999999996</v>
      </c>
      <c r="Z29" s="26">
        <v>12.395440000000001</v>
      </c>
      <c r="AA29" s="26">
        <v>4.7400000000000004E-19</v>
      </c>
      <c r="AB29" s="26">
        <v>8.5179999999999995E-3</v>
      </c>
      <c r="AC29" s="26">
        <v>1.086133</v>
      </c>
      <c r="AD29" s="26">
        <v>3.123621</v>
      </c>
      <c r="AE29" s="26">
        <v>7.5322550000000001</v>
      </c>
      <c r="AF29" s="26">
        <v>6.316376</v>
      </c>
    </row>
    <row r="30" spans="1:32" s="2" customFormat="1">
      <c r="A30" s="23" t="s">
        <v>38</v>
      </c>
      <c r="B30" s="8" t="s">
        <v>328</v>
      </c>
      <c r="C30" s="9">
        <v>1.6409866866844101</v>
      </c>
      <c r="D30" s="9">
        <v>6.7433331840348804E-2</v>
      </c>
      <c r="E30" s="9">
        <v>0.37139544805803498</v>
      </c>
      <c r="F30" s="9">
        <v>1.6234955271827899E-2</v>
      </c>
      <c r="G30" s="9">
        <v>0.37644464977544601</v>
      </c>
      <c r="H30" s="8"/>
      <c r="I30" s="25">
        <v>2530.67</v>
      </c>
      <c r="J30" s="26">
        <v>1.039541</v>
      </c>
      <c r="K30" s="25">
        <v>419.46690000000001</v>
      </c>
      <c r="L30" s="26">
        <v>1.6919E-2</v>
      </c>
      <c r="M30" s="26">
        <v>24.223369999999999</v>
      </c>
      <c r="N30" s="26">
        <v>63.418950000000002</v>
      </c>
      <c r="O30" s="26">
        <v>10.30884</v>
      </c>
      <c r="P30" s="26">
        <v>68.612809999999996</v>
      </c>
      <c r="Q30" s="26">
        <v>29.838419999999999</v>
      </c>
      <c r="R30" s="26">
        <v>25.122959999999999</v>
      </c>
      <c r="S30" s="26">
        <v>56.261699999999998</v>
      </c>
      <c r="T30" s="26">
        <v>8.6408500000000004</v>
      </c>
      <c r="U30" s="26">
        <v>57.425400000000003</v>
      </c>
      <c r="V30" s="26">
        <v>13.339919999999999</v>
      </c>
      <c r="W30" s="26">
        <v>39.774940000000001</v>
      </c>
      <c r="X30" s="26">
        <v>5.120908</v>
      </c>
      <c r="Y30" s="26">
        <v>33.252450000000003</v>
      </c>
      <c r="Z30" s="26">
        <v>5.4973169999999998</v>
      </c>
      <c r="AA30" s="26">
        <v>-2.8000000000000001E-18</v>
      </c>
      <c r="AB30" s="26">
        <v>9.2499999999999995E-6</v>
      </c>
      <c r="AC30" s="26">
        <v>5.110493</v>
      </c>
      <c r="AD30" s="26">
        <v>0.43984800000000002</v>
      </c>
      <c r="AE30" s="26">
        <v>6.9903060000000004</v>
      </c>
      <c r="AF30" s="26">
        <v>6.2699910000000001</v>
      </c>
    </row>
    <row r="31" spans="1:32" s="2" customFormat="1">
      <c r="A31" s="23" t="s">
        <v>38</v>
      </c>
      <c r="B31" s="8" t="s">
        <v>329</v>
      </c>
      <c r="C31" s="9">
        <v>1.0921435113906901</v>
      </c>
      <c r="D31" s="9">
        <v>4.5982015065818199E-2</v>
      </c>
      <c r="E31" s="9">
        <v>0.57748686242967995</v>
      </c>
      <c r="F31" s="9">
        <v>1.9767739497080099E-2</v>
      </c>
      <c r="G31" s="9">
        <v>0.62934247265266297</v>
      </c>
      <c r="H31" s="8"/>
      <c r="I31" s="25">
        <v>2402.9079999999999</v>
      </c>
      <c r="J31" s="26">
        <v>1.5654980000000001</v>
      </c>
      <c r="K31" s="25">
        <v>448.86040000000003</v>
      </c>
      <c r="L31" s="26">
        <v>1.5834999999999998E-2</v>
      </c>
      <c r="M31" s="26">
        <v>16.922039999999999</v>
      </c>
      <c r="N31" s="26">
        <v>45.122750000000003</v>
      </c>
      <c r="O31" s="26">
        <v>7.3177979999999998</v>
      </c>
      <c r="P31" s="26">
        <v>47.322069999999997</v>
      </c>
      <c r="Q31" s="26">
        <v>21.526910000000001</v>
      </c>
      <c r="R31" s="26">
        <v>22.223990000000001</v>
      </c>
      <c r="S31" s="26">
        <v>46.630240000000001</v>
      </c>
      <c r="T31" s="26">
        <v>7.9283450000000002</v>
      </c>
      <c r="U31" s="26">
        <v>57.285980000000002</v>
      </c>
      <c r="V31" s="26">
        <v>14.13452</v>
      </c>
      <c r="W31" s="26">
        <v>43.054549999999999</v>
      </c>
      <c r="X31" s="26">
        <v>5.585636</v>
      </c>
      <c r="Y31" s="26">
        <v>34.989060000000002</v>
      </c>
      <c r="Z31" s="26">
        <v>5.8075729999999997</v>
      </c>
      <c r="AA31" s="26">
        <v>8.9200000000000003E-18</v>
      </c>
      <c r="AB31" s="26">
        <v>2.6800000000000001E-4</v>
      </c>
      <c r="AC31" s="26">
        <v>2.002132</v>
      </c>
      <c r="AD31" s="26">
        <v>0.147429</v>
      </c>
      <c r="AE31" s="26">
        <v>2.2698879999999999</v>
      </c>
      <c r="AF31" s="26">
        <v>4.2313210000000003</v>
      </c>
    </row>
    <row r="32" spans="1:32" s="2" customFormat="1">
      <c r="A32" s="23" t="s">
        <v>38</v>
      </c>
      <c r="B32" s="8" t="s">
        <v>330</v>
      </c>
      <c r="C32" s="9">
        <v>0.65113190992707004</v>
      </c>
      <c r="D32" s="9">
        <v>3.18485656556294E-2</v>
      </c>
      <c r="E32" s="9">
        <v>0.71138144489742206</v>
      </c>
      <c r="F32" s="9">
        <v>3.0529242964819001E-2</v>
      </c>
      <c r="G32" s="9">
        <v>0.51279435508464899</v>
      </c>
      <c r="H32" s="8"/>
      <c r="I32" s="25">
        <v>2456.2979999999998</v>
      </c>
      <c r="J32" s="26">
        <v>1.1227210000000001</v>
      </c>
      <c r="K32" s="25">
        <v>696.26080000000002</v>
      </c>
      <c r="L32" s="26">
        <v>1.8270000000000002E-2</v>
      </c>
      <c r="M32" s="26">
        <v>4.5683720000000001</v>
      </c>
      <c r="N32" s="26">
        <v>14.672129999999999</v>
      </c>
      <c r="O32" s="26">
        <v>2.8427199999999999</v>
      </c>
      <c r="P32" s="26">
        <v>20.617999999999999</v>
      </c>
      <c r="Q32" s="26">
        <v>15.9503</v>
      </c>
      <c r="R32" s="26">
        <v>7.1329529999999997</v>
      </c>
      <c r="S32" s="26">
        <v>53.316310000000001</v>
      </c>
      <c r="T32" s="26">
        <v>12.478389999999999</v>
      </c>
      <c r="U32" s="26">
        <v>94.534739999999999</v>
      </c>
      <c r="V32" s="26">
        <v>22.260960000000001</v>
      </c>
      <c r="W32" s="26">
        <v>65.806489999999997</v>
      </c>
      <c r="X32" s="26">
        <v>8.6342449999999999</v>
      </c>
      <c r="Y32" s="26">
        <v>54.848149999999997</v>
      </c>
      <c r="Z32" s="26">
        <v>7.6646270000000003</v>
      </c>
      <c r="AA32" s="26">
        <v>-4.4E-16</v>
      </c>
      <c r="AB32" s="26">
        <v>1.088E-3</v>
      </c>
      <c r="AC32" s="26">
        <v>2.0759530000000002</v>
      </c>
      <c r="AD32" s="26">
        <v>0.236736</v>
      </c>
      <c r="AE32" s="26">
        <v>1.032332</v>
      </c>
      <c r="AF32" s="26">
        <v>3.880576</v>
      </c>
    </row>
    <row r="33" spans="1:32" s="2" customFormat="1">
      <c r="A33" s="23" t="s">
        <v>38</v>
      </c>
      <c r="B33" s="8" t="s">
        <v>331</v>
      </c>
      <c r="C33" s="9">
        <v>1.2287187324445401</v>
      </c>
      <c r="D33" s="9">
        <v>5.2121206831223503E-2</v>
      </c>
      <c r="E33" s="9">
        <v>0.50793205668111896</v>
      </c>
      <c r="F33" s="9">
        <v>1.7059499285418601E-2</v>
      </c>
      <c r="G33" s="9">
        <v>0.45775333350797098</v>
      </c>
      <c r="H33" s="8"/>
      <c r="I33" s="25">
        <v>2503.982</v>
      </c>
      <c r="J33" s="26">
        <v>0.47488399999999997</v>
      </c>
      <c r="K33" s="25">
        <v>612.99390000000005</v>
      </c>
      <c r="L33" s="26">
        <v>1.8283000000000001E-2</v>
      </c>
      <c r="M33" s="26">
        <v>26.414719999999999</v>
      </c>
      <c r="N33" s="26">
        <v>72.126909999999995</v>
      </c>
      <c r="O33" s="26">
        <v>11.69801</v>
      </c>
      <c r="P33" s="26">
        <v>76.060119999999998</v>
      </c>
      <c r="Q33" s="26">
        <v>35.698929999999997</v>
      </c>
      <c r="R33" s="26">
        <v>32.001730000000002</v>
      </c>
      <c r="S33" s="26">
        <v>73.356930000000006</v>
      </c>
      <c r="T33" s="26">
        <v>12.147320000000001</v>
      </c>
      <c r="U33" s="26">
        <v>84.593919999999997</v>
      </c>
      <c r="V33" s="26">
        <v>20.316559999999999</v>
      </c>
      <c r="W33" s="26">
        <v>59.246630000000003</v>
      </c>
      <c r="X33" s="26">
        <v>7.8294389999999998</v>
      </c>
      <c r="Y33" s="26">
        <v>48.572409999999998</v>
      </c>
      <c r="Z33" s="26">
        <v>7.8615849999999998</v>
      </c>
      <c r="AA33" s="26">
        <v>1.6099999999999999E-15</v>
      </c>
      <c r="AB33" s="26">
        <v>5.8799999999999996E-6</v>
      </c>
      <c r="AC33" s="26">
        <v>1.865704</v>
      </c>
      <c r="AD33" s="26">
        <v>0.176512</v>
      </c>
      <c r="AE33" s="26">
        <v>3.0935160000000002</v>
      </c>
      <c r="AF33" s="26">
        <v>4.5535990000000002</v>
      </c>
    </row>
    <row r="34" spans="1:32" s="2" customFormat="1">
      <c r="A34" s="23" t="s">
        <v>38</v>
      </c>
      <c r="B34" s="8" t="s">
        <v>332</v>
      </c>
      <c r="C34" s="9">
        <v>1.4825314066555599</v>
      </c>
      <c r="D34" s="9">
        <v>5.4728312352796599E-2</v>
      </c>
      <c r="E34" s="9">
        <v>0.366660848260773</v>
      </c>
      <c r="F34" s="9">
        <v>1.0843105480454401E-2</v>
      </c>
      <c r="G34" s="9">
        <v>0.50263606471202305</v>
      </c>
      <c r="H34" s="8"/>
      <c r="I34" s="25">
        <v>2483.2339999999999</v>
      </c>
      <c r="J34" s="26">
        <v>1.5648820000000001</v>
      </c>
      <c r="K34" s="25">
        <v>904.63630000000001</v>
      </c>
      <c r="L34" s="26">
        <v>3.5070000000000001E-3</v>
      </c>
      <c r="M34" s="26">
        <v>20.895289999999999</v>
      </c>
      <c r="N34" s="26">
        <v>65.668989999999994</v>
      </c>
      <c r="O34" s="26">
        <v>13.00352</v>
      </c>
      <c r="P34" s="26">
        <v>100.9145</v>
      </c>
      <c r="Q34" s="26">
        <v>56.449649999999998</v>
      </c>
      <c r="R34" s="26">
        <v>25.272169999999999</v>
      </c>
      <c r="S34" s="26">
        <v>109.3823</v>
      </c>
      <c r="T34" s="26">
        <v>18.745480000000001</v>
      </c>
      <c r="U34" s="26">
        <v>132.0299</v>
      </c>
      <c r="V34" s="26">
        <v>30.800270000000001</v>
      </c>
      <c r="W34" s="26">
        <v>89.396929999999998</v>
      </c>
      <c r="X34" s="26">
        <v>11.440939999999999</v>
      </c>
      <c r="Y34" s="26">
        <v>70.969840000000005</v>
      </c>
      <c r="Z34" s="26">
        <v>10.26979</v>
      </c>
      <c r="AA34" s="26">
        <v>-5.7000000000000003E-15</v>
      </c>
      <c r="AB34" s="26">
        <v>3.9290000000000002E-3</v>
      </c>
      <c r="AC34" s="26">
        <v>0.33648299999999998</v>
      </c>
      <c r="AD34" s="26">
        <v>0.151365</v>
      </c>
      <c r="AE34" s="26">
        <v>4.9881099999999998</v>
      </c>
      <c r="AF34" s="26">
        <v>4.8249550000000001</v>
      </c>
    </row>
    <row r="35" spans="1:32" s="2" customFormat="1">
      <c r="A35" s="23" t="s">
        <v>38</v>
      </c>
      <c r="B35" s="8" t="s">
        <v>333</v>
      </c>
      <c r="C35" s="9">
        <v>1.7748892499629301</v>
      </c>
      <c r="D35" s="9">
        <v>5.8174869422702002E-2</v>
      </c>
      <c r="E35" s="9">
        <v>0.23532810976892701</v>
      </c>
      <c r="F35" s="9">
        <v>5.0025668318697102E-3</v>
      </c>
      <c r="G35" s="9">
        <v>0.391382524245946</v>
      </c>
      <c r="H35" s="8"/>
      <c r="I35" s="25">
        <v>2756.5329999999999</v>
      </c>
      <c r="J35" s="26">
        <v>0.81022799999999995</v>
      </c>
      <c r="K35" s="25">
        <v>1070.3510000000001</v>
      </c>
      <c r="L35" s="26">
        <v>5.1250000000000002E-3</v>
      </c>
      <c r="M35" s="26">
        <v>49.466819999999998</v>
      </c>
      <c r="N35" s="26">
        <v>164.2123</v>
      </c>
      <c r="O35" s="26">
        <v>30.571300000000001</v>
      </c>
      <c r="P35" s="26">
        <v>217.3493</v>
      </c>
      <c r="Q35" s="26">
        <v>93.746750000000006</v>
      </c>
      <c r="R35" s="26">
        <v>31.158460000000002</v>
      </c>
      <c r="S35" s="26">
        <v>163.49299999999999</v>
      </c>
      <c r="T35" s="26">
        <v>25.884119999999999</v>
      </c>
      <c r="U35" s="26">
        <v>173.64760000000001</v>
      </c>
      <c r="V35" s="26">
        <v>38.772460000000002</v>
      </c>
      <c r="W35" s="26">
        <v>105.6803</v>
      </c>
      <c r="X35" s="26">
        <v>12.774900000000001</v>
      </c>
      <c r="Y35" s="26">
        <v>75.962350000000001</v>
      </c>
      <c r="Z35" s="26">
        <v>10.8567</v>
      </c>
      <c r="AA35" s="26">
        <v>2.11E-14</v>
      </c>
      <c r="AB35" s="26">
        <v>-5.9000000000000003E-6</v>
      </c>
      <c r="AC35" s="26">
        <v>0.25161099999999997</v>
      </c>
      <c r="AD35" s="26">
        <v>3.2472110000000001</v>
      </c>
      <c r="AE35" s="26">
        <v>16.22071</v>
      </c>
      <c r="AF35" s="26">
        <v>10.067360000000001</v>
      </c>
    </row>
    <row r="36" spans="1:32" s="2" customFormat="1">
      <c r="A36" s="23" t="s">
        <v>38</v>
      </c>
      <c r="B36" s="8" t="s">
        <v>340</v>
      </c>
      <c r="C36" s="9">
        <v>1.52581450650777</v>
      </c>
      <c r="D36" s="9">
        <v>5.1295782074933398E-2</v>
      </c>
      <c r="E36" s="9">
        <v>0.26108388657743198</v>
      </c>
      <c r="F36" s="9">
        <v>5.2835349254453396E-3</v>
      </c>
      <c r="G36" s="9">
        <v>0.50702483908338203</v>
      </c>
      <c r="H36" s="8"/>
      <c r="I36" s="25">
        <v>2364.203</v>
      </c>
      <c r="J36" s="26">
        <v>1.2745340000000001</v>
      </c>
      <c r="K36" s="25">
        <v>1027.2760000000001</v>
      </c>
      <c r="L36" s="26">
        <v>3.728E-3</v>
      </c>
      <c r="M36" s="26">
        <v>65.258089999999996</v>
      </c>
      <c r="N36" s="26">
        <v>197.97380000000001</v>
      </c>
      <c r="O36" s="26">
        <v>34.527509999999999</v>
      </c>
      <c r="P36" s="26">
        <v>220.1557</v>
      </c>
      <c r="Q36" s="26">
        <v>91.575040000000001</v>
      </c>
      <c r="R36" s="26">
        <v>21.89686</v>
      </c>
      <c r="S36" s="26">
        <v>156.64080000000001</v>
      </c>
      <c r="T36" s="26">
        <v>25.572990000000001</v>
      </c>
      <c r="U36" s="26">
        <v>169.4058</v>
      </c>
      <c r="V36" s="26">
        <v>36.7911</v>
      </c>
      <c r="W36" s="26">
        <v>100.7227</v>
      </c>
      <c r="X36" s="26">
        <v>12.14195</v>
      </c>
      <c r="Y36" s="26">
        <v>72.742379999999997</v>
      </c>
      <c r="Z36" s="26">
        <v>9.9751809999999992</v>
      </c>
      <c r="AA36" s="26">
        <v>-6.8999999999999996E-14</v>
      </c>
      <c r="AB36" s="26">
        <v>5.3670000000000002E-3</v>
      </c>
      <c r="AC36" s="26">
        <v>0.162164</v>
      </c>
      <c r="AD36" s="26">
        <v>2.243668</v>
      </c>
      <c r="AE36" s="26">
        <v>12.69863</v>
      </c>
      <c r="AF36" s="26">
        <v>9.1936370000000007</v>
      </c>
    </row>
    <row r="37" spans="1:32" s="2" customFormat="1">
      <c r="A37" s="23" t="s">
        <v>38</v>
      </c>
      <c r="B37" s="8" t="s">
        <v>334</v>
      </c>
      <c r="C37" s="9">
        <v>1.3828710365301899</v>
      </c>
      <c r="D37" s="9">
        <v>5.3590008297279203E-2</v>
      </c>
      <c r="E37" s="9">
        <v>0.431382549834259</v>
      </c>
      <c r="F37" s="9">
        <v>1.2518924545541E-2</v>
      </c>
      <c r="G37" s="9">
        <v>0.51365501344479103</v>
      </c>
      <c r="H37" s="8"/>
      <c r="I37" s="25">
        <v>2479.8200000000002</v>
      </c>
      <c r="J37" s="26">
        <v>0.45105000000000001</v>
      </c>
      <c r="K37" s="25">
        <v>629.17560000000003</v>
      </c>
      <c r="L37" s="26">
        <v>1.3788999999999999E-2</v>
      </c>
      <c r="M37" s="26">
        <v>26.212910000000001</v>
      </c>
      <c r="N37" s="26">
        <v>69.429069999999996</v>
      </c>
      <c r="O37" s="26">
        <v>11.430949999999999</v>
      </c>
      <c r="P37" s="26">
        <v>79.984570000000005</v>
      </c>
      <c r="Q37" s="26">
        <v>41.647959999999998</v>
      </c>
      <c r="R37" s="26">
        <v>27.538150000000002</v>
      </c>
      <c r="S37" s="26">
        <v>83.745109999999997</v>
      </c>
      <c r="T37" s="26">
        <v>13.793200000000001</v>
      </c>
      <c r="U37" s="26">
        <v>94.278779999999998</v>
      </c>
      <c r="V37" s="26">
        <v>21.625</v>
      </c>
      <c r="W37" s="26">
        <v>63.168570000000003</v>
      </c>
      <c r="X37" s="26">
        <v>7.795674</v>
      </c>
      <c r="Y37" s="26">
        <v>47.60324</v>
      </c>
      <c r="Z37" s="26">
        <v>7.2204920000000001</v>
      </c>
      <c r="AA37" s="26">
        <v>2.6E-13</v>
      </c>
      <c r="AB37" s="26">
        <v>4.8799999999999999E-4</v>
      </c>
      <c r="AC37" s="26">
        <v>1.860822</v>
      </c>
      <c r="AD37" s="26">
        <v>8.2241999999999996E-2</v>
      </c>
      <c r="AE37" s="26">
        <v>3.7901210000000001</v>
      </c>
      <c r="AF37" s="26">
        <v>4.3858969999999999</v>
      </c>
    </row>
    <row r="38" spans="1:32" s="2" customFormat="1">
      <c r="A38" s="23" t="s">
        <v>38</v>
      </c>
      <c r="B38" s="8" t="s">
        <v>335</v>
      </c>
      <c r="C38" s="9">
        <v>1.27449112462329</v>
      </c>
      <c r="D38" s="9">
        <v>5.4362007050815897E-2</v>
      </c>
      <c r="E38" s="9">
        <v>0.44910206010048198</v>
      </c>
      <c r="F38" s="9">
        <v>1.4217828955094E-2</v>
      </c>
      <c r="G38" s="9">
        <v>0.38341141008192497</v>
      </c>
      <c r="H38" s="8"/>
      <c r="I38" s="25">
        <v>2285.9070000000002</v>
      </c>
      <c r="J38" s="26">
        <v>0.237097</v>
      </c>
      <c r="K38" s="25">
        <v>922.33979999999997</v>
      </c>
      <c r="L38" s="26">
        <v>-3.1800000000000001E-3</v>
      </c>
      <c r="M38" s="26">
        <v>25.069579999999998</v>
      </c>
      <c r="N38" s="26">
        <v>77.018609999999995</v>
      </c>
      <c r="O38" s="26">
        <v>13.033010000000001</v>
      </c>
      <c r="P38" s="26">
        <v>88.509010000000004</v>
      </c>
      <c r="Q38" s="26">
        <v>40.813560000000003</v>
      </c>
      <c r="R38" s="26">
        <v>15.866770000000001</v>
      </c>
      <c r="S38" s="26">
        <v>86.201580000000007</v>
      </c>
      <c r="T38" s="26">
        <v>16.244240000000001</v>
      </c>
      <c r="U38" s="26">
        <v>124.1253</v>
      </c>
      <c r="V38" s="26">
        <v>31.108540000000001</v>
      </c>
      <c r="W38" s="26">
        <v>94.167490000000001</v>
      </c>
      <c r="X38" s="26">
        <v>11.88002</v>
      </c>
      <c r="Y38" s="26">
        <v>69.03434</v>
      </c>
      <c r="Z38" s="26">
        <v>9.2513570000000005</v>
      </c>
      <c r="AA38" s="26">
        <v>-9.6999999999999991E-13</v>
      </c>
      <c r="AB38" s="26">
        <v>4.9959999999999996E-3</v>
      </c>
      <c r="AC38" s="26">
        <v>9.1394000000000003E-2</v>
      </c>
      <c r="AD38" s="26">
        <v>0.98989099999999997</v>
      </c>
      <c r="AE38" s="26">
        <v>2.8859530000000002</v>
      </c>
      <c r="AF38" s="26">
        <v>3.771414</v>
      </c>
    </row>
    <row r="39" spans="1:32" s="2" customFormat="1">
      <c r="A39" s="23" t="s">
        <v>38</v>
      </c>
      <c r="B39" s="8" t="s">
        <v>341</v>
      </c>
      <c r="C39" s="9">
        <v>0.97237440478876003</v>
      </c>
      <c r="D39" s="9">
        <v>3.8923406923403403E-2</v>
      </c>
      <c r="E39" s="9">
        <v>0.62689366023935</v>
      </c>
      <c r="F39" s="9">
        <v>1.7467674648976299E-2</v>
      </c>
      <c r="G39" s="9">
        <v>0.49250150138256898</v>
      </c>
      <c r="H39" s="8"/>
      <c r="I39" s="25">
        <v>2253.645</v>
      </c>
      <c r="J39" s="26">
        <v>0.31408199999999997</v>
      </c>
      <c r="K39" s="25">
        <v>410.95639999999997</v>
      </c>
      <c r="L39" s="26">
        <v>1.9144999999999999E-2</v>
      </c>
      <c r="M39" s="26">
        <v>14.985950000000001</v>
      </c>
      <c r="N39" s="26">
        <v>38.234119999999997</v>
      </c>
      <c r="O39" s="26">
        <v>6.330298</v>
      </c>
      <c r="P39" s="26">
        <v>46.53669</v>
      </c>
      <c r="Q39" s="26">
        <v>24.665569999999999</v>
      </c>
      <c r="R39" s="26">
        <v>18.152239999999999</v>
      </c>
      <c r="S39" s="26">
        <v>55.031500000000001</v>
      </c>
      <c r="T39" s="26">
        <v>8.9203320000000001</v>
      </c>
      <c r="U39" s="26">
        <v>60.518549999999998</v>
      </c>
      <c r="V39" s="26">
        <v>14.068809999999999</v>
      </c>
      <c r="W39" s="26">
        <v>40.696399999999997</v>
      </c>
      <c r="X39" s="26">
        <v>5.147608</v>
      </c>
      <c r="Y39" s="26">
        <v>32.608330000000002</v>
      </c>
      <c r="Z39" s="26">
        <v>5.1583459999999999</v>
      </c>
      <c r="AA39" s="26">
        <v>4.0700000000000002E-12</v>
      </c>
      <c r="AB39" s="26">
        <v>-4.6000000000000001E-4</v>
      </c>
      <c r="AC39" s="26">
        <v>2.4900600000000002</v>
      </c>
      <c r="AD39" s="26">
        <v>7.4108999999999994E-2</v>
      </c>
      <c r="AE39" s="26">
        <v>2.148088</v>
      </c>
      <c r="AF39" s="26">
        <v>4.6907110000000003</v>
      </c>
    </row>
    <row r="40" spans="1:32" s="2" customFormat="1">
      <c r="A40" s="23" t="s">
        <v>38</v>
      </c>
      <c r="B40" s="8" t="s">
        <v>336</v>
      </c>
      <c r="C40" s="9">
        <v>1.3597109569796599</v>
      </c>
      <c r="D40" s="9">
        <v>4.8946753704829399E-2</v>
      </c>
      <c r="E40" s="9">
        <v>0.39648437331833097</v>
      </c>
      <c r="F40" s="9">
        <v>1.1781821905339799E-2</v>
      </c>
      <c r="G40" s="9">
        <v>0.31766535012814301</v>
      </c>
      <c r="H40" s="8"/>
      <c r="I40" s="25">
        <v>2362.7460000000001</v>
      </c>
      <c r="J40" s="26">
        <v>1.393362</v>
      </c>
      <c r="K40" s="25">
        <v>890.2192</v>
      </c>
      <c r="L40" s="26">
        <v>2.5745000000000001E-2</v>
      </c>
      <c r="M40" s="26">
        <v>17.4026</v>
      </c>
      <c r="N40" s="26">
        <v>56.869149999999998</v>
      </c>
      <c r="O40" s="26">
        <v>10.65681</v>
      </c>
      <c r="P40" s="26">
        <v>76.858770000000007</v>
      </c>
      <c r="Q40" s="26">
        <v>42.440249999999999</v>
      </c>
      <c r="R40" s="26">
        <v>16.91826</v>
      </c>
      <c r="S40" s="26">
        <v>98.758870000000002</v>
      </c>
      <c r="T40" s="26">
        <v>18.736219999999999</v>
      </c>
      <c r="U40" s="26">
        <v>135.8313</v>
      </c>
      <c r="V40" s="26">
        <v>31.7516</v>
      </c>
      <c r="W40" s="26">
        <v>88.379189999999994</v>
      </c>
      <c r="X40" s="26">
        <v>10.42131</v>
      </c>
      <c r="Y40" s="26">
        <v>56.897939999999998</v>
      </c>
      <c r="Z40" s="26">
        <v>8.1860269999999993</v>
      </c>
      <c r="AA40" s="26">
        <v>-2.5000000000000002E-10</v>
      </c>
      <c r="AB40" s="26">
        <v>3.2450000000000001E-3</v>
      </c>
      <c r="AC40" s="26">
        <v>1.979228</v>
      </c>
      <c r="AD40" s="26">
        <v>1.1864129999999999</v>
      </c>
      <c r="AE40" s="26">
        <v>4.1375890000000002</v>
      </c>
      <c r="AF40" s="26">
        <v>4.7188929999999996</v>
      </c>
    </row>
    <row r="41" spans="1:32" s="2" customFormat="1">
      <c r="A41" s="23" t="s">
        <v>38</v>
      </c>
      <c r="B41" s="8" t="s">
        <v>337</v>
      </c>
      <c r="C41" s="9">
        <v>1.7650849553937</v>
      </c>
      <c r="D41" s="9">
        <v>6.5061232528218396E-2</v>
      </c>
      <c r="E41" s="9">
        <v>0.27016825983139198</v>
      </c>
      <c r="F41" s="9">
        <v>8.34666210890532E-3</v>
      </c>
      <c r="G41" s="9">
        <v>0.50443668100260997</v>
      </c>
      <c r="H41" s="8"/>
      <c r="I41" s="25">
        <v>2495.6149999999998</v>
      </c>
      <c r="J41" s="26">
        <v>0.87860000000000005</v>
      </c>
      <c r="K41" s="25">
        <v>895.1671</v>
      </c>
      <c r="L41" s="26">
        <v>-2.4000000000000001E-5</v>
      </c>
      <c r="M41" s="26">
        <v>28.279969999999999</v>
      </c>
      <c r="N41" s="26">
        <v>100.0427</v>
      </c>
      <c r="O41" s="26">
        <v>17.913989999999998</v>
      </c>
      <c r="P41" s="26">
        <v>111.039</v>
      </c>
      <c r="Q41" s="26">
        <v>48.052070000000001</v>
      </c>
      <c r="R41" s="26">
        <v>29.98631</v>
      </c>
      <c r="S41" s="26">
        <v>94.876410000000007</v>
      </c>
      <c r="T41" s="26">
        <v>18.302230000000002</v>
      </c>
      <c r="U41" s="26">
        <v>134.27440000000001</v>
      </c>
      <c r="V41" s="26">
        <v>31.31108</v>
      </c>
      <c r="W41" s="26">
        <v>94.136349999999993</v>
      </c>
      <c r="X41" s="26">
        <v>12.399050000000001</v>
      </c>
      <c r="Y41" s="26">
        <v>78.018219999999999</v>
      </c>
      <c r="Z41" s="26">
        <v>11.665570000000001</v>
      </c>
      <c r="AA41" s="26">
        <v>-3.9E-10</v>
      </c>
      <c r="AB41" s="26">
        <v>3.3670000000000002E-3</v>
      </c>
      <c r="AC41" s="26">
        <v>0.575909</v>
      </c>
      <c r="AD41" s="26">
        <v>2.1864240000000001</v>
      </c>
      <c r="AE41" s="26">
        <v>11.72672</v>
      </c>
      <c r="AF41" s="26">
        <v>7.9832729999999996</v>
      </c>
    </row>
    <row r="42" spans="1:32" s="2" customFormat="1">
      <c r="A42" s="23" t="s">
        <v>38</v>
      </c>
      <c r="B42" s="8" t="s">
        <v>338</v>
      </c>
      <c r="C42" s="9">
        <v>1.79315568294526</v>
      </c>
      <c r="D42" s="9">
        <v>6.6620315951319495E-2</v>
      </c>
      <c r="E42" s="9">
        <v>0.289136875688286</v>
      </c>
      <c r="F42" s="9">
        <v>7.7217410532591704E-3</v>
      </c>
      <c r="G42" s="9">
        <v>0.51461441954246301</v>
      </c>
      <c r="H42" s="8"/>
      <c r="I42" s="25">
        <v>2638.9279999999999</v>
      </c>
      <c r="J42" s="26">
        <v>0.67453600000000002</v>
      </c>
      <c r="K42" s="25">
        <v>721.0575</v>
      </c>
      <c r="L42" s="26">
        <v>3.7142000000000001E-2</v>
      </c>
      <c r="M42" s="26">
        <v>27.483799999999999</v>
      </c>
      <c r="N42" s="26">
        <v>93.835350000000005</v>
      </c>
      <c r="O42" s="26">
        <v>18.253319999999999</v>
      </c>
      <c r="P42" s="26">
        <v>132.048</v>
      </c>
      <c r="Q42" s="26">
        <v>60.752560000000003</v>
      </c>
      <c r="R42" s="26">
        <v>21.070740000000001</v>
      </c>
      <c r="S42" s="26">
        <v>109.3909</v>
      </c>
      <c r="T42" s="26">
        <v>18.071020000000001</v>
      </c>
      <c r="U42" s="26">
        <v>118.55110000000001</v>
      </c>
      <c r="V42" s="26">
        <v>25.796939999999999</v>
      </c>
      <c r="W42" s="26">
        <v>71.931690000000003</v>
      </c>
      <c r="X42" s="26">
        <v>9.3429870000000008</v>
      </c>
      <c r="Y42" s="26">
        <v>56.435470000000002</v>
      </c>
      <c r="Z42" s="26">
        <v>8.2695729999999994</v>
      </c>
      <c r="AA42" s="26">
        <v>6.6899999999999996E-11</v>
      </c>
      <c r="AB42" s="26">
        <v>1.7849999999999999E-3</v>
      </c>
      <c r="AC42" s="26">
        <v>3.9182929999999998</v>
      </c>
      <c r="AD42" s="26">
        <v>0.81651499999999999</v>
      </c>
      <c r="AE42" s="26">
        <v>13.377140000000001</v>
      </c>
      <c r="AF42" s="26">
        <v>9.3059360000000009</v>
      </c>
    </row>
    <row r="43" spans="1:32" s="2" customFormat="1">
      <c r="A43" s="23" t="s">
        <v>38</v>
      </c>
      <c r="B43" s="8" t="s">
        <v>342</v>
      </c>
      <c r="C43" s="9">
        <v>1.5776247293818599</v>
      </c>
      <c r="D43" s="9">
        <v>5.6562047361087803E-2</v>
      </c>
      <c r="E43" s="9">
        <v>0.33514664845333503</v>
      </c>
      <c r="F43" s="9">
        <v>9.0191919693678093E-3</v>
      </c>
      <c r="G43" s="9">
        <v>0.36765667495936399</v>
      </c>
      <c r="H43" s="8"/>
      <c r="I43" s="25">
        <v>2329.11</v>
      </c>
      <c r="J43" s="26">
        <v>1.1664399999999999</v>
      </c>
      <c r="K43" s="25">
        <v>749.38810000000001</v>
      </c>
      <c r="L43" s="26">
        <v>7.8799999999999999E-3</v>
      </c>
      <c r="M43" s="26">
        <v>31.72118</v>
      </c>
      <c r="N43" s="26">
        <v>90.614369999999994</v>
      </c>
      <c r="O43" s="26">
        <v>15.188499999999999</v>
      </c>
      <c r="P43" s="26">
        <v>101.5458</v>
      </c>
      <c r="Q43" s="26">
        <v>49.584449999999997</v>
      </c>
      <c r="R43" s="26">
        <v>34.734969999999997</v>
      </c>
      <c r="S43" s="26">
        <v>100.1437</v>
      </c>
      <c r="T43" s="26">
        <v>16.905239999999999</v>
      </c>
      <c r="U43" s="26">
        <v>112.78700000000001</v>
      </c>
      <c r="V43" s="26">
        <v>25.840890000000002</v>
      </c>
      <c r="W43" s="26">
        <v>74.079539999999994</v>
      </c>
      <c r="X43" s="26">
        <v>9.345955</v>
      </c>
      <c r="Y43" s="26">
        <v>58.382060000000003</v>
      </c>
      <c r="Z43" s="26">
        <v>9.1148989999999994</v>
      </c>
      <c r="AA43" s="26">
        <v>-3E-11</v>
      </c>
      <c r="AB43" s="26">
        <v>3.7290000000000001E-3</v>
      </c>
      <c r="AC43" s="26">
        <v>0.51941800000000005</v>
      </c>
      <c r="AD43" s="26">
        <v>0.420516</v>
      </c>
      <c r="AE43" s="26">
        <v>6.3904709999999998</v>
      </c>
      <c r="AF43" s="26">
        <v>5.4734100000000003</v>
      </c>
    </row>
    <row r="44" spans="1:32" s="1" customFormat="1">
      <c r="A44" s="23"/>
      <c r="B44" s="23"/>
      <c r="C44" s="24"/>
      <c r="D44" s="24"/>
      <c r="E44" s="24"/>
      <c r="F44" s="24"/>
      <c r="G44" s="24"/>
      <c r="H44" s="23"/>
      <c r="I44" s="27"/>
      <c r="J44" s="28"/>
      <c r="K44" s="27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s="2" customFormat="1">
      <c r="A45" s="23" t="s">
        <v>42</v>
      </c>
      <c r="B45" s="8" t="s">
        <v>383</v>
      </c>
      <c r="C45" s="9">
        <v>0.82593521406014303</v>
      </c>
      <c r="D45" s="9">
        <v>4.2739034452809001E-2</v>
      </c>
      <c r="E45" s="9">
        <v>0.66741579472269297</v>
      </c>
      <c r="F45" s="9">
        <v>2.3688103563664201E-2</v>
      </c>
      <c r="G45" s="9">
        <v>0.49876254136755799</v>
      </c>
      <c r="H45" s="8"/>
      <c r="I45" s="25">
        <v>2452.6419999999998</v>
      </c>
      <c r="J45" s="26">
        <v>0.348883</v>
      </c>
      <c r="K45" s="25">
        <v>904.54520000000002</v>
      </c>
      <c r="L45" s="26">
        <v>-5.0999999999999999E-7</v>
      </c>
      <c r="M45" s="26">
        <v>334.58749999999998</v>
      </c>
      <c r="N45" s="26">
        <v>1001.575</v>
      </c>
      <c r="O45" s="26">
        <v>149.26499999999999</v>
      </c>
      <c r="P45" s="26">
        <v>730.72260000000006</v>
      </c>
      <c r="Q45" s="26">
        <v>210.0187</v>
      </c>
      <c r="R45" s="26">
        <v>20.948820000000001</v>
      </c>
      <c r="S45" s="26">
        <v>213.0163</v>
      </c>
      <c r="T45" s="26">
        <v>29.622869999999999</v>
      </c>
      <c r="U45" s="26">
        <v>158.98330000000001</v>
      </c>
      <c r="V45" s="26">
        <v>29.90166</v>
      </c>
      <c r="W45" s="26">
        <v>80.394450000000006</v>
      </c>
      <c r="X45" s="26">
        <v>10.63467</v>
      </c>
      <c r="Y45" s="26">
        <v>63.087829999999997</v>
      </c>
      <c r="Z45" s="26">
        <v>7.6509799999999997</v>
      </c>
      <c r="AA45" s="26">
        <v>4.4399999999999997E-12</v>
      </c>
      <c r="AB45" s="26">
        <v>4.2659999999999998E-3</v>
      </c>
      <c r="AC45" s="26">
        <v>-2.7999999999999998E-4</v>
      </c>
      <c r="AD45" s="26">
        <v>4.0237449999999999</v>
      </c>
      <c r="AE45" s="26">
        <v>1.676226</v>
      </c>
      <c r="AF45" s="26">
        <v>5.0838169999999998</v>
      </c>
    </row>
    <row r="46" spans="1:32" s="2" customFormat="1">
      <c r="A46" s="23" t="s">
        <v>42</v>
      </c>
      <c r="B46" s="8" t="s">
        <v>384</v>
      </c>
      <c r="C46" s="9">
        <v>1.2512929907339401</v>
      </c>
      <c r="D46" s="9">
        <v>6.19753310054224E-2</v>
      </c>
      <c r="E46" s="9">
        <v>0.47178989510505498</v>
      </c>
      <c r="F46" s="9">
        <v>1.9831450092380999E-2</v>
      </c>
      <c r="G46" s="9">
        <v>0.45023277542053902</v>
      </c>
      <c r="H46" s="8"/>
      <c r="I46" s="25">
        <v>2496.0100000000002</v>
      </c>
      <c r="J46" s="26">
        <v>0.84553999999999996</v>
      </c>
      <c r="K46" s="25">
        <v>846.24350000000004</v>
      </c>
      <c r="L46" s="26">
        <v>-1.6000000000000001E-4</v>
      </c>
      <c r="M46" s="26">
        <v>303.10590000000002</v>
      </c>
      <c r="N46" s="26">
        <v>896.81389999999999</v>
      </c>
      <c r="O46" s="26">
        <v>133.5378</v>
      </c>
      <c r="P46" s="26">
        <v>670.70550000000003</v>
      </c>
      <c r="Q46" s="26">
        <v>194.27709999999999</v>
      </c>
      <c r="R46" s="26">
        <v>20.956810000000001</v>
      </c>
      <c r="S46" s="26">
        <v>208.7259</v>
      </c>
      <c r="T46" s="26">
        <v>29.236899999999999</v>
      </c>
      <c r="U46" s="26">
        <v>155.94450000000001</v>
      </c>
      <c r="V46" s="26">
        <v>28.610749999999999</v>
      </c>
      <c r="W46" s="26">
        <v>74.315060000000003</v>
      </c>
      <c r="X46" s="26">
        <v>9.1659559999999995</v>
      </c>
      <c r="Y46" s="26">
        <v>51.915979999999998</v>
      </c>
      <c r="Z46" s="26">
        <v>6.1401450000000004</v>
      </c>
      <c r="AA46" s="26">
        <v>-2.0999999999999999E-12</v>
      </c>
      <c r="AB46" s="26">
        <v>-1.4E-5</v>
      </c>
      <c r="AC46" s="26">
        <v>1.7423000000000001E-2</v>
      </c>
      <c r="AD46" s="26">
        <v>6.8735650000000001</v>
      </c>
      <c r="AE46" s="26">
        <v>4.1654470000000003</v>
      </c>
      <c r="AF46" s="26">
        <v>6.4062479999999997</v>
      </c>
    </row>
    <row r="47" spans="1:32" s="2" customFormat="1">
      <c r="A47" s="23" t="s">
        <v>42</v>
      </c>
      <c r="B47" s="8" t="s">
        <v>398</v>
      </c>
      <c r="C47" s="9">
        <v>1.44361658227673</v>
      </c>
      <c r="D47" s="9">
        <v>6.8715064382292204E-2</v>
      </c>
      <c r="E47" s="9">
        <v>0.34948246100210201</v>
      </c>
      <c r="F47" s="9">
        <v>1.0675433324045599E-2</v>
      </c>
      <c r="G47" s="9">
        <v>0.179784507958857</v>
      </c>
      <c r="H47" s="8"/>
      <c r="I47" s="25">
        <v>2500.9769999999999</v>
      </c>
      <c r="J47" s="26">
        <v>0.45363399999999998</v>
      </c>
      <c r="K47" s="25">
        <v>544.33109999999999</v>
      </c>
      <c r="L47" s="26">
        <v>4.5690000000000001E-3</v>
      </c>
      <c r="M47" s="26">
        <v>55.188760000000002</v>
      </c>
      <c r="N47" s="26">
        <v>192.9041</v>
      </c>
      <c r="O47" s="26">
        <v>34.150390000000002</v>
      </c>
      <c r="P47" s="26">
        <v>198.4265</v>
      </c>
      <c r="Q47" s="26">
        <v>74.595669999999998</v>
      </c>
      <c r="R47" s="26">
        <v>16.646280000000001</v>
      </c>
      <c r="S47" s="26">
        <v>105.74299999999999</v>
      </c>
      <c r="T47" s="26">
        <v>15.96025</v>
      </c>
      <c r="U47" s="26">
        <v>95.717299999999994</v>
      </c>
      <c r="V47" s="26">
        <v>18.722560000000001</v>
      </c>
      <c r="W47" s="26">
        <v>49.612580000000001</v>
      </c>
      <c r="X47" s="26">
        <v>6.0651849999999996</v>
      </c>
      <c r="Y47" s="26">
        <v>34.417059999999999</v>
      </c>
      <c r="Z47" s="26">
        <v>4.0348329999999999</v>
      </c>
      <c r="AA47" s="26">
        <v>7.4827000000000005E-2</v>
      </c>
      <c r="AB47" s="26">
        <v>2.0799999999999998E-3</v>
      </c>
      <c r="AC47" s="26">
        <v>0.65240900000000002</v>
      </c>
      <c r="AD47" s="26">
        <v>4.3213179999999998</v>
      </c>
      <c r="AE47" s="26">
        <v>6.949884</v>
      </c>
      <c r="AF47" s="26">
        <v>7.2945289999999998</v>
      </c>
    </row>
    <row r="48" spans="1:32" s="2" customFormat="1">
      <c r="A48" s="23" t="s">
        <v>42</v>
      </c>
      <c r="B48" s="8" t="s">
        <v>385</v>
      </c>
      <c r="C48" s="9">
        <v>1.32697679740805</v>
      </c>
      <c r="D48" s="9">
        <v>7.1527602193848502E-2</v>
      </c>
      <c r="E48" s="9">
        <v>0.44994130932861798</v>
      </c>
      <c r="F48" s="9">
        <v>1.7670810711571901E-2</v>
      </c>
      <c r="G48" s="9">
        <v>8.7063066515228799E-2</v>
      </c>
      <c r="H48" s="8"/>
      <c r="I48" s="25">
        <v>3016.645</v>
      </c>
      <c r="J48" s="26">
        <v>1.8338369999999999</v>
      </c>
      <c r="K48" s="25">
        <v>733.93200000000002</v>
      </c>
      <c r="L48" s="26">
        <v>1.4146000000000001E-2</v>
      </c>
      <c r="M48" s="26">
        <v>214.65270000000001</v>
      </c>
      <c r="N48" s="26">
        <v>644.61059999999998</v>
      </c>
      <c r="O48" s="26">
        <v>99.470010000000002</v>
      </c>
      <c r="P48" s="26">
        <v>519.26220000000001</v>
      </c>
      <c r="Q48" s="26">
        <v>160.01390000000001</v>
      </c>
      <c r="R48" s="26">
        <v>19.50067</v>
      </c>
      <c r="S48" s="26">
        <v>175.9829</v>
      </c>
      <c r="T48" s="26">
        <v>24.408550000000002</v>
      </c>
      <c r="U48" s="26">
        <v>133.31809999999999</v>
      </c>
      <c r="V48" s="26">
        <v>25.091080000000002</v>
      </c>
      <c r="W48" s="26">
        <v>66.790480000000002</v>
      </c>
      <c r="X48" s="26">
        <v>8.3244830000000007</v>
      </c>
      <c r="Y48" s="26">
        <v>47.45149</v>
      </c>
      <c r="Z48" s="26">
        <v>5.7765250000000004</v>
      </c>
      <c r="AA48" s="26">
        <v>0.17402500000000001</v>
      </c>
      <c r="AB48" s="26">
        <v>1.7960000000000001E-3</v>
      </c>
      <c r="AC48" s="26">
        <v>2.806492</v>
      </c>
      <c r="AD48" s="26">
        <v>7.3182980000000004</v>
      </c>
      <c r="AE48" s="26">
        <v>4.4597259999999999</v>
      </c>
      <c r="AF48" s="26">
        <v>6.5552669999999997</v>
      </c>
    </row>
    <row r="49" spans="1:32" s="2" customFormat="1">
      <c r="A49" s="23" t="s">
        <v>42</v>
      </c>
      <c r="B49" s="8" t="s">
        <v>386</v>
      </c>
      <c r="C49" s="9">
        <v>0.97767878048386903</v>
      </c>
      <c r="D49" s="9">
        <v>4.9184260470352403E-2</v>
      </c>
      <c r="E49" s="9">
        <v>0.56392950349504001</v>
      </c>
      <c r="F49" s="9">
        <v>1.9642025512996101E-2</v>
      </c>
      <c r="G49" s="9">
        <v>0.31154150017361099</v>
      </c>
      <c r="H49" s="8"/>
      <c r="I49" s="25">
        <v>2492.7330000000002</v>
      </c>
      <c r="J49" s="26">
        <v>1.2100420000000001</v>
      </c>
      <c r="K49" s="25">
        <v>925.58590000000004</v>
      </c>
      <c r="L49" s="26">
        <v>-3.4199999999999999E-3</v>
      </c>
      <c r="M49" s="26">
        <v>361.74529999999999</v>
      </c>
      <c r="N49" s="26">
        <v>1048.836</v>
      </c>
      <c r="O49" s="26">
        <v>156.71700000000001</v>
      </c>
      <c r="P49" s="26">
        <v>800.1816</v>
      </c>
      <c r="Q49" s="26">
        <v>220.50280000000001</v>
      </c>
      <c r="R49" s="26">
        <v>21.510470000000002</v>
      </c>
      <c r="S49" s="26">
        <v>225.4358</v>
      </c>
      <c r="T49" s="26">
        <v>29.870740000000001</v>
      </c>
      <c r="U49" s="26">
        <v>162.80179999999999</v>
      </c>
      <c r="V49" s="26">
        <v>30.17906</v>
      </c>
      <c r="W49" s="26">
        <v>82.155389999999997</v>
      </c>
      <c r="X49" s="26">
        <v>10.929790000000001</v>
      </c>
      <c r="Y49" s="26">
        <v>65.35718</v>
      </c>
      <c r="Z49" s="26">
        <v>7.9049170000000002</v>
      </c>
      <c r="AA49" s="26">
        <v>0.80444099999999996</v>
      </c>
      <c r="AB49" s="26">
        <v>6.0900000000000001E-6</v>
      </c>
      <c r="AC49" s="26">
        <v>0.16227900000000001</v>
      </c>
      <c r="AD49" s="26">
        <v>6.6846079999999999</v>
      </c>
      <c r="AE49" s="26">
        <v>2.5026449999999998</v>
      </c>
      <c r="AF49" s="26">
        <v>5.8980519999999999</v>
      </c>
    </row>
    <row r="50" spans="1:32" s="2" customFormat="1">
      <c r="A50" s="23" t="s">
        <v>42</v>
      </c>
      <c r="B50" s="8" t="s">
        <v>387</v>
      </c>
      <c r="C50" s="9">
        <v>1.22719631370496</v>
      </c>
      <c r="D50" s="9">
        <v>6.2599257481648504E-2</v>
      </c>
      <c r="E50" s="9">
        <v>0.44527285520116</v>
      </c>
      <c r="F50" s="9">
        <v>1.79771232499891E-2</v>
      </c>
      <c r="G50" s="9">
        <v>0.15103438206960801</v>
      </c>
      <c r="H50" s="8"/>
      <c r="I50" s="25">
        <v>2683.3870000000002</v>
      </c>
      <c r="J50" s="26">
        <v>0.77866599999999997</v>
      </c>
      <c r="K50" s="25">
        <v>973.11369999999999</v>
      </c>
      <c r="L50" s="26">
        <v>-3.13E-3</v>
      </c>
      <c r="M50" s="26">
        <v>409.76400000000001</v>
      </c>
      <c r="N50" s="26">
        <v>1174.5070000000001</v>
      </c>
      <c r="O50" s="26">
        <v>169.87090000000001</v>
      </c>
      <c r="P50" s="26">
        <v>862.06470000000002</v>
      </c>
      <c r="Q50" s="26">
        <v>242.1712</v>
      </c>
      <c r="R50" s="26">
        <v>23.759450000000001</v>
      </c>
      <c r="S50" s="26">
        <v>248.23939999999999</v>
      </c>
      <c r="T50" s="26">
        <v>33.298670000000001</v>
      </c>
      <c r="U50" s="26">
        <v>179.22399999999999</v>
      </c>
      <c r="V50" s="26">
        <v>33.004620000000003</v>
      </c>
      <c r="W50" s="26">
        <v>85.836500000000001</v>
      </c>
      <c r="X50" s="26">
        <v>10.57859</v>
      </c>
      <c r="Y50" s="26">
        <v>62.040860000000002</v>
      </c>
      <c r="Z50" s="26">
        <v>7.4012919999999998</v>
      </c>
      <c r="AA50" s="26">
        <v>0.105489</v>
      </c>
      <c r="AB50" s="26">
        <v>3.2209999999999999E-3</v>
      </c>
      <c r="AC50" s="26">
        <v>4.0057000000000002E-2</v>
      </c>
      <c r="AD50" s="26">
        <v>9.7780760000000004</v>
      </c>
      <c r="AE50" s="26">
        <v>4.5376709999999996</v>
      </c>
      <c r="AF50" s="26">
        <v>7.2447189999999999</v>
      </c>
    </row>
    <row r="51" spans="1:32" s="2" customFormat="1">
      <c r="A51" s="23" t="s">
        <v>42</v>
      </c>
      <c r="B51" s="8" t="s">
        <v>388</v>
      </c>
      <c r="C51" s="9">
        <v>1.1387330064130701</v>
      </c>
      <c r="D51" s="9">
        <v>5.3462395153563498E-2</v>
      </c>
      <c r="E51" s="9">
        <v>0.49085776144667898</v>
      </c>
      <c r="F51" s="9">
        <v>1.7692842588407899E-2</v>
      </c>
      <c r="G51" s="9">
        <v>0.55791606267041405</v>
      </c>
      <c r="H51" s="8"/>
      <c r="I51" s="25">
        <v>2413.1089999999999</v>
      </c>
      <c r="J51" s="26">
        <v>0.98396799999999995</v>
      </c>
      <c r="K51" s="25">
        <v>824</v>
      </c>
      <c r="L51" s="26">
        <v>-1.1900000000000001E-3</v>
      </c>
      <c r="M51" s="26">
        <v>303.49549999999999</v>
      </c>
      <c r="N51" s="26">
        <v>891.77110000000005</v>
      </c>
      <c r="O51" s="26">
        <v>131.56479999999999</v>
      </c>
      <c r="P51" s="26">
        <v>623.75030000000004</v>
      </c>
      <c r="Q51" s="26">
        <v>188.00409999999999</v>
      </c>
      <c r="R51" s="26">
        <v>21.587119999999999</v>
      </c>
      <c r="S51" s="26">
        <v>195.81219999999999</v>
      </c>
      <c r="T51" s="26">
        <v>27.976279999999999</v>
      </c>
      <c r="U51" s="26">
        <v>152.45410000000001</v>
      </c>
      <c r="V51" s="26">
        <v>28.427040000000002</v>
      </c>
      <c r="W51" s="26">
        <v>74.604110000000006</v>
      </c>
      <c r="X51" s="26">
        <v>9.2979769999999995</v>
      </c>
      <c r="Y51" s="26">
        <v>53.955739999999999</v>
      </c>
      <c r="Z51" s="26">
        <v>6.5082209999999998</v>
      </c>
      <c r="AA51" s="26">
        <v>-4.6000000000000001E-10</v>
      </c>
      <c r="AB51" s="26">
        <v>3.49E-3</v>
      </c>
      <c r="AC51" s="26">
        <v>1.1315E-2</v>
      </c>
      <c r="AD51" s="26">
        <v>5.0627610000000001</v>
      </c>
      <c r="AE51" s="26">
        <v>3.6830829999999999</v>
      </c>
      <c r="AF51" s="26">
        <v>6.3703539999999998</v>
      </c>
    </row>
    <row r="52" spans="1:32" s="2" customFormat="1">
      <c r="A52" s="23" t="s">
        <v>42</v>
      </c>
      <c r="B52" s="8" t="s">
        <v>399</v>
      </c>
      <c r="C52" s="9">
        <v>1.28471254437062</v>
      </c>
      <c r="D52" s="9">
        <v>6.2245745990662397E-2</v>
      </c>
      <c r="E52" s="9">
        <v>0.43153227075588801</v>
      </c>
      <c r="F52" s="9">
        <v>1.71644271294073E-2</v>
      </c>
      <c r="G52" s="9">
        <v>0.19827271172795499</v>
      </c>
      <c r="H52" s="8"/>
      <c r="I52" s="25">
        <v>2623.0340000000001</v>
      </c>
      <c r="J52" s="26">
        <v>1.6877070000000001</v>
      </c>
      <c r="K52" s="25">
        <v>825.11030000000005</v>
      </c>
      <c r="L52" s="26">
        <v>5.7869999999999996E-3</v>
      </c>
      <c r="M52" s="26">
        <v>298.39170000000001</v>
      </c>
      <c r="N52" s="26">
        <v>903.93020000000001</v>
      </c>
      <c r="O52" s="26">
        <v>139.23519999999999</v>
      </c>
      <c r="P52" s="26">
        <v>696.41729999999995</v>
      </c>
      <c r="Q52" s="26">
        <v>200.0334</v>
      </c>
      <c r="R52" s="26">
        <v>20.627410000000001</v>
      </c>
      <c r="S52" s="26">
        <v>205.321</v>
      </c>
      <c r="T52" s="26">
        <v>28.093520000000002</v>
      </c>
      <c r="U52" s="26">
        <v>153.0556</v>
      </c>
      <c r="V52" s="26">
        <v>28.116109999999999</v>
      </c>
      <c r="W52" s="26">
        <v>73.623500000000007</v>
      </c>
      <c r="X52" s="26">
        <v>9.1529910000000001</v>
      </c>
      <c r="Y52" s="26">
        <v>52.346339999999998</v>
      </c>
      <c r="Z52" s="26">
        <v>6.2888729999999997</v>
      </c>
      <c r="AA52" s="26">
        <v>7.8600000000000005E-11</v>
      </c>
      <c r="AB52" s="26">
        <v>3.9839999999999997E-3</v>
      </c>
      <c r="AC52" s="26">
        <v>0.13919400000000001</v>
      </c>
      <c r="AD52" s="26">
        <v>6.6238320000000002</v>
      </c>
      <c r="AE52" s="26">
        <v>4.6960160000000002</v>
      </c>
      <c r="AF52" s="26">
        <v>6.6178210000000002</v>
      </c>
    </row>
    <row r="53" spans="1:32" s="2" customFormat="1">
      <c r="A53" s="23" t="s">
        <v>42</v>
      </c>
      <c r="B53" s="8" t="s">
        <v>389</v>
      </c>
      <c r="C53" s="9">
        <v>1.24725295191629</v>
      </c>
      <c r="D53" s="9">
        <v>6.05796414381395E-2</v>
      </c>
      <c r="E53" s="9">
        <v>0.41177100357218899</v>
      </c>
      <c r="F53" s="9">
        <v>1.5952859019416E-2</v>
      </c>
      <c r="G53" s="9">
        <v>0.45773360820854098</v>
      </c>
      <c r="H53" s="8"/>
      <c r="I53" s="25">
        <v>2540.8209999999999</v>
      </c>
      <c r="J53" s="26">
        <v>0.135273</v>
      </c>
      <c r="K53" s="25">
        <v>958.29250000000002</v>
      </c>
      <c r="L53" s="26">
        <v>-7.7999999999999999E-4</v>
      </c>
      <c r="M53" s="26">
        <v>491.4615</v>
      </c>
      <c r="N53" s="26">
        <v>1425.942</v>
      </c>
      <c r="O53" s="26">
        <v>210.75800000000001</v>
      </c>
      <c r="P53" s="26">
        <v>1044.4939999999999</v>
      </c>
      <c r="Q53" s="26">
        <v>264.09890000000001</v>
      </c>
      <c r="R53" s="26">
        <v>22.448609999999999</v>
      </c>
      <c r="S53" s="26">
        <v>248.1506</v>
      </c>
      <c r="T53" s="26">
        <v>32.536029999999997</v>
      </c>
      <c r="U53" s="26">
        <v>173.02019999999999</v>
      </c>
      <c r="V53" s="26">
        <v>31.998460000000001</v>
      </c>
      <c r="W53" s="26">
        <v>86.663939999999997</v>
      </c>
      <c r="X53" s="26">
        <v>11.32193</v>
      </c>
      <c r="Y53" s="26">
        <v>66.70626</v>
      </c>
      <c r="Z53" s="26">
        <v>8.1186799999999995</v>
      </c>
      <c r="AA53" s="26">
        <v>7.2100000000000002E-11</v>
      </c>
      <c r="AB53" s="26">
        <v>2.9580000000000001E-3</v>
      </c>
      <c r="AC53" s="26">
        <v>-5.6999999999999998E-4</v>
      </c>
      <c r="AD53" s="26">
        <v>8.4357690000000005</v>
      </c>
      <c r="AE53" s="26">
        <v>5.5239539999999998</v>
      </c>
      <c r="AF53" s="26">
        <v>8.0618440000000007</v>
      </c>
    </row>
    <row r="54" spans="1:32" s="2" customFormat="1">
      <c r="A54" s="23" t="s">
        <v>42</v>
      </c>
      <c r="B54" s="8" t="s">
        <v>400</v>
      </c>
      <c r="C54" s="9">
        <v>1.0016574699015199</v>
      </c>
      <c r="D54" s="9">
        <v>5.4153869810404501E-2</v>
      </c>
      <c r="E54" s="9">
        <v>0.56767708823062202</v>
      </c>
      <c r="F54" s="9">
        <v>2.19073680135634E-2</v>
      </c>
      <c r="G54" s="9">
        <v>0.34015661603620501</v>
      </c>
      <c r="H54" s="8"/>
      <c r="I54" s="25">
        <v>2367.7579999999998</v>
      </c>
      <c r="J54" s="26">
        <v>4.0333000000000001E-2</v>
      </c>
      <c r="K54" s="25">
        <v>864.73389999999995</v>
      </c>
      <c r="L54" s="26">
        <v>1.46E-4</v>
      </c>
      <c r="M54" s="26">
        <v>315.84649999999999</v>
      </c>
      <c r="N54" s="26">
        <v>921.29290000000003</v>
      </c>
      <c r="O54" s="26">
        <v>136.94569999999999</v>
      </c>
      <c r="P54" s="26">
        <v>681.90560000000005</v>
      </c>
      <c r="Q54" s="26">
        <v>195.49340000000001</v>
      </c>
      <c r="R54" s="26">
        <v>20.7638</v>
      </c>
      <c r="S54" s="26">
        <v>204.3466</v>
      </c>
      <c r="T54" s="26">
        <v>28.434439999999999</v>
      </c>
      <c r="U54" s="26">
        <v>159.60239999999999</v>
      </c>
      <c r="V54" s="26">
        <v>29.281310000000001</v>
      </c>
      <c r="W54" s="26">
        <v>78.729849999999999</v>
      </c>
      <c r="X54" s="26">
        <v>9.8323940000000007</v>
      </c>
      <c r="Y54" s="26">
        <v>57.809399999999997</v>
      </c>
      <c r="Z54" s="26">
        <v>6.838222</v>
      </c>
      <c r="AA54" s="26">
        <v>-2.5999999999999998E-10</v>
      </c>
      <c r="AB54" s="26">
        <v>4.0410000000000003E-3</v>
      </c>
      <c r="AC54" s="26">
        <v>1.0014E-2</v>
      </c>
      <c r="AD54" s="26">
        <v>5.5282249999999999</v>
      </c>
      <c r="AE54" s="26">
        <v>2.5090189999999999</v>
      </c>
      <c r="AF54" s="26">
        <v>5.7077039999999997</v>
      </c>
    </row>
    <row r="55" spans="1:32" s="2" customFormat="1">
      <c r="A55" s="23" t="s">
        <v>42</v>
      </c>
      <c r="B55" s="8" t="s">
        <v>390</v>
      </c>
      <c r="C55" s="9">
        <v>0.90515076918989101</v>
      </c>
      <c r="D55" s="9">
        <v>4.6446822075553999E-2</v>
      </c>
      <c r="E55" s="9">
        <v>0.63313062501603901</v>
      </c>
      <c r="F55" s="9">
        <v>2.54009593334431E-2</v>
      </c>
      <c r="G55" s="9">
        <v>0.48382927644108797</v>
      </c>
      <c r="H55" s="8"/>
      <c r="I55" s="25">
        <v>2361.17</v>
      </c>
      <c r="J55" s="26">
        <v>0.54277399999999998</v>
      </c>
      <c r="K55" s="25">
        <v>888.75409999999999</v>
      </c>
      <c r="L55" s="26">
        <v>-6.0000000000000002E-5</v>
      </c>
      <c r="M55" s="26">
        <v>397.40109999999999</v>
      </c>
      <c r="N55" s="26">
        <v>1159.539</v>
      </c>
      <c r="O55" s="26">
        <v>172.63849999999999</v>
      </c>
      <c r="P55" s="26">
        <v>851.35929999999996</v>
      </c>
      <c r="Q55" s="26">
        <v>231.36259999999999</v>
      </c>
      <c r="R55" s="26">
        <v>23.140750000000001</v>
      </c>
      <c r="S55" s="26">
        <v>231.739</v>
      </c>
      <c r="T55" s="26">
        <v>30.366890000000001</v>
      </c>
      <c r="U55" s="26">
        <v>162.18510000000001</v>
      </c>
      <c r="V55" s="26">
        <v>30.01831</v>
      </c>
      <c r="W55" s="26">
        <v>79.754220000000004</v>
      </c>
      <c r="X55" s="26">
        <v>9.9688090000000003</v>
      </c>
      <c r="Y55" s="26">
        <v>57.005679999999998</v>
      </c>
      <c r="Z55" s="26">
        <v>6.9391119999999997</v>
      </c>
      <c r="AA55" s="26">
        <v>-3.7000000000000001E-10</v>
      </c>
      <c r="AB55" s="26">
        <v>2.3479999999999998E-3</v>
      </c>
      <c r="AC55" s="26">
        <v>3.9619000000000001E-2</v>
      </c>
      <c r="AD55" s="26">
        <v>5.5472149999999996</v>
      </c>
      <c r="AE55" s="26">
        <v>1.9131549999999999</v>
      </c>
      <c r="AF55" s="26">
        <v>5.3892009999999999</v>
      </c>
    </row>
    <row r="56" spans="1:32" s="2" customFormat="1">
      <c r="A56" s="23" t="s">
        <v>42</v>
      </c>
      <c r="B56" s="8" t="s">
        <v>401</v>
      </c>
      <c r="C56" s="9">
        <v>1.35709145000909</v>
      </c>
      <c r="D56" s="9">
        <v>5.8623534001910102E-2</v>
      </c>
      <c r="E56" s="9">
        <v>0.37377983544439503</v>
      </c>
      <c r="F56" s="9">
        <v>1.1323118594562E-2</v>
      </c>
      <c r="G56" s="9">
        <v>0.52119458174728195</v>
      </c>
      <c r="H56" s="8"/>
      <c r="I56" s="25">
        <v>2182.9920000000002</v>
      </c>
      <c r="J56" s="26">
        <v>1.0237689999999999</v>
      </c>
      <c r="K56" s="25">
        <v>697.75980000000004</v>
      </c>
      <c r="L56" s="26">
        <v>1.091E-3</v>
      </c>
      <c r="M56" s="26">
        <v>216.52459999999999</v>
      </c>
      <c r="N56" s="26">
        <v>584.64229999999998</v>
      </c>
      <c r="O56" s="26">
        <v>82.624279999999999</v>
      </c>
      <c r="P56" s="26">
        <v>390.78059999999999</v>
      </c>
      <c r="Q56" s="26">
        <v>121.48</v>
      </c>
      <c r="R56" s="26">
        <v>19.867509999999999</v>
      </c>
      <c r="S56" s="26">
        <v>142.74100000000001</v>
      </c>
      <c r="T56" s="26">
        <v>20.883890000000001</v>
      </c>
      <c r="U56" s="26">
        <v>120.4597</v>
      </c>
      <c r="V56" s="26">
        <v>23.048649999999999</v>
      </c>
      <c r="W56" s="26">
        <v>63.050980000000003</v>
      </c>
      <c r="X56" s="26">
        <v>7.9583599999999999</v>
      </c>
      <c r="Y56" s="26">
        <v>46.276290000000003</v>
      </c>
      <c r="Z56" s="26">
        <v>5.4238410000000004</v>
      </c>
      <c r="AA56" s="26">
        <v>6.1700000000000004E-11</v>
      </c>
      <c r="AB56" s="26">
        <v>4.457E-3</v>
      </c>
      <c r="AC56" s="26">
        <v>2.5326000000000001E-2</v>
      </c>
      <c r="AD56" s="26">
        <v>5.129321</v>
      </c>
      <c r="AE56" s="26">
        <v>6.9483769999999998</v>
      </c>
      <c r="AF56" s="26">
        <v>8.04495</v>
      </c>
    </row>
    <row r="57" spans="1:32" s="2" customFormat="1">
      <c r="A57" s="23" t="s">
        <v>42</v>
      </c>
      <c r="B57" s="8" t="s">
        <v>391</v>
      </c>
      <c r="C57" s="9">
        <v>1.10985607970096</v>
      </c>
      <c r="D57" s="9">
        <v>5.8988326276347598E-2</v>
      </c>
      <c r="E57" s="9">
        <v>0.51071256137188703</v>
      </c>
      <c r="F57" s="9">
        <v>1.82935020569139E-2</v>
      </c>
      <c r="G57" s="9">
        <v>6.4385252213777194E-2</v>
      </c>
      <c r="H57" s="8"/>
      <c r="I57" s="25">
        <v>2325.174</v>
      </c>
      <c r="J57" s="26">
        <v>0.28749799999999998</v>
      </c>
      <c r="K57" s="25">
        <v>892.95839999999998</v>
      </c>
      <c r="L57" s="26">
        <v>-4.2000000000000002E-4</v>
      </c>
      <c r="M57" s="26">
        <v>351.74990000000003</v>
      </c>
      <c r="N57" s="26">
        <v>1032.973</v>
      </c>
      <c r="O57" s="26">
        <v>153.363</v>
      </c>
      <c r="P57" s="26">
        <v>752.73180000000002</v>
      </c>
      <c r="Q57" s="26">
        <v>213.65639999999999</v>
      </c>
      <c r="R57" s="26">
        <v>22.42595</v>
      </c>
      <c r="S57" s="26">
        <v>220.78579999999999</v>
      </c>
      <c r="T57" s="26">
        <v>30.209350000000001</v>
      </c>
      <c r="U57" s="26">
        <v>164.60650000000001</v>
      </c>
      <c r="V57" s="26">
        <v>30.43113</v>
      </c>
      <c r="W57" s="26">
        <v>79.781229999999994</v>
      </c>
      <c r="X57" s="26">
        <v>10.042669999999999</v>
      </c>
      <c r="Y57" s="26">
        <v>57.43018</v>
      </c>
      <c r="Z57" s="26">
        <v>6.935486</v>
      </c>
      <c r="AA57" s="26">
        <v>-1.6999999999999999E-11</v>
      </c>
      <c r="AB57" s="26">
        <v>2.4090000000000001E-3</v>
      </c>
      <c r="AC57" s="26">
        <v>2.9551000000000001E-2</v>
      </c>
      <c r="AD57" s="26">
        <v>6.99369</v>
      </c>
      <c r="AE57" s="26">
        <v>3.2060080000000002</v>
      </c>
      <c r="AF57" s="26">
        <v>6.2051610000000004</v>
      </c>
    </row>
    <row r="58" spans="1:32" s="2" customFormat="1">
      <c r="A58" s="23" t="s">
        <v>42</v>
      </c>
      <c r="B58" s="8" t="s">
        <v>392</v>
      </c>
      <c r="C58" s="9">
        <v>0.93906908168981995</v>
      </c>
      <c r="D58" s="9">
        <v>4.8236711623634597E-2</v>
      </c>
      <c r="E58" s="9">
        <v>0.60331493787117696</v>
      </c>
      <c r="F58" s="9">
        <v>2.1765905316725599E-2</v>
      </c>
      <c r="G58" s="9">
        <v>0.24007820228989901</v>
      </c>
      <c r="H58" s="8"/>
      <c r="I58" s="25">
        <v>2254.83</v>
      </c>
      <c r="J58" s="26">
        <v>0.163053</v>
      </c>
      <c r="K58" s="25">
        <v>845.56359999999995</v>
      </c>
      <c r="L58" s="26">
        <v>-1.2600000000000001E-3</v>
      </c>
      <c r="M58" s="26">
        <v>287.8904</v>
      </c>
      <c r="N58" s="26">
        <v>862.8759</v>
      </c>
      <c r="O58" s="26">
        <v>127.91119999999999</v>
      </c>
      <c r="P58" s="26">
        <v>621.10619999999994</v>
      </c>
      <c r="Q58" s="26">
        <v>191.31180000000001</v>
      </c>
      <c r="R58" s="26">
        <v>21.610849999999999</v>
      </c>
      <c r="S58" s="26">
        <v>202.8064</v>
      </c>
      <c r="T58" s="26">
        <v>28.829550000000001</v>
      </c>
      <c r="U58" s="26">
        <v>157.1541</v>
      </c>
      <c r="V58" s="26">
        <v>29.056290000000001</v>
      </c>
      <c r="W58" s="26">
        <v>75.528130000000004</v>
      </c>
      <c r="X58" s="26">
        <v>9.535819</v>
      </c>
      <c r="Y58" s="26">
        <v>54.22813</v>
      </c>
      <c r="Z58" s="26">
        <v>6.5424540000000002</v>
      </c>
      <c r="AA58" s="26">
        <v>4.7200000000000001E-12</v>
      </c>
      <c r="AB58" s="26">
        <v>1.3630000000000001E-3</v>
      </c>
      <c r="AC58" s="26">
        <v>9.0419999999999997E-3</v>
      </c>
      <c r="AD58" s="26">
        <v>3.6609039999999999</v>
      </c>
      <c r="AE58" s="26">
        <v>2.2125490000000001</v>
      </c>
      <c r="AF58" s="26">
        <v>5.4125959999999997</v>
      </c>
    </row>
    <row r="59" spans="1:32" s="2" customFormat="1">
      <c r="A59" s="23" t="s">
        <v>42</v>
      </c>
      <c r="B59" s="8" t="s">
        <v>393</v>
      </c>
      <c r="C59" s="9">
        <v>1.18721908681813</v>
      </c>
      <c r="D59" s="9">
        <v>5.78410796418918E-2</v>
      </c>
      <c r="E59" s="9">
        <v>0.47266101839275798</v>
      </c>
      <c r="F59" s="9">
        <v>1.9813144764932601E-2</v>
      </c>
      <c r="G59" s="9">
        <v>0.193843317110452</v>
      </c>
      <c r="H59" s="8"/>
      <c r="I59" s="25">
        <v>2238.3719999999998</v>
      </c>
      <c r="J59" s="26">
        <v>1.1651009999999999</v>
      </c>
      <c r="K59" s="25">
        <v>857.02629999999999</v>
      </c>
      <c r="L59" s="26">
        <v>-6.3000000000000003E-4</v>
      </c>
      <c r="M59" s="26">
        <v>349.22640000000001</v>
      </c>
      <c r="N59" s="26">
        <v>1023.503</v>
      </c>
      <c r="O59" s="26">
        <v>149.38560000000001</v>
      </c>
      <c r="P59" s="26">
        <v>721.24329999999998</v>
      </c>
      <c r="Q59" s="26">
        <v>204.88040000000001</v>
      </c>
      <c r="R59" s="26">
        <v>22.723669999999998</v>
      </c>
      <c r="S59" s="26">
        <v>209.05930000000001</v>
      </c>
      <c r="T59" s="26">
        <v>28.992920000000002</v>
      </c>
      <c r="U59" s="26">
        <v>159.37440000000001</v>
      </c>
      <c r="V59" s="26">
        <v>29.189830000000001</v>
      </c>
      <c r="W59" s="26">
        <v>77.271860000000004</v>
      </c>
      <c r="X59" s="26">
        <v>9.5475480000000008</v>
      </c>
      <c r="Y59" s="26">
        <v>55.254219999999997</v>
      </c>
      <c r="Z59" s="26">
        <v>6.6605679999999996</v>
      </c>
      <c r="AA59" s="26">
        <v>0.103648</v>
      </c>
      <c r="AB59" s="26">
        <v>3.8340000000000002E-3</v>
      </c>
      <c r="AC59" s="26">
        <v>1.2710000000000001E-2</v>
      </c>
      <c r="AD59" s="26">
        <v>6.7301659999999996</v>
      </c>
      <c r="AE59" s="26">
        <v>4.0871849999999998</v>
      </c>
      <c r="AF59" s="26">
        <v>6.7710239999999997</v>
      </c>
    </row>
    <row r="60" spans="1:32" s="2" customFormat="1">
      <c r="A60" s="23" t="s">
        <v>42</v>
      </c>
      <c r="B60" s="8" t="s">
        <v>394</v>
      </c>
      <c r="C60" s="9">
        <v>0.67905386228200104</v>
      </c>
      <c r="D60" s="9">
        <v>3.8417381539073099E-2</v>
      </c>
      <c r="E60" s="9">
        <v>0.74103567126904901</v>
      </c>
      <c r="F60" s="9">
        <v>2.79451619697524E-2</v>
      </c>
      <c r="G60" s="9">
        <v>0.369882031552275</v>
      </c>
      <c r="H60" s="8"/>
      <c r="I60" s="25">
        <v>2113.136</v>
      </c>
      <c r="J60" s="26">
        <v>0.54219600000000001</v>
      </c>
      <c r="K60" s="25">
        <v>856.77869999999996</v>
      </c>
      <c r="L60" s="26">
        <v>1.6000000000000001E-4</v>
      </c>
      <c r="M60" s="26">
        <v>378.84750000000003</v>
      </c>
      <c r="N60" s="26">
        <v>1098.867</v>
      </c>
      <c r="O60" s="26">
        <v>160.0367</v>
      </c>
      <c r="P60" s="26">
        <v>804.70540000000005</v>
      </c>
      <c r="Q60" s="26">
        <v>220.51570000000001</v>
      </c>
      <c r="R60" s="26">
        <v>21.558720000000001</v>
      </c>
      <c r="S60" s="26">
        <v>220.89850000000001</v>
      </c>
      <c r="T60" s="26">
        <v>29.164339999999999</v>
      </c>
      <c r="U60" s="26">
        <v>158.45930000000001</v>
      </c>
      <c r="V60" s="26">
        <v>28.624030000000001</v>
      </c>
      <c r="W60" s="26">
        <v>77.067719999999994</v>
      </c>
      <c r="X60" s="26">
        <v>9.7872210000000006</v>
      </c>
      <c r="Y60" s="26">
        <v>57.661499999999997</v>
      </c>
      <c r="Z60" s="26">
        <v>6.9320899999999996</v>
      </c>
      <c r="AA60" s="26">
        <v>3.4699999999999999E-13</v>
      </c>
      <c r="AB60" s="26">
        <v>4.2659999999999998E-3</v>
      </c>
      <c r="AC60" s="26">
        <v>7.4000000000000003E-3</v>
      </c>
      <c r="AD60" s="26">
        <v>4.1376609999999996</v>
      </c>
      <c r="AE60" s="26">
        <v>1.1808529999999999</v>
      </c>
      <c r="AF60" s="26">
        <v>4.9775650000000002</v>
      </c>
    </row>
    <row r="61" spans="1:32" s="2" customFormat="1">
      <c r="A61" s="23" t="s">
        <v>42</v>
      </c>
      <c r="B61" s="8" t="s">
        <v>402</v>
      </c>
      <c r="C61" s="9">
        <v>1.300221589955</v>
      </c>
      <c r="D61" s="9">
        <v>6.02060703020703E-2</v>
      </c>
      <c r="E61" s="9">
        <v>0.390201964005849</v>
      </c>
      <c r="F61" s="9">
        <v>1.33436896843505E-2</v>
      </c>
      <c r="G61" s="9">
        <v>0.42801599470014201</v>
      </c>
      <c r="H61" s="8"/>
      <c r="I61" s="25">
        <v>2130.1469999999999</v>
      </c>
      <c r="J61" s="26">
        <v>0.18858900000000001</v>
      </c>
      <c r="K61" s="25">
        <v>660.5095</v>
      </c>
      <c r="L61" s="26">
        <v>-2.4000000000000001E-5</v>
      </c>
      <c r="M61" s="26">
        <v>189.52099999999999</v>
      </c>
      <c r="N61" s="26">
        <v>508.28359999999998</v>
      </c>
      <c r="O61" s="26">
        <v>71.538449999999997</v>
      </c>
      <c r="P61" s="26">
        <v>342.46140000000003</v>
      </c>
      <c r="Q61" s="26">
        <v>108.1943</v>
      </c>
      <c r="R61" s="26">
        <v>22.775500000000001</v>
      </c>
      <c r="S61" s="26">
        <v>137.38040000000001</v>
      </c>
      <c r="T61" s="26">
        <v>20.537479999999999</v>
      </c>
      <c r="U61" s="26">
        <v>119.75360000000001</v>
      </c>
      <c r="V61" s="26">
        <v>22.833259999999999</v>
      </c>
      <c r="W61" s="26">
        <v>60.231209999999997</v>
      </c>
      <c r="X61" s="26">
        <v>7.3651090000000003</v>
      </c>
      <c r="Y61" s="26">
        <v>42.124470000000002</v>
      </c>
      <c r="Z61" s="26">
        <v>4.9679029999999997</v>
      </c>
      <c r="AA61" s="26">
        <v>-6.2999999999999998E-15</v>
      </c>
      <c r="AB61" s="26">
        <v>1.1919999999999999E-3</v>
      </c>
      <c r="AC61" s="26">
        <v>1.0214000000000001E-2</v>
      </c>
      <c r="AD61" s="26">
        <v>4.4995539999999998</v>
      </c>
      <c r="AE61" s="26">
        <v>6.1030259999999998</v>
      </c>
      <c r="AF61" s="26">
        <v>7.70716</v>
      </c>
    </row>
    <row r="62" spans="1:32" s="2" customFormat="1">
      <c r="A62" s="23" t="s">
        <v>42</v>
      </c>
      <c r="B62" s="8" t="s">
        <v>395</v>
      </c>
      <c r="C62" s="9">
        <v>0.84138660869660098</v>
      </c>
      <c r="D62" s="9">
        <v>4.6753994091488497E-2</v>
      </c>
      <c r="E62" s="9">
        <v>0.68615186847360399</v>
      </c>
      <c r="F62" s="9">
        <v>3.0272582501480499E-2</v>
      </c>
      <c r="G62" s="9">
        <v>0.52400213364955295</v>
      </c>
      <c r="H62" s="8"/>
      <c r="I62" s="25">
        <v>2124.6619999999998</v>
      </c>
      <c r="J62" s="26">
        <v>1.591812</v>
      </c>
      <c r="K62" s="25">
        <v>858.73940000000005</v>
      </c>
      <c r="L62" s="26">
        <v>-1.2E-4</v>
      </c>
      <c r="M62" s="26">
        <v>287.67129999999997</v>
      </c>
      <c r="N62" s="26">
        <v>845.05960000000005</v>
      </c>
      <c r="O62" s="26">
        <v>125.86</v>
      </c>
      <c r="P62" s="26">
        <v>624.41129999999998</v>
      </c>
      <c r="Q62" s="26">
        <v>184.13210000000001</v>
      </c>
      <c r="R62" s="26">
        <v>19.94943</v>
      </c>
      <c r="S62" s="26">
        <v>196.9768</v>
      </c>
      <c r="T62" s="26">
        <v>26.815950000000001</v>
      </c>
      <c r="U62" s="26">
        <v>150.10470000000001</v>
      </c>
      <c r="V62" s="26">
        <v>28.783740000000002</v>
      </c>
      <c r="W62" s="26">
        <v>80.344759999999994</v>
      </c>
      <c r="X62" s="26">
        <v>10.445040000000001</v>
      </c>
      <c r="Y62" s="26">
        <v>60.169939999999997</v>
      </c>
      <c r="Z62" s="26">
        <v>7.103885</v>
      </c>
      <c r="AA62" s="26">
        <v>1.6E-15</v>
      </c>
      <c r="AB62" s="26">
        <v>7.0500000000000001E-4</v>
      </c>
      <c r="AC62" s="26">
        <v>1.355E-2</v>
      </c>
      <c r="AD62" s="26">
        <v>4.4291479999999996</v>
      </c>
      <c r="AE62" s="26">
        <v>1.6144989999999999</v>
      </c>
      <c r="AF62" s="26">
        <v>5.0375240000000003</v>
      </c>
    </row>
    <row r="63" spans="1:32" s="2" customFormat="1">
      <c r="A63" s="23" t="s">
        <v>42</v>
      </c>
      <c r="B63" s="8" t="s">
        <v>396</v>
      </c>
      <c r="C63" s="9">
        <v>1.0677841154157801</v>
      </c>
      <c r="D63" s="9">
        <v>5.2198390285180703E-2</v>
      </c>
      <c r="E63" s="9">
        <v>0.53888063471824499</v>
      </c>
      <c r="F63" s="9">
        <v>1.8235648055416599E-2</v>
      </c>
      <c r="G63" s="9">
        <v>0.45415781079719703</v>
      </c>
      <c r="H63" s="8"/>
      <c r="I63" s="25">
        <v>2123.1480000000001</v>
      </c>
      <c r="J63" s="26">
        <v>0.68679400000000002</v>
      </c>
      <c r="K63" s="25">
        <v>824.1925</v>
      </c>
      <c r="L63" s="26">
        <v>-8.3000000000000002E-6</v>
      </c>
      <c r="M63" s="26">
        <v>329.14319999999998</v>
      </c>
      <c r="N63" s="26">
        <v>968.40120000000002</v>
      </c>
      <c r="O63" s="26">
        <v>142.49539999999999</v>
      </c>
      <c r="P63" s="26">
        <v>699.61270000000002</v>
      </c>
      <c r="Q63" s="26">
        <v>199.35140000000001</v>
      </c>
      <c r="R63" s="26">
        <v>19.970880000000001</v>
      </c>
      <c r="S63" s="26">
        <v>202.19470000000001</v>
      </c>
      <c r="T63" s="26">
        <v>28.018380000000001</v>
      </c>
      <c r="U63" s="26">
        <v>151.8201</v>
      </c>
      <c r="V63" s="26">
        <v>28.28173</v>
      </c>
      <c r="W63" s="26">
        <v>74.904780000000002</v>
      </c>
      <c r="X63" s="26">
        <v>9.5813229999999994</v>
      </c>
      <c r="Y63" s="26">
        <v>55.564129999999999</v>
      </c>
      <c r="Z63" s="26">
        <v>6.6617790000000001</v>
      </c>
      <c r="AA63" s="26">
        <v>-4.4E-16</v>
      </c>
      <c r="AB63" s="26">
        <v>2.317E-3</v>
      </c>
      <c r="AC63" s="26">
        <v>0.13295699999999999</v>
      </c>
      <c r="AD63" s="26">
        <v>4.7722990000000003</v>
      </c>
      <c r="AE63" s="26">
        <v>3.0172650000000001</v>
      </c>
      <c r="AF63" s="26">
        <v>6.0701689999999999</v>
      </c>
    </row>
    <row r="64" spans="1:32" s="2" customFormat="1">
      <c r="A64" s="23" t="s">
        <v>42</v>
      </c>
      <c r="B64" s="8" t="s">
        <v>397</v>
      </c>
      <c r="C64" s="9">
        <v>1.37791843961357</v>
      </c>
      <c r="D64" s="9">
        <v>5.16252835773435E-2</v>
      </c>
      <c r="E64" s="9">
        <v>0.41821736034514601</v>
      </c>
      <c r="F64" s="9">
        <v>1.83158303409349E-2</v>
      </c>
      <c r="G64" s="9">
        <v>0.11423434209743499</v>
      </c>
      <c r="H64" s="8"/>
      <c r="I64" s="25">
        <v>2312.4960000000001</v>
      </c>
      <c r="J64" s="26">
        <v>-0.26323999999999997</v>
      </c>
      <c r="K64" s="25">
        <v>750.82560000000001</v>
      </c>
      <c r="L64" s="26">
        <v>5.6899999999999995E-4</v>
      </c>
      <c r="M64" s="26">
        <v>308.6232</v>
      </c>
      <c r="N64" s="26">
        <v>949.36929999999995</v>
      </c>
      <c r="O64" s="26">
        <v>144.93299999999999</v>
      </c>
      <c r="P64" s="26">
        <v>740.50670000000002</v>
      </c>
      <c r="Q64" s="26">
        <v>200.50700000000001</v>
      </c>
      <c r="R64" s="26">
        <v>19.252040000000001</v>
      </c>
      <c r="S64" s="26">
        <v>196.7576</v>
      </c>
      <c r="T64" s="26">
        <v>25.95374</v>
      </c>
      <c r="U64" s="26">
        <v>139.1292</v>
      </c>
      <c r="V64" s="26">
        <v>25.781320000000001</v>
      </c>
      <c r="W64" s="26">
        <v>68.920419999999993</v>
      </c>
      <c r="X64" s="26">
        <v>8.7214130000000001</v>
      </c>
      <c r="Y64" s="26">
        <v>51.63391</v>
      </c>
      <c r="Z64" s="26">
        <v>6.0818380000000003</v>
      </c>
      <c r="AA64" s="26">
        <v>4.0047009999999998</v>
      </c>
      <c r="AB64" s="26">
        <v>5.0000000000000001E-4</v>
      </c>
      <c r="AC64" s="26">
        <v>0.22336800000000001</v>
      </c>
      <c r="AD64" s="26">
        <v>6.3627580000000004</v>
      </c>
      <c r="AE64" s="26">
        <v>5.0414370000000002</v>
      </c>
      <c r="AF64" s="26">
        <v>6.7098829999999996</v>
      </c>
    </row>
    <row r="65" spans="1:32" s="1" customFormat="1">
      <c r="A65" s="23"/>
      <c r="B65" s="23"/>
      <c r="C65" s="24"/>
      <c r="D65" s="24"/>
      <c r="E65" s="24"/>
      <c r="F65" s="24"/>
      <c r="G65" s="24"/>
      <c r="H65" s="23"/>
      <c r="I65" s="27"/>
      <c r="J65" s="28"/>
      <c r="K65" s="2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s="2" customFormat="1">
      <c r="A66" s="23" t="s">
        <v>39</v>
      </c>
      <c r="B66" s="8" t="s">
        <v>343</v>
      </c>
      <c r="C66" s="9">
        <v>1.22702644405452</v>
      </c>
      <c r="D66" s="9">
        <v>0.11052477305295599</v>
      </c>
      <c r="E66" s="9">
        <v>0.40210047083469103</v>
      </c>
      <c r="F66" s="9">
        <v>1.8562741452169199E-2</v>
      </c>
      <c r="G66" s="9">
        <v>-8.9648617001431397E-2</v>
      </c>
      <c r="H66" s="8"/>
      <c r="I66" s="25">
        <v>2161.7829999999999</v>
      </c>
      <c r="J66" s="26">
        <v>0.482186</v>
      </c>
      <c r="K66" s="25">
        <v>1171.1220000000001</v>
      </c>
      <c r="L66" s="26">
        <v>2.1459999999999999E-3</v>
      </c>
      <c r="M66" s="26">
        <v>32.292749999999998</v>
      </c>
      <c r="N66" s="26">
        <v>72.949250000000006</v>
      </c>
      <c r="O66" s="26">
        <v>10.206020000000001</v>
      </c>
      <c r="P66" s="26">
        <v>56.739319999999999</v>
      </c>
      <c r="Q66" s="26">
        <v>35.784739999999999</v>
      </c>
      <c r="R66" s="26">
        <v>18.70476</v>
      </c>
      <c r="S66" s="26">
        <v>95.926379999999995</v>
      </c>
      <c r="T66" s="26">
        <v>20.68018</v>
      </c>
      <c r="U66" s="26">
        <v>161.102</v>
      </c>
      <c r="V66" s="26">
        <v>38.387610000000002</v>
      </c>
      <c r="W66" s="26">
        <v>117.9819</v>
      </c>
      <c r="X66" s="26">
        <v>15.370229999999999</v>
      </c>
      <c r="Y66" s="26">
        <v>93.87079</v>
      </c>
      <c r="Z66" s="26">
        <v>12.17882</v>
      </c>
      <c r="AA66" s="26">
        <v>5.4199999999999999E-12</v>
      </c>
      <c r="AB66" s="26">
        <v>7.2319999999999997E-3</v>
      </c>
      <c r="AC66" s="26">
        <v>9.4190999999999997E-2</v>
      </c>
      <c r="AD66" s="26">
        <v>0.86393500000000001</v>
      </c>
      <c r="AE66" s="26">
        <v>4.3256379999999996</v>
      </c>
      <c r="AF66" s="26">
        <v>5.5154769999999997</v>
      </c>
    </row>
    <row r="67" spans="1:32" s="2" customFormat="1">
      <c r="A67" s="23" t="s">
        <v>39</v>
      </c>
      <c r="B67" s="8" t="s">
        <v>344</v>
      </c>
      <c r="C67" s="9">
        <v>1.34649375966882</v>
      </c>
      <c r="D67" s="9">
        <v>0.115782866769123</v>
      </c>
      <c r="E67" s="9">
        <v>0.421095812779477</v>
      </c>
      <c r="F67" s="9">
        <v>1.9799468589608599E-2</v>
      </c>
      <c r="G67" s="9">
        <v>-0.21009806460274399</v>
      </c>
      <c r="H67" s="8"/>
      <c r="I67" s="25">
        <v>2327.63</v>
      </c>
      <c r="J67" s="26">
        <v>1.737441</v>
      </c>
      <c r="K67" s="25">
        <v>495.8716</v>
      </c>
      <c r="L67" s="26">
        <v>1.6057999999999999E-2</v>
      </c>
      <c r="M67" s="26">
        <v>33.848410000000001</v>
      </c>
      <c r="N67" s="26">
        <v>87.154489999999996</v>
      </c>
      <c r="O67" s="26">
        <v>14.356809999999999</v>
      </c>
      <c r="P67" s="26">
        <v>95.460790000000003</v>
      </c>
      <c r="Q67" s="26">
        <v>44.971789999999999</v>
      </c>
      <c r="R67" s="26">
        <v>26.47214</v>
      </c>
      <c r="S67" s="26">
        <v>93.896450000000002</v>
      </c>
      <c r="T67" s="26">
        <v>15.0459</v>
      </c>
      <c r="U67" s="26">
        <v>94.535640000000001</v>
      </c>
      <c r="V67" s="26">
        <v>19.780329999999999</v>
      </c>
      <c r="W67" s="26">
        <v>49.270290000000003</v>
      </c>
      <c r="X67" s="26">
        <v>5.0851790000000001</v>
      </c>
      <c r="Y67" s="26">
        <v>26.972370000000002</v>
      </c>
      <c r="Z67" s="26">
        <v>3.7176640000000001</v>
      </c>
      <c r="AA67" s="26">
        <v>3.9900000000000002E-13</v>
      </c>
      <c r="AB67" s="26">
        <v>6.6699999999999995E-5</v>
      </c>
      <c r="AC67" s="26">
        <v>1.6516580000000001</v>
      </c>
      <c r="AD67" s="26">
        <v>0.45796900000000001</v>
      </c>
      <c r="AE67" s="26">
        <v>4.4842880000000003</v>
      </c>
      <c r="AF67" s="26">
        <v>5.2786059999999999</v>
      </c>
    </row>
    <row r="68" spans="1:32" s="2" customFormat="1">
      <c r="A68" s="23" t="s">
        <v>39</v>
      </c>
      <c r="B68" s="8" t="s">
        <v>358</v>
      </c>
      <c r="C68" s="9">
        <v>1.2557044465412901</v>
      </c>
      <c r="D68" s="9">
        <v>0.10418233005538199</v>
      </c>
      <c r="E68" s="9">
        <v>0.48254887728391699</v>
      </c>
      <c r="F68" s="9">
        <v>2.2037066492389901E-2</v>
      </c>
      <c r="G68" s="9">
        <v>-0.33318468466330597</v>
      </c>
      <c r="H68" s="8"/>
      <c r="I68" s="25">
        <v>2430.4929999999999</v>
      </c>
      <c r="J68" s="26">
        <v>1.735738</v>
      </c>
      <c r="K68" s="25">
        <v>1370.788</v>
      </c>
      <c r="L68" s="26">
        <v>3.2572999999999998E-2</v>
      </c>
      <c r="M68" s="26">
        <v>109.92659999999999</v>
      </c>
      <c r="N68" s="26">
        <v>358.87049999999999</v>
      </c>
      <c r="O68" s="26">
        <v>59.31729</v>
      </c>
      <c r="P68" s="26">
        <v>333.51249999999999</v>
      </c>
      <c r="Q68" s="26">
        <v>123.628</v>
      </c>
      <c r="R68" s="26">
        <v>18.06108</v>
      </c>
      <c r="S68" s="26">
        <v>181.19110000000001</v>
      </c>
      <c r="T68" s="26">
        <v>30.033919999999998</v>
      </c>
      <c r="U68" s="26">
        <v>198.6131</v>
      </c>
      <c r="V68" s="26">
        <v>44.566429999999997</v>
      </c>
      <c r="W68" s="26">
        <v>129.9588</v>
      </c>
      <c r="X68" s="26">
        <v>17.153649999999999</v>
      </c>
      <c r="Y68" s="26">
        <v>100.9868</v>
      </c>
      <c r="Z68" s="26">
        <v>12.370200000000001</v>
      </c>
      <c r="AA68" s="26">
        <v>-1.4999999999999999E-13</v>
      </c>
      <c r="AB68" s="26">
        <v>7.7629999999999999E-3</v>
      </c>
      <c r="AC68" s="26">
        <v>0.778416</v>
      </c>
      <c r="AD68" s="26">
        <v>3.5232939999999999</v>
      </c>
      <c r="AE68" s="26">
        <v>3.1740590000000002</v>
      </c>
      <c r="AF68" s="26">
        <v>4.8575369999999998</v>
      </c>
    </row>
    <row r="69" spans="1:32" s="2" customFormat="1">
      <c r="A69" s="23" t="s">
        <v>39</v>
      </c>
      <c r="B69" s="8" t="s">
        <v>350</v>
      </c>
      <c r="C69" s="9">
        <v>1.54600039982785</v>
      </c>
      <c r="D69" s="9">
        <v>0.12926557724513901</v>
      </c>
      <c r="E69" s="9">
        <v>0.31832335842474502</v>
      </c>
      <c r="F69" s="9">
        <v>1.1849406944495201E-2</v>
      </c>
      <c r="G69" s="9">
        <v>-0.40837673194382001</v>
      </c>
      <c r="H69" s="8"/>
      <c r="I69" s="25">
        <v>2506.0880000000002</v>
      </c>
      <c r="J69" s="26">
        <v>1.5479689999999999</v>
      </c>
      <c r="K69" s="25">
        <v>2073.5070000000001</v>
      </c>
      <c r="L69" s="26">
        <v>1.6760000000000001E-2</v>
      </c>
      <c r="M69" s="26">
        <v>206.00630000000001</v>
      </c>
      <c r="N69" s="26">
        <v>638.49199999999996</v>
      </c>
      <c r="O69" s="26">
        <v>101.7157</v>
      </c>
      <c r="P69" s="26">
        <v>547.36500000000001</v>
      </c>
      <c r="Q69" s="26">
        <v>222.3502</v>
      </c>
      <c r="R69" s="26">
        <v>15.8254</v>
      </c>
      <c r="S69" s="26">
        <v>340.0616</v>
      </c>
      <c r="T69" s="26">
        <v>59.706910000000001</v>
      </c>
      <c r="U69" s="26">
        <v>372.71140000000003</v>
      </c>
      <c r="V69" s="26">
        <v>72.969070000000002</v>
      </c>
      <c r="W69" s="26">
        <v>194.64230000000001</v>
      </c>
      <c r="X69" s="26">
        <v>23.49662</v>
      </c>
      <c r="Y69" s="26">
        <v>132.9967</v>
      </c>
      <c r="Z69" s="26">
        <v>16.035530000000001</v>
      </c>
      <c r="AA69" s="26">
        <v>0.111551</v>
      </c>
      <c r="AB69" s="26">
        <v>1.6875000000000001E-2</v>
      </c>
      <c r="AC69" s="26">
        <v>0.12810199999999999</v>
      </c>
      <c r="AD69" s="26">
        <v>4.3320939999999997</v>
      </c>
      <c r="AE69" s="26">
        <v>7.9164329999999996</v>
      </c>
      <c r="AF69" s="26">
        <v>7.5367050000000004</v>
      </c>
    </row>
    <row r="70" spans="1:32" s="2" customFormat="1">
      <c r="A70" s="23" t="s">
        <v>39</v>
      </c>
      <c r="B70" s="8" t="s">
        <v>345</v>
      </c>
      <c r="C70" s="9">
        <v>1.68174556872201</v>
      </c>
      <c r="D70" s="9">
        <v>0.13030805441950699</v>
      </c>
      <c r="E70" s="9">
        <v>0.24011399189803101</v>
      </c>
      <c r="F70" s="9">
        <v>6.8696897691284797E-3</v>
      </c>
      <c r="G70" s="9">
        <v>0.73380565721068902</v>
      </c>
      <c r="H70" s="8"/>
      <c r="I70" s="25">
        <v>2690.7069999999999</v>
      </c>
      <c r="J70" s="26">
        <v>1.8742369999999999</v>
      </c>
      <c r="K70" s="25">
        <v>1853.6690000000001</v>
      </c>
      <c r="L70" s="26">
        <v>-5.1999999999999995E-4</v>
      </c>
      <c r="M70" s="26">
        <v>120.05840000000001</v>
      </c>
      <c r="N70" s="26">
        <v>308.70609999999999</v>
      </c>
      <c r="O70" s="26">
        <v>43.816560000000003</v>
      </c>
      <c r="P70" s="26">
        <v>209.3004</v>
      </c>
      <c r="Q70" s="26">
        <v>96.019660000000002</v>
      </c>
      <c r="R70" s="26">
        <v>35.417110000000001</v>
      </c>
      <c r="S70" s="26">
        <v>175.79310000000001</v>
      </c>
      <c r="T70" s="26">
        <v>38.253900000000002</v>
      </c>
      <c r="U70" s="26">
        <v>280.43279999999999</v>
      </c>
      <c r="V70" s="26">
        <v>62.043050000000001</v>
      </c>
      <c r="W70" s="26">
        <v>176.58459999999999</v>
      </c>
      <c r="X70" s="26">
        <v>22.977209999999999</v>
      </c>
      <c r="Y70" s="26">
        <v>135.88720000000001</v>
      </c>
      <c r="Z70" s="26">
        <v>16.940619999999999</v>
      </c>
      <c r="AA70" s="26">
        <v>-1E-14</v>
      </c>
      <c r="AB70" s="26">
        <v>8.8719999999999997E-3</v>
      </c>
      <c r="AC70" s="26">
        <v>0.56316600000000006</v>
      </c>
      <c r="AD70" s="26">
        <v>3.4304969999999999</v>
      </c>
      <c r="AE70" s="26">
        <v>28.04241</v>
      </c>
      <c r="AF70" s="26">
        <v>19.263649999999998</v>
      </c>
    </row>
    <row r="71" spans="1:32" s="2" customFormat="1">
      <c r="A71" s="23" t="s">
        <v>39</v>
      </c>
      <c r="B71" s="8" t="s">
        <v>351</v>
      </c>
      <c r="C71" s="9">
        <v>1.28274212378199</v>
      </c>
      <c r="D71" s="9">
        <v>0.108129605984132</v>
      </c>
      <c r="E71" s="9">
        <v>0.43781906309423002</v>
      </c>
      <c r="F71" s="9">
        <v>2.0396442347809601E-2</v>
      </c>
      <c r="G71" s="9">
        <v>-0.42489453982906</v>
      </c>
      <c r="H71" s="8"/>
      <c r="I71" s="25">
        <v>2430.3809999999999</v>
      </c>
      <c r="J71" s="26">
        <v>1.6562619999999999</v>
      </c>
      <c r="K71" s="25">
        <v>1683.1079999999999</v>
      </c>
      <c r="L71" s="26">
        <v>-3.0500000000000002E-3</v>
      </c>
      <c r="M71" s="26">
        <v>166.26679999999999</v>
      </c>
      <c r="N71" s="26">
        <v>530.84659999999997</v>
      </c>
      <c r="O71" s="26">
        <v>87.760230000000007</v>
      </c>
      <c r="P71" s="26">
        <v>482.50029999999998</v>
      </c>
      <c r="Q71" s="26">
        <v>186.96469999999999</v>
      </c>
      <c r="R71" s="26">
        <v>17.769870000000001</v>
      </c>
      <c r="S71" s="26">
        <v>268.83839999999998</v>
      </c>
      <c r="T71" s="26">
        <v>45.158920000000002</v>
      </c>
      <c r="U71" s="26">
        <v>280.6026</v>
      </c>
      <c r="V71" s="26">
        <v>57.589060000000003</v>
      </c>
      <c r="W71" s="26">
        <v>161.29830000000001</v>
      </c>
      <c r="X71" s="26">
        <v>20.62566</v>
      </c>
      <c r="Y71" s="26">
        <v>121.26009999999999</v>
      </c>
      <c r="Z71" s="26">
        <v>14.81467</v>
      </c>
      <c r="AA71" s="26">
        <v>7.0140999999999995E-2</v>
      </c>
      <c r="AB71" s="26">
        <v>8.6800000000000002E-3</v>
      </c>
      <c r="AC71" s="26">
        <v>0.23391700000000001</v>
      </c>
      <c r="AD71" s="26">
        <v>4.2740179999999999</v>
      </c>
      <c r="AE71" s="26">
        <v>3.7019850000000001</v>
      </c>
      <c r="AF71" s="26">
        <v>5.2400419999999999</v>
      </c>
    </row>
    <row r="72" spans="1:32" s="2" customFormat="1">
      <c r="A72" s="23" t="s">
        <v>39</v>
      </c>
      <c r="B72" s="8" t="s">
        <v>346</v>
      </c>
      <c r="C72" s="9">
        <v>1.30296061669507</v>
      </c>
      <c r="D72" s="9">
        <v>0.10655416165008399</v>
      </c>
      <c r="E72" s="9">
        <v>0.39000443948174601</v>
      </c>
      <c r="F72" s="9">
        <v>1.6513929675809998E-2</v>
      </c>
      <c r="G72" s="9">
        <v>-0.197340935679683</v>
      </c>
      <c r="H72" s="8"/>
      <c r="I72" s="25">
        <v>2380.23</v>
      </c>
      <c r="J72" s="26">
        <v>1.1734830000000001</v>
      </c>
      <c r="K72" s="25">
        <v>2019.0889999999999</v>
      </c>
      <c r="L72" s="26">
        <v>1.4791E-2</v>
      </c>
      <c r="M72" s="26">
        <v>186.8948</v>
      </c>
      <c r="N72" s="26">
        <v>570.12210000000005</v>
      </c>
      <c r="O72" s="26">
        <v>92.907179999999997</v>
      </c>
      <c r="P72" s="26">
        <v>518.91629999999998</v>
      </c>
      <c r="Q72" s="26">
        <v>229.64250000000001</v>
      </c>
      <c r="R72" s="26">
        <v>12.549810000000001</v>
      </c>
      <c r="S72" s="26">
        <v>348.79199999999997</v>
      </c>
      <c r="T72" s="26">
        <v>62.752200000000002</v>
      </c>
      <c r="U72" s="26">
        <v>375.38249999999999</v>
      </c>
      <c r="V72" s="26">
        <v>70.144139999999993</v>
      </c>
      <c r="W72" s="26">
        <v>173.77330000000001</v>
      </c>
      <c r="X72" s="26">
        <v>19.862939999999998</v>
      </c>
      <c r="Y72" s="26">
        <v>111.15949999999999</v>
      </c>
      <c r="Z72" s="26">
        <v>13.265309999999999</v>
      </c>
      <c r="AA72" s="26">
        <v>-5.3000000000000003E-16</v>
      </c>
      <c r="AB72" s="26">
        <v>1.6764000000000001E-2</v>
      </c>
      <c r="AC72" s="26">
        <v>0.40788099999999999</v>
      </c>
      <c r="AD72" s="26">
        <v>3.2164299999999999</v>
      </c>
      <c r="AE72" s="26">
        <v>5.2525849999999998</v>
      </c>
      <c r="AF72" s="26">
        <v>6.2650540000000001</v>
      </c>
    </row>
    <row r="73" spans="1:32" s="2" customFormat="1">
      <c r="A73" s="23" t="s">
        <v>39</v>
      </c>
      <c r="B73" s="8" t="s">
        <v>359</v>
      </c>
      <c r="C73" s="9">
        <v>1.62907791019745</v>
      </c>
      <c r="D73" s="9">
        <v>0.12507062812178599</v>
      </c>
      <c r="E73" s="9">
        <v>0.27756487139626701</v>
      </c>
      <c r="F73" s="9">
        <v>8.5739705426045795E-3</v>
      </c>
      <c r="G73" s="9">
        <v>0.30697016269677901</v>
      </c>
      <c r="H73" s="8"/>
      <c r="I73" s="25">
        <v>2749.6680000000001</v>
      </c>
      <c r="J73" s="26">
        <v>0.66437199999999996</v>
      </c>
      <c r="K73" s="25">
        <v>2714.4569999999999</v>
      </c>
      <c r="L73" s="26">
        <v>-4.3999999999999999E-5</v>
      </c>
      <c r="M73" s="26">
        <v>283.00279999999998</v>
      </c>
      <c r="N73" s="26">
        <v>885.69770000000005</v>
      </c>
      <c r="O73" s="26">
        <v>140.91650000000001</v>
      </c>
      <c r="P73" s="26">
        <v>748.01279999999997</v>
      </c>
      <c r="Q73" s="26">
        <v>321.77859999999998</v>
      </c>
      <c r="R73" s="26">
        <v>19.390319999999999</v>
      </c>
      <c r="S73" s="26">
        <v>493.63099999999997</v>
      </c>
      <c r="T73" s="26">
        <v>88.033630000000002</v>
      </c>
      <c r="U73" s="26">
        <v>534.38969999999995</v>
      </c>
      <c r="V73" s="26">
        <v>100.1489</v>
      </c>
      <c r="W73" s="26">
        <v>247.4436</v>
      </c>
      <c r="X73" s="26">
        <v>28.507390000000001</v>
      </c>
      <c r="Y73" s="26">
        <v>155.8682</v>
      </c>
      <c r="Z73" s="26">
        <v>18.28548</v>
      </c>
      <c r="AA73" s="26">
        <v>2.2547999999999999E-2</v>
      </c>
      <c r="AB73" s="26">
        <v>2.2898999999999999E-2</v>
      </c>
      <c r="AC73" s="26">
        <v>0.144562</v>
      </c>
      <c r="AD73" s="26">
        <v>8.1784759999999999</v>
      </c>
      <c r="AE73" s="26">
        <v>12.48129</v>
      </c>
      <c r="AF73" s="26">
        <v>11.004189999999999</v>
      </c>
    </row>
    <row r="74" spans="1:32" s="2" customFormat="1">
      <c r="A74" s="23" t="s">
        <v>39</v>
      </c>
      <c r="B74" s="8" t="s">
        <v>352</v>
      </c>
      <c r="C74" s="9">
        <v>1.62739975235907</v>
      </c>
      <c r="D74" s="9">
        <v>0.13476244933100701</v>
      </c>
      <c r="E74" s="9">
        <v>0.30719092061513198</v>
      </c>
      <c r="F74" s="9">
        <v>1.14654765743432E-2</v>
      </c>
      <c r="G74" s="9">
        <v>0.34123124837462698</v>
      </c>
      <c r="H74" s="8"/>
      <c r="I74" s="25">
        <v>2571.91</v>
      </c>
      <c r="J74" s="26">
        <v>0.65612400000000004</v>
      </c>
      <c r="K74" s="25">
        <v>2457.759</v>
      </c>
      <c r="L74" s="26">
        <v>1.9668999999999999E-2</v>
      </c>
      <c r="M74" s="26">
        <v>249.35550000000001</v>
      </c>
      <c r="N74" s="26">
        <v>693.61</v>
      </c>
      <c r="O74" s="26">
        <v>99.525239999999997</v>
      </c>
      <c r="P74" s="26">
        <v>500.4676</v>
      </c>
      <c r="Q74" s="26">
        <v>210.4494</v>
      </c>
      <c r="R74" s="26">
        <v>17.833379999999998</v>
      </c>
      <c r="S74" s="26">
        <v>354.21749999999997</v>
      </c>
      <c r="T74" s="26">
        <v>66.993390000000005</v>
      </c>
      <c r="U74" s="26">
        <v>436.3202</v>
      </c>
      <c r="V74" s="26">
        <v>88.600440000000006</v>
      </c>
      <c r="W74" s="26">
        <v>235.8946</v>
      </c>
      <c r="X74" s="26">
        <v>27.84205</v>
      </c>
      <c r="Y74" s="26">
        <v>153.05080000000001</v>
      </c>
      <c r="Z74" s="26">
        <v>18.376190000000001</v>
      </c>
      <c r="AA74" s="26">
        <v>5.6300999999999997E-2</v>
      </c>
      <c r="AB74" s="26">
        <v>1.9161000000000001E-2</v>
      </c>
      <c r="AC74" s="26">
        <v>0.38839699999999999</v>
      </c>
      <c r="AD74" s="26">
        <v>7.6763170000000001</v>
      </c>
      <c r="AE74" s="26">
        <v>8.8383789999999998</v>
      </c>
      <c r="AF74" s="26">
        <v>8.5929500000000001</v>
      </c>
    </row>
    <row r="75" spans="1:32" s="2" customFormat="1">
      <c r="A75" s="23" t="s">
        <v>39</v>
      </c>
      <c r="B75" s="8" t="s">
        <v>360</v>
      </c>
      <c r="C75" s="9">
        <v>1.22237467497466</v>
      </c>
      <c r="D75" s="9">
        <v>0.10547088114882799</v>
      </c>
      <c r="E75" s="9">
        <v>0.40898791150549202</v>
      </c>
      <c r="F75" s="9">
        <v>2.06333536189717E-2</v>
      </c>
      <c r="G75" s="9">
        <v>-0.25289351300081298</v>
      </c>
      <c r="H75" s="8"/>
      <c r="I75" s="25">
        <v>2211.8009999999999</v>
      </c>
      <c r="J75" s="26">
        <v>1.037625</v>
      </c>
      <c r="K75" s="25">
        <v>971.92880000000002</v>
      </c>
      <c r="L75" s="26">
        <v>2.6394000000000001E-2</v>
      </c>
      <c r="M75" s="26">
        <v>47.980440000000002</v>
      </c>
      <c r="N75" s="26">
        <v>134.59979999999999</v>
      </c>
      <c r="O75" s="26">
        <v>23.33616</v>
      </c>
      <c r="P75" s="26">
        <v>152.68289999999999</v>
      </c>
      <c r="Q75" s="26">
        <v>72.313500000000005</v>
      </c>
      <c r="R75" s="26">
        <v>17.44013</v>
      </c>
      <c r="S75" s="26">
        <v>142.05269999999999</v>
      </c>
      <c r="T75" s="26">
        <v>24.54936</v>
      </c>
      <c r="U75" s="26">
        <v>160.46119999999999</v>
      </c>
      <c r="V75" s="26">
        <v>34.357840000000003</v>
      </c>
      <c r="W75" s="26">
        <v>92.136229999999998</v>
      </c>
      <c r="X75" s="26">
        <v>10.88517</v>
      </c>
      <c r="Y75" s="26">
        <v>60.153910000000003</v>
      </c>
      <c r="Z75" s="26">
        <v>8.1713480000000001</v>
      </c>
      <c r="AA75" s="26">
        <v>-1.1999999999999999E-14</v>
      </c>
      <c r="AB75" s="26">
        <v>4.751E-3</v>
      </c>
      <c r="AC75" s="26">
        <v>5.3827E-2</v>
      </c>
      <c r="AD75" s="26">
        <v>0.33162199999999997</v>
      </c>
      <c r="AE75" s="26">
        <v>3.444293</v>
      </c>
      <c r="AF75" s="26">
        <v>4.3774699999999998</v>
      </c>
    </row>
    <row r="76" spans="1:32" s="2" customFormat="1">
      <c r="A76" s="23" t="s">
        <v>39</v>
      </c>
      <c r="B76" s="8" t="s">
        <v>361</v>
      </c>
      <c r="C76" s="9">
        <v>1.4819831071443701</v>
      </c>
      <c r="D76" s="9">
        <v>0.125575244861237</v>
      </c>
      <c r="E76" s="9">
        <v>0.33530722994997803</v>
      </c>
      <c r="F76" s="9">
        <v>1.5705839913611401E-2</v>
      </c>
      <c r="G76" s="9">
        <v>-0.17615569377229201</v>
      </c>
      <c r="H76" s="8"/>
      <c r="I76" s="25">
        <v>2341.3870000000002</v>
      </c>
      <c r="J76" s="26">
        <v>1.0594140000000001</v>
      </c>
      <c r="K76" s="25">
        <v>1451.7739999999999</v>
      </c>
      <c r="L76" s="26">
        <v>9.8840000000000004E-3</v>
      </c>
      <c r="M76" s="26">
        <v>159.49850000000001</v>
      </c>
      <c r="N76" s="26">
        <v>381.78960000000001</v>
      </c>
      <c r="O76" s="26">
        <v>50.848390000000002</v>
      </c>
      <c r="P76" s="26">
        <v>240.261</v>
      </c>
      <c r="Q76" s="26">
        <v>96.933980000000005</v>
      </c>
      <c r="R76" s="26">
        <v>16.38824</v>
      </c>
      <c r="S76" s="26">
        <v>166.61500000000001</v>
      </c>
      <c r="T76" s="26">
        <v>32.410420000000002</v>
      </c>
      <c r="U76" s="26">
        <v>229.00710000000001</v>
      </c>
      <c r="V76" s="26">
        <v>50.567920000000001</v>
      </c>
      <c r="W76" s="26">
        <v>145.3563</v>
      </c>
      <c r="X76" s="26">
        <v>18.015820000000001</v>
      </c>
      <c r="Y76" s="26">
        <v>104.1828</v>
      </c>
      <c r="Z76" s="26">
        <v>13.15096</v>
      </c>
      <c r="AA76" s="26">
        <v>4E-14</v>
      </c>
      <c r="AB76" s="26">
        <v>8.4049999999999993E-3</v>
      </c>
      <c r="AC76" s="26">
        <v>0.29107699999999997</v>
      </c>
      <c r="AD76" s="26">
        <v>3.0049969999999999</v>
      </c>
      <c r="AE76" s="26">
        <v>6.598808</v>
      </c>
      <c r="AF76" s="26">
        <v>6.5317080000000001</v>
      </c>
    </row>
    <row r="77" spans="1:32" s="2" customFormat="1">
      <c r="A77" s="23" t="s">
        <v>39</v>
      </c>
      <c r="B77" s="8" t="s">
        <v>347</v>
      </c>
      <c r="C77" s="9">
        <v>1.1767963278756699</v>
      </c>
      <c r="D77" s="9">
        <v>0.105373197244715</v>
      </c>
      <c r="E77" s="9">
        <v>0.46252826076470999</v>
      </c>
      <c r="F77" s="9">
        <v>2.1555608857711399E-2</v>
      </c>
      <c r="G77" s="9">
        <v>-0.44274436011665802</v>
      </c>
      <c r="H77" s="8"/>
      <c r="I77" s="25">
        <v>2276.951</v>
      </c>
      <c r="J77" s="26">
        <v>0.42296899999999998</v>
      </c>
      <c r="K77" s="25">
        <v>1666.2940000000001</v>
      </c>
      <c r="L77" s="26">
        <v>-3.4999999999999997E-5</v>
      </c>
      <c r="M77" s="26">
        <v>178.10759999999999</v>
      </c>
      <c r="N77" s="26">
        <v>551.29750000000001</v>
      </c>
      <c r="O77" s="26">
        <v>88.131799999999998</v>
      </c>
      <c r="P77" s="26">
        <v>462.26530000000002</v>
      </c>
      <c r="Q77" s="26">
        <v>180.5384</v>
      </c>
      <c r="R77" s="26">
        <v>14.400119999999999</v>
      </c>
      <c r="S77" s="26">
        <v>254.005</v>
      </c>
      <c r="T77" s="26">
        <v>44.201059999999998</v>
      </c>
      <c r="U77" s="26">
        <v>284.36700000000002</v>
      </c>
      <c r="V77" s="26">
        <v>57.276539999999997</v>
      </c>
      <c r="W77" s="26">
        <v>156.93289999999999</v>
      </c>
      <c r="X77" s="26">
        <v>19.930299999999999</v>
      </c>
      <c r="Y77" s="26">
        <v>117.2497</v>
      </c>
      <c r="Z77" s="26">
        <v>14.5441</v>
      </c>
      <c r="AA77" s="26">
        <v>3.2320000000000001E-3</v>
      </c>
      <c r="AB77" s="26">
        <v>6.8960000000000002E-3</v>
      </c>
      <c r="AC77" s="26">
        <v>7.4348999999999998E-2</v>
      </c>
      <c r="AD77" s="26">
        <v>3.6957939999999998</v>
      </c>
      <c r="AE77" s="26">
        <v>3.035263</v>
      </c>
      <c r="AF77" s="26">
        <v>4.9116039999999996</v>
      </c>
    </row>
    <row r="78" spans="1:32" s="2" customFormat="1">
      <c r="A78" s="23" t="s">
        <v>39</v>
      </c>
      <c r="B78" s="8" t="s">
        <v>353</v>
      </c>
      <c r="C78" s="9">
        <v>1.4905142457368801</v>
      </c>
      <c r="D78" s="9">
        <v>0.12506786083822199</v>
      </c>
      <c r="E78" s="9">
        <v>0.35225258410554</v>
      </c>
      <c r="F78" s="9">
        <v>1.5130135458460699E-2</v>
      </c>
      <c r="G78" s="9">
        <v>-0.33792910953946498</v>
      </c>
      <c r="H78" s="8"/>
      <c r="I78" s="25">
        <v>2571.21</v>
      </c>
      <c r="J78" s="26">
        <v>1.0493840000000001</v>
      </c>
      <c r="K78" s="25">
        <v>1904.9469999999999</v>
      </c>
      <c r="L78" s="26">
        <v>1.9095000000000001E-2</v>
      </c>
      <c r="M78" s="26">
        <v>113.3643</v>
      </c>
      <c r="N78" s="26">
        <v>369.9289</v>
      </c>
      <c r="O78" s="26">
        <v>64.539609999999996</v>
      </c>
      <c r="P78" s="26">
        <v>380.05770000000001</v>
      </c>
      <c r="Q78" s="26">
        <v>178.14750000000001</v>
      </c>
      <c r="R78" s="26">
        <v>15.19013</v>
      </c>
      <c r="S78" s="26">
        <v>296.0949</v>
      </c>
      <c r="T78" s="26">
        <v>53.4726</v>
      </c>
      <c r="U78" s="26">
        <v>339.28710000000001</v>
      </c>
      <c r="V78" s="26">
        <v>67.437169999999995</v>
      </c>
      <c r="W78" s="26">
        <v>176.70599999999999</v>
      </c>
      <c r="X78" s="26">
        <v>20.767690000000002</v>
      </c>
      <c r="Y78" s="26">
        <v>112.9395</v>
      </c>
      <c r="Z78" s="26">
        <v>13.49503</v>
      </c>
      <c r="AA78" s="26">
        <v>3.411E-3</v>
      </c>
      <c r="AB78" s="26">
        <v>1.1591000000000001E-2</v>
      </c>
      <c r="AC78" s="26">
        <v>0.791655</v>
      </c>
      <c r="AD78" s="26">
        <v>6.9366469999999998</v>
      </c>
      <c r="AE78" s="26">
        <v>6.402266</v>
      </c>
      <c r="AF78" s="26">
        <v>6.8673859999999998</v>
      </c>
    </row>
    <row r="79" spans="1:32" s="2" customFormat="1">
      <c r="A79" s="23" t="s">
        <v>39</v>
      </c>
      <c r="B79" s="8" t="s">
        <v>354</v>
      </c>
      <c r="C79" s="9">
        <v>1.72210325551973</v>
      </c>
      <c r="D79" s="9">
        <v>0.13414539953622301</v>
      </c>
      <c r="E79" s="9">
        <v>0.259466134216713</v>
      </c>
      <c r="F79" s="9">
        <v>8.2194366209346996E-3</v>
      </c>
      <c r="G79" s="9">
        <v>0.25504863862789001</v>
      </c>
      <c r="H79" s="8"/>
      <c r="I79" s="25">
        <v>2895.3679999999999</v>
      </c>
      <c r="J79" s="26">
        <v>0.78664999999999996</v>
      </c>
      <c r="K79" s="25">
        <v>2843.9639999999999</v>
      </c>
      <c r="L79" s="26">
        <v>1.4642000000000001E-2</v>
      </c>
      <c r="M79" s="26">
        <v>304.38670000000002</v>
      </c>
      <c r="N79" s="26">
        <v>946.51310000000001</v>
      </c>
      <c r="O79" s="26">
        <v>147.11240000000001</v>
      </c>
      <c r="P79" s="26">
        <v>772.49030000000005</v>
      </c>
      <c r="Q79" s="26">
        <v>307.69110000000001</v>
      </c>
      <c r="R79" s="26">
        <v>22.34263</v>
      </c>
      <c r="S79" s="26">
        <v>464.84769999999997</v>
      </c>
      <c r="T79" s="26">
        <v>83.744609999999994</v>
      </c>
      <c r="U79" s="26">
        <v>518.77930000000003</v>
      </c>
      <c r="V79" s="26">
        <v>101.7359</v>
      </c>
      <c r="W79" s="26">
        <v>272.95319999999998</v>
      </c>
      <c r="X79" s="26">
        <v>33.645189999999999</v>
      </c>
      <c r="Y79" s="26">
        <v>197.95689999999999</v>
      </c>
      <c r="Z79" s="26">
        <v>24.095549999999999</v>
      </c>
      <c r="AA79" s="26">
        <v>5.6404000000000003E-2</v>
      </c>
      <c r="AB79" s="26">
        <v>2.0985E-2</v>
      </c>
      <c r="AC79" s="26">
        <v>0.25010700000000002</v>
      </c>
      <c r="AD79" s="26">
        <v>9.6932969999999994</v>
      </c>
      <c r="AE79" s="26">
        <v>15.974259999999999</v>
      </c>
      <c r="AF79" s="26">
        <v>12.819750000000001</v>
      </c>
    </row>
    <row r="80" spans="1:32" s="2" customFormat="1">
      <c r="A80" s="23" t="s">
        <v>39</v>
      </c>
      <c r="B80" s="8" t="s">
        <v>355</v>
      </c>
      <c r="C80" s="9">
        <v>1.1042354821253699</v>
      </c>
      <c r="D80" s="9">
        <v>9.9918834913236401E-2</v>
      </c>
      <c r="E80" s="9">
        <v>0.46972825413396602</v>
      </c>
      <c r="F80" s="9">
        <v>2.52690768300422E-2</v>
      </c>
      <c r="G80" s="9">
        <v>-0.33208655869458797</v>
      </c>
      <c r="H80" s="8"/>
      <c r="I80" s="25">
        <v>2099.3000000000002</v>
      </c>
      <c r="J80" s="26">
        <v>0.74563299999999999</v>
      </c>
      <c r="K80" s="25">
        <v>1633.6310000000001</v>
      </c>
      <c r="L80" s="26">
        <v>8.5229999999999993E-3</v>
      </c>
      <c r="M80" s="26">
        <v>150.22389999999999</v>
      </c>
      <c r="N80" s="26">
        <v>455.74439999999998</v>
      </c>
      <c r="O80" s="26">
        <v>74.57741</v>
      </c>
      <c r="P80" s="26">
        <v>413.14659999999998</v>
      </c>
      <c r="Q80" s="26">
        <v>178.7456</v>
      </c>
      <c r="R80" s="26">
        <v>12.077719999999999</v>
      </c>
      <c r="S80" s="26">
        <v>283.1447</v>
      </c>
      <c r="T80" s="26">
        <v>49.945529999999998</v>
      </c>
      <c r="U80" s="26">
        <v>310.74520000000001</v>
      </c>
      <c r="V80" s="26">
        <v>58.312240000000003</v>
      </c>
      <c r="W80" s="26">
        <v>148.2859</v>
      </c>
      <c r="X80" s="26">
        <v>16.819140000000001</v>
      </c>
      <c r="Y80" s="26">
        <v>91.944429999999997</v>
      </c>
      <c r="Z80" s="26">
        <v>10.662280000000001</v>
      </c>
      <c r="AA80" s="26">
        <v>4.463E-3</v>
      </c>
      <c r="AB80" s="26">
        <v>1.1790999999999999E-2</v>
      </c>
      <c r="AC80" s="26">
        <v>8.9917999999999998E-2</v>
      </c>
      <c r="AD80" s="26">
        <v>2.1062180000000001</v>
      </c>
      <c r="AE80" s="26">
        <v>2.906984</v>
      </c>
      <c r="AF80" s="26">
        <v>4.8666710000000002</v>
      </c>
    </row>
    <row r="81" spans="1:32" s="2" customFormat="1">
      <c r="A81" s="23" t="s">
        <v>39</v>
      </c>
      <c r="B81" s="8" t="s">
        <v>362</v>
      </c>
      <c r="C81" s="9">
        <v>1.66781758778761</v>
      </c>
      <c r="D81" s="9">
        <v>0.13475550257319699</v>
      </c>
      <c r="E81" s="9">
        <v>0.26872556822421201</v>
      </c>
      <c r="F81" s="9">
        <v>1.01348116681975E-2</v>
      </c>
      <c r="G81" s="9">
        <v>0.56194369745822004</v>
      </c>
      <c r="H81" s="8"/>
      <c r="I81" s="25">
        <v>2720.3710000000001</v>
      </c>
      <c r="J81" s="26">
        <v>0.78655600000000003</v>
      </c>
      <c r="K81" s="25">
        <v>2662.2370000000001</v>
      </c>
      <c r="L81" s="26">
        <v>-2.9099999999999998E-3</v>
      </c>
      <c r="M81" s="26">
        <v>269.24250000000001</v>
      </c>
      <c r="N81" s="26">
        <v>833.48699999999997</v>
      </c>
      <c r="O81" s="26">
        <v>131.02279999999999</v>
      </c>
      <c r="P81" s="26">
        <v>691.95630000000006</v>
      </c>
      <c r="Q81" s="26">
        <v>293.62959999999998</v>
      </c>
      <c r="R81" s="26">
        <v>19.73423</v>
      </c>
      <c r="S81" s="26">
        <v>448.57530000000003</v>
      </c>
      <c r="T81" s="26">
        <v>82.135760000000005</v>
      </c>
      <c r="U81" s="26">
        <v>507.7645</v>
      </c>
      <c r="V81" s="26">
        <v>97.514080000000007</v>
      </c>
      <c r="W81" s="26">
        <v>247.84309999999999</v>
      </c>
      <c r="X81" s="26">
        <v>29.264469999999999</v>
      </c>
      <c r="Y81" s="26">
        <v>162.94919999999999</v>
      </c>
      <c r="Z81" s="26">
        <v>19.207550000000001</v>
      </c>
      <c r="AA81" s="26">
        <v>2.4728E-2</v>
      </c>
      <c r="AB81" s="26">
        <v>1.4172000000000001E-2</v>
      </c>
      <c r="AC81" s="26">
        <v>0.12597900000000001</v>
      </c>
      <c r="AD81" s="26">
        <v>7.2736280000000004</v>
      </c>
      <c r="AE81" s="26">
        <v>14.8508</v>
      </c>
      <c r="AF81" s="26">
        <v>12.065530000000001</v>
      </c>
    </row>
    <row r="82" spans="1:32" s="2" customFormat="1">
      <c r="A82" s="23" t="s">
        <v>39</v>
      </c>
      <c r="B82" s="8" t="s">
        <v>356</v>
      </c>
      <c r="C82" s="9">
        <v>1.83101086415921</v>
      </c>
      <c r="D82" s="9">
        <v>0.14706566292041501</v>
      </c>
      <c r="E82" s="9">
        <v>0.240652758000027</v>
      </c>
      <c r="F82" s="9">
        <v>7.3310351397438403E-3</v>
      </c>
      <c r="G82" s="9">
        <v>0.325610211965768</v>
      </c>
      <c r="H82" s="8"/>
      <c r="I82" s="25">
        <v>2427.5250000000001</v>
      </c>
      <c r="J82" s="26">
        <v>1.125043</v>
      </c>
      <c r="K82" s="25">
        <v>2202.48</v>
      </c>
      <c r="L82" s="26">
        <v>-3.15E-3</v>
      </c>
      <c r="M82" s="26">
        <v>266.43979999999999</v>
      </c>
      <c r="N82" s="26">
        <v>880.40719999999999</v>
      </c>
      <c r="O82" s="26">
        <v>138.52340000000001</v>
      </c>
      <c r="P82" s="26">
        <v>703.59580000000005</v>
      </c>
      <c r="Q82" s="26">
        <v>260.62380000000002</v>
      </c>
      <c r="R82" s="26">
        <v>25.948160000000001</v>
      </c>
      <c r="S82" s="26">
        <v>353.7835</v>
      </c>
      <c r="T82" s="26">
        <v>61.155990000000003</v>
      </c>
      <c r="U82" s="26">
        <v>377.95479999999998</v>
      </c>
      <c r="V82" s="26">
        <v>74.245040000000003</v>
      </c>
      <c r="W82" s="26">
        <v>202.54949999999999</v>
      </c>
      <c r="X82" s="26">
        <v>26.63458</v>
      </c>
      <c r="Y82" s="26">
        <v>162.65620000000001</v>
      </c>
      <c r="Z82" s="26">
        <v>19.948160000000001</v>
      </c>
      <c r="AA82" s="26">
        <v>-4.8E-9</v>
      </c>
      <c r="AB82" s="26">
        <v>1.4749999999999999E-2</v>
      </c>
      <c r="AC82" s="26">
        <v>0.13481299999999999</v>
      </c>
      <c r="AD82" s="26">
        <v>8.9343489999999992</v>
      </c>
      <c r="AE82" s="26">
        <v>19.388760000000001</v>
      </c>
      <c r="AF82" s="26">
        <v>13.995850000000001</v>
      </c>
    </row>
    <row r="83" spans="1:32" s="2" customFormat="1">
      <c r="A83" s="23" t="s">
        <v>39</v>
      </c>
      <c r="B83" s="13" t="s">
        <v>417</v>
      </c>
      <c r="C83" s="9">
        <v>1.4616424575957601</v>
      </c>
      <c r="D83" s="9">
        <v>0.103536215063826</v>
      </c>
      <c r="E83" s="9">
        <v>0.42011275679238702</v>
      </c>
      <c r="F83" s="9">
        <v>2.43868661357266E-2</v>
      </c>
      <c r="G83" s="9">
        <v>0.53155547018930205</v>
      </c>
      <c r="H83" s="8"/>
      <c r="I83" s="29">
        <v>2394.1223019041299</v>
      </c>
      <c r="J83" s="30">
        <v>0.83317503703469498</v>
      </c>
      <c r="K83" s="29">
        <v>1054.4513871542499</v>
      </c>
      <c r="L83" s="30">
        <v>1.35348306985516E-2</v>
      </c>
      <c r="M83" s="30">
        <v>57.075831628885503</v>
      </c>
      <c r="N83" s="30">
        <v>160.415876661802</v>
      </c>
      <c r="O83" s="30">
        <v>25.001378037237501</v>
      </c>
      <c r="P83" s="30">
        <v>136.46694494842001</v>
      </c>
      <c r="Q83" s="30">
        <v>66.128653658284193</v>
      </c>
      <c r="R83" s="30">
        <v>8.6722030272849508</v>
      </c>
      <c r="S83" s="30">
        <v>133.66652881344601</v>
      </c>
      <c r="T83" s="30">
        <v>25.258917193203398</v>
      </c>
      <c r="U83" s="30">
        <v>173.47011505016999</v>
      </c>
      <c r="V83" s="30">
        <v>37.6759236405588</v>
      </c>
      <c r="W83" s="30">
        <v>100.877488745256</v>
      </c>
      <c r="X83" s="30">
        <v>11.7178191813185</v>
      </c>
      <c r="Y83" s="30">
        <v>64.100203339724501</v>
      </c>
      <c r="Z83" s="30">
        <v>7.8584713025823403</v>
      </c>
      <c r="AA83" s="30">
        <v>1.10562171207833E-2</v>
      </c>
      <c r="AB83" s="30">
        <v>2.6501409940271701E-3</v>
      </c>
      <c r="AC83" s="30">
        <v>0.39483751194287098</v>
      </c>
      <c r="AD83" s="30">
        <v>1.6301755276927601</v>
      </c>
      <c r="AE83" s="30">
        <v>3.5804148745963298</v>
      </c>
      <c r="AF83" s="30">
        <v>4.4371614845566798</v>
      </c>
    </row>
    <row r="84" spans="1:32" s="2" customFormat="1">
      <c r="A84" s="23" t="s">
        <v>39</v>
      </c>
      <c r="B84" s="8" t="s">
        <v>348</v>
      </c>
      <c r="C84" s="9">
        <v>1.7540809112923801</v>
      </c>
      <c r="D84" s="9">
        <v>0.105757299312654</v>
      </c>
      <c r="E84" s="9">
        <v>0.253511545640902</v>
      </c>
      <c r="F84" s="9">
        <v>8.2983849606567805E-3</v>
      </c>
      <c r="G84" s="9">
        <v>0.381619795362243</v>
      </c>
      <c r="H84" s="8"/>
      <c r="I84" s="29">
        <v>3168.7192657849801</v>
      </c>
      <c r="J84" s="30">
        <v>2.8698148807485899</v>
      </c>
      <c r="K84" s="29">
        <v>2291.8850571272101</v>
      </c>
      <c r="L84" s="30">
        <v>-4.4367220392971304E-3</v>
      </c>
      <c r="M84" s="30">
        <v>212.71427283158999</v>
      </c>
      <c r="N84" s="30">
        <v>685.56981424386004</v>
      </c>
      <c r="O84" s="30">
        <v>107.57715168176</v>
      </c>
      <c r="P84" s="30">
        <v>572.01886036984195</v>
      </c>
      <c r="Q84" s="30">
        <v>236.994599535113</v>
      </c>
      <c r="R84" s="30">
        <v>19.119964151529899</v>
      </c>
      <c r="S84" s="30">
        <v>360.83666147679497</v>
      </c>
      <c r="T84" s="30">
        <v>63.249232831151502</v>
      </c>
      <c r="U84" s="30">
        <v>400.39633266945901</v>
      </c>
      <c r="V84" s="30">
        <v>81.352937058764297</v>
      </c>
      <c r="W84" s="30">
        <v>217.26081131047599</v>
      </c>
      <c r="X84" s="30">
        <v>27.002677721848499</v>
      </c>
      <c r="Y84" s="30">
        <v>157.02214310645101</v>
      </c>
      <c r="Z84" s="30">
        <v>18.9484736663705</v>
      </c>
      <c r="AA84" s="30">
        <v>4.6295798050280897E-2</v>
      </c>
      <c r="AB84" s="30">
        <v>1.3471393883209301E-2</v>
      </c>
      <c r="AC84" s="30">
        <v>0.176764181307731</v>
      </c>
      <c r="AD84" s="30">
        <v>6.6519025959201601</v>
      </c>
      <c r="AE84" s="30">
        <v>14.0385096901518</v>
      </c>
      <c r="AF84" s="30">
        <v>10.957409947248101</v>
      </c>
    </row>
    <row r="85" spans="1:32" s="2" customFormat="1">
      <c r="A85" s="23" t="s">
        <v>39</v>
      </c>
      <c r="B85" s="8" t="s">
        <v>357</v>
      </c>
      <c r="C85" s="9">
        <v>1.33499354229548</v>
      </c>
      <c r="D85" s="9">
        <v>8.6175643663196397E-2</v>
      </c>
      <c r="E85" s="9">
        <v>0.420556181604477</v>
      </c>
      <c r="F85" s="9">
        <v>1.6539249216312401E-2</v>
      </c>
      <c r="G85" s="9">
        <v>0.42245089031441202</v>
      </c>
      <c r="H85" s="8"/>
      <c r="I85" s="29">
        <v>2494.8892773601101</v>
      </c>
      <c r="J85" s="30">
        <v>0.2824652249845</v>
      </c>
      <c r="K85" s="29">
        <v>1904.14499334828</v>
      </c>
      <c r="L85" s="30">
        <v>2.1333465365829501E-2</v>
      </c>
      <c r="M85" s="30">
        <v>224.76509060605699</v>
      </c>
      <c r="N85" s="30">
        <v>684.52540557909595</v>
      </c>
      <c r="O85" s="30">
        <v>103.967005118646</v>
      </c>
      <c r="P85" s="30">
        <v>541.12914664808898</v>
      </c>
      <c r="Q85" s="30">
        <v>225.001535748794</v>
      </c>
      <c r="R85" s="30">
        <v>14.015027736593</v>
      </c>
      <c r="S85" s="30">
        <v>346.56861997668801</v>
      </c>
      <c r="T85" s="30">
        <v>59.596057690419897</v>
      </c>
      <c r="U85" s="30">
        <v>362.37170065877598</v>
      </c>
      <c r="V85" s="30">
        <v>68.217472227597199</v>
      </c>
      <c r="W85" s="30">
        <v>168.94889639335301</v>
      </c>
      <c r="X85" s="30">
        <v>19.465484727257898</v>
      </c>
      <c r="Y85" s="30">
        <v>105.10712668498201</v>
      </c>
      <c r="Z85" s="30">
        <v>12.3765944043269</v>
      </c>
      <c r="AA85" s="30">
        <v>5.2982842577937901E-2</v>
      </c>
      <c r="AB85" s="30">
        <v>1.0269392900392801E-2</v>
      </c>
      <c r="AC85" s="30">
        <v>0.13291493676737301</v>
      </c>
      <c r="AD85" s="30">
        <v>3.6857972000794699</v>
      </c>
      <c r="AE85" s="30">
        <v>4.2645839543624202</v>
      </c>
      <c r="AF85" s="30">
        <v>5.7817287682694802</v>
      </c>
    </row>
    <row r="86" spans="1:32" s="2" customFormat="1">
      <c r="A86" s="23"/>
      <c r="B86" s="8"/>
      <c r="C86" s="9"/>
      <c r="D86" s="9"/>
      <c r="E86" s="9"/>
      <c r="F86" s="9"/>
      <c r="G86" s="9"/>
      <c r="H86" s="13"/>
      <c r="I86" s="25"/>
      <c r="J86" s="26"/>
      <c r="K86" s="25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</row>
    <row r="87" spans="1:32" s="2" customFormat="1">
      <c r="A87" s="23" t="s">
        <v>16</v>
      </c>
      <c r="B87" s="8" t="s">
        <v>134</v>
      </c>
      <c r="C87" s="9">
        <v>1.07386469578438</v>
      </c>
      <c r="D87" s="9">
        <v>5.0934866388276601E-2</v>
      </c>
      <c r="E87" s="9">
        <v>0.54473885255352195</v>
      </c>
      <c r="F87" s="9">
        <v>2.3189594657574301E-2</v>
      </c>
      <c r="G87" s="9">
        <v>2.1890212291187899E-2</v>
      </c>
      <c r="H87" s="8"/>
      <c r="I87" s="29">
        <v>2663.1058709107001</v>
      </c>
      <c r="J87" s="30">
        <v>185.16394903410099</v>
      </c>
      <c r="K87" s="29">
        <v>552.816619200476</v>
      </c>
      <c r="L87" s="30">
        <v>0.64051559983614104</v>
      </c>
      <c r="M87" s="30">
        <v>8.5490829313876198</v>
      </c>
      <c r="N87" s="30">
        <v>19.905680251636099</v>
      </c>
      <c r="O87" s="30">
        <v>4.3198481879426902</v>
      </c>
      <c r="P87" s="30">
        <v>27.437332077041301</v>
      </c>
      <c r="Q87" s="30">
        <v>18.6427461624111</v>
      </c>
      <c r="R87" s="30">
        <v>5.8103424686383098</v>
      </c>
      <c r="S87" s="30">
        <v>48.065282338640401</v>
      </c>
      <c r="T87" s="30">
        <v>10.397847260193799</v>
      </c>
      <c r="U87" s="30">
        <v>76.055077743714605</v>
      </c>
      <c r="V87" s="30">
        <v>17.9729172752401</v>
      </c>
      <c r="W87" s="30">
        <v>51.607484655240299</v>
      </c>
      <c r="X87" s="30">
        <v>6.5177237972235504</v>
      </c>
      <c r="Y87" s="30">
        <v>39.7116303446914</v>
      </c>
      <c r="Z87" s="30">
        <v>5.7528403066386202</v>
      </c>
      <c r="AA87" s="30">
        <v>-1.2139779123903701E-3</v>
      </c>
      <c r="AB87" s="30">
        <v>6.2960541509416504E-2</v>
      </c>
      <c r="AC87" s="30">
        <v>1.7169867559305001</v>
      </c>
      <c r="AD87" s="30">
        <v>0.22313009815277601</v>
      </c>
      <c r="AE87" s="30">
        <v>1.4794222954177401</v>
      </c>
      <c r="AF87" s="30">
        <v>2.9510045393581401</v>
      </c>
    </row>
    <row r="88" spans="1:32" s="2" customFormat="1">
      <c r="A88" s="23" t="s">
        <v>16</v>
      </c>
      <c r="B88" s="8" t="s">
        <v>120</v>
      </c>
      <c r="C88" s="9">
        <v>1.45767460180216</v>
      </c>
      <c r="D88" s="9">
        <v>5.8326952277975401E-2</v>
      </c>
      <c r="E88" s="9">
        <v>0.28204731883589801</v>
      </c>
      <c r="F88" s="9">
        <v>6.1821188840045097E-3</v>
      </c>
      <c r="G88" s="9">
        <v>0.498322030644679</v>
      </c>
      <c r="H88" s="8"/>
      <c r="I88" s="29">
        <v>2594.8961152817401</v>
      </c>
      <c r="J88" s="30">
        <v>-0.23551540397697099</v>
      </c>
      <c r="K88" s="29">
        <v>865.22987095105998</v>
      </c>
      <c r="L88" s="30">
        <v>-3.6992548422426102E-3</v>
      </c>
      <c r="M88" s="30">
        <v>16.471898977384299</v>
      </c>
      <c r="N88" s="30">
        <v>55.721456987340503</v>
      </c>
      <c r="O88" s="30">
        <v>9.9468076972755295</v>
      </c>
      <c r="P88" s="30">
        <v>61.882106706300299</v>
      </c>
      <c r="Q88" s="30">
        <v>34.970906921686797</v>
      </c>
      <c r="R88" s="30">
        <v>15.837664209310701</v>
      </c>
      <c r="S88" s="30">
        <v>77.731595277695007</v>
      </c>
      <c r="T88" s="30">
        <v>16.139038177385299</v>
      </c>
      <c r="U88" s="30">
        <v>119.32863458406</v>
      </c>
      <c r="V88" s="30">
        <v>28.041273605919901</v>
      </c>
      <c r="W88" s="30">
        <v>85.823964558675897</v>
      </c>
      <c r="X88" s="30">
        <v>11.665187911754501</v>
      </c>
      <c r="Y88" s="30">
        <v>74.578722045611798</v>
      </c>
      <c r="Z88" s="30">
        <v>10.4988433609161</v>
      </c>
      <c r="AA88" s="30">
        <v>2.35113609501806</v>
      </c>
      <c r="AB88" s="30">
        <v>4.56064801238832E-3</v>
      </c>
      <c r="AC88" s="30">
        <v>0.42703818020377798</v>
      </c>
      <c r="AD88" s="30">
        <v>1.15211124699342</v>
      </c>
      <c r="AE88" s="30">
        <v>10.2631964424851</v>
      </c>
      <c r="AF88" s="30">
        <v>8.3896727344071707</v>
      </c>
    </row>
    <row r="89" spans="1:32" s="2" customFormat="1">
      <c r="A89" s="23" t="s">
        <v>16</v>
      </c>
      <c r="B89" s="8" t="s">
        <v>121</v>
      </c>
      <c r="C89" s="9">
        <v>1.52413311485131</v>
      </c>
      <c r="D89" s="9">
        <v>6.8457619595916605E-2</v>
      </c>
      <c r="E89" s="9">
        <v>0.326566650666609</v>
      </c>
      <c r="F89" s="9">
        <v>9.3404522895027108E-3</v>
      </c>
      <c r="G89" s="9">
        <v>0.622306466834322</v>
      </c>
      <c r="H89" s="8"/>
      <c r="I89" s="29">
        <v>2770.4447476887599</v>
      </c>
      <c r="J89" s="30">
        <v>2.08274112238488</v>
      </c>
      <c r="K89" s="29">
        <v>575.16550577067699</v>
      </c>
      <c r="L89" s="30">
        <v>5.6537983486445301E-2</v>
      </c>
      <c r="M89" s="30">
        <v>14.3496592441396</v>
      </c>
      <c r="N89" s="30">
        <v>33.541786063649297</v>
      </c>
      <c r="O89" s="30">
        <v>6.9678760820080399</v>
      </c>
      <c r="P89" s="30">
        <v>38.561116016947999</v>
      </c>
      <c r="Q89" s="30">
        <v>21.748359683189602</v>
      </c>
      <c r="R89" s="30">
        <v>7.5559699803431704</v>
      </c>
      <c r="S89" s="30">
        <v>52.433982378754401</v>
      </c>
      <c r="T89" s="30">
        <v>11.0173950323792</v>
      </c>
      <c r="U89" s="30">
        <v>80.5638488625831</v>
      </c>
      <c r="V89" s="30">
        <v>19.126410645941</v>
      </c>
      <c r="W89" s="30">
        <v>59.444638127289203</v>
      </c>
      <c r="X89" s="30">
        <v>7.79609426338821</v>
      </c>
      <c r="Y89" s="30">
        <v>48.926548223834303</v>
      </c>
      <c r="Z89" s="30">
        <v>7.2114688834963099</v>
      </c>
      <c r="AA89" s="30">
        <v>14.5036739301081</v>
      </c>
      <c r="AB89" s="30">
        <v>4.4883431491349896E-3</v>
      </c>
      <c r="AC89" s="30">
        <v>1.90263023568283</v>
      </c>
      <c r="AD89" s="30">
        <v>1.75302327123419</v>
      </c>
      <c r="AE89" s="30">
        <v>8.4921476299265795</v>
      </c>
      <c r="AF89" s="30">
        <v>7.8033231344541498</v>
      </c>
    </row>
    <row r="90" spans="1:32" s="2" customFormat="1">
      <c r="A90" s="23" t="s">
        <v>16</v>
      </c>
      <c r="B90" s="8" t="s">
        <v>122</v>
      </c>
      <c r="C90" s="9">
        <v>1.4143250577512201</v>
      </c>
      <c r="D90" s="9">
        <v>6.1368729377582802E-2</v>
      </c>
      <c r="E90" s="9">
        <v>0.30823697682735202</v>
      </c>
      <c r="F90" s="9">
        <v>9.4393779681922405E-3</v>
      </c>
      <c r="G90" s="9">
        <v>0.41473960663753801</v>
      </c>
      <c r="H90" s="8"/>
      <c r="I90" s="29">
        <v>3545.6060958616599</v>
      </c>
      <c r="J90" s="30">
        <v>0.45306829313135499</v>
      </c>
      <c r="K90" s="29">
        <v>958.91199830812604</v>
      </c>
      <c r="L90" s="30">
        <v>1.61268771655067E-2</v>
      </c>
      <c r="M90" s="30">
        <v>13.913869446563799</v>
      </c>
      <c r="N90" s="30">
        <v>42.562154420763001</v>
      </c>
      <c r="O90" s="30">
        <v>8.3461445952580906</v>
      </c>
      <c r="P90" s="30">
        <v>51.517213514381602</v>
      </c>
      <c r="Q90" s="30">
        <v>32.2859484455374</v>
      </c>
      <c r="R90" s="30">
        <v>12.8549588280551</v>
      </c>
      <c r="S90" s="30">
        <v>76.430819259757996</v>
      </c>
      <c r="T90" s="30">
        <v>16.471860475053401</v>
      </c>
      <c r="U90" s="30">
        <v>125.99094180689799</v>
      </c>
      <c r="V90" s="30">
        <v>29.841633459246999</v>
      </c>
      <c r="W90" s="30">
        <v>92.229494769776096</v>
      </c>
      <c r="X90" s="30">
        <v>12.790132769825499</v>
      </c>
      <c r="Y90" s="30">
        <v>82.788484616221297</v>
      </c>
      <c r="Z90" s="30">
        <v>11.292541157638601</v>
      </c>
      <c r="AA90" s="30">
        <v>9.2589898055994199E-2</v>
      </c>
      <c r="AB90" s="30">
        <v>-1.6998675249581601E-5</v>
      </c>
      <c r="AC90" s="30">
        <v>0.48382093116883002</v>
      </c>
      <c r="AD90" s="30">
        <v>1.47489711048082</v>
      </c>
      <c r="AE90" s="30">
        <v>7.0568131725434604</v>
      </c>
      <c r="AF90" s="30">
        <v>6.8673918298744701</v>
      </c>
    </row>
    <row r="91" spans="1:32" s="2" customFormat="1">
      <c r="A91" s="23" t="s">
        <v>16</v>
      </c>
      <c r="B91" s="8" t="s">
        <v>140</v>
      </c>
      <c r="C91" s="9">
        <v>1.3940222010296099</v>
      </c>
      <c r="D91" s="9">
        <v>5.9845874693489301E-2</v>
      </c>
      <c r="E91" s="9">
        <v>0.269091925218996</v>
      </c>
      <c r="F91" s="9">
        <v>6.35441018191774E-3</v>
      </c>
      <c r="G91" s="9">
        <v>0.43902689105014597</v>
      </c>
      <c r="H91" s="8"/>
      <c r="I91" s="29">
        <v>4234.69038536472</v>
      </c>
      <c r="J91" s="30">
        <v>0.84958832990069999</v>
      </c>
      <c r="K91" s="29">
        <v>1131.33105999145</v>
      </c>
      <c r="L91" s="30">
        <v>7.52243257522026E-2</v>
      </c>
      <c r="M91" s="30">
        <v>16.686446427320298</v>
      </c>
      <c r="N91" s="30">
        <v>59.1761965042013</v>
      </c>
      <c r="O91" s="30">
        <v>11.1996633753336</v>
      </c>
      <c r="P91" s="30">
        <v>75.737744881988604</v>
      </c>
      <c r="Q91" s="30">
        <v>53.587867790606701</v>
      </c>
      <c r="R91" s="30">
        <v>13.213073286527701</v>
      </c>
      <c r="S91" s="30">
        <v>123.916185532863</v>
      </c>
      <c r="T91" s="30">
        <v>24.6947784662507</v>
      </c>
      <c r="U91" s="30">
        <v>169.52896005217301</v>
      </c>
      <c r="V91" s="30">
        <v>37.594702395787202</v>
      </c>
      <c r="W91" s="30">
        <v>108.53756387118101</v>
      </c>
      <c r="X91" s="30">
        <v>14.1719503028148</v>
      </c>
      <c r="Y91" s="30">
        <v>87.746610367622196</v>
      </c>
      <c r="Z91" s="30">
        <v>11.9405415807163</v>
      </c>
      <c r="AA91" s="30">
        <v>54.6985720248612</v>
      </c>
      <c r="AB91" s="30">
        <v>1.7449604884775999E-2</v>
      </c>
      <c r="AC91" s="30">
        <v>0.13643150866816101</v>
      </c>
      <c r="AD91" s="30">
        <v>5.9758524603390004</v>
      </c>
      <c r="AE91" s="30">
        <v>19.5020641237703</v>
      </c>
      <c r="AF91" s="30">
        <v>15.7342366616053</v>
      </c>
    </row>
    <row r="92" spans="1:32" s="2" customFormat="1">
      <c r="A92" s="23" t="s">
        <v>16</v>
      </c>
      <c r="B92" s="8" t="s">
        <v>123</v>
      </c>
      <c r="C92" s="9">
        <v>1.3656262073343699</v>
      </c>
      <c r="D92" s="9">
        <v>5.6855624813641897E-2</v>
      </c>
      <c r="E92" s="9">
        <v>0.32277477920853698</v>
      </c>
      <c r="F92" s="9">
        <v>9.57912439030437E-3</v>
      </c>
      <c r="G92" s="9">
        <v>0.42925889767705899</v>
      </c>
      <c r="H92" s="8"/>
      <c r="I92" s="29">
        <v>3784.3122522776098</v>
      </c>
      <c r="J92" s="30">
        <v>55.519397242306702</v>
      </c>
      <c r="K92" s="29">
        <v>1245.55289150577</v>
      </c>
      <c r="L92" s="30">
        <v>2.2719306581936799E-2</v>
      </c>
      <c r="M92" s="30">
        <v>5.4278858706150803</v>
      </c>
      <c r="N92" s="30">
        <v>17.538709431119599</v>
      </c>
      <c r="O92" s="30">
        <v>3.3069857956149402</v>
      </c>
      <c r="P92" s="30">
        <v>23.227119584645099</v>
      </c>
      <c r="Q92" s="30">
        <v>17.787438581091799</v>
      </c>
      <c r="R92" s="30">
        <v>9.2284436506337908</v>
      </c>
      <c r="S92" s="30">
        <v>61.599548113327998</v>
      </c>
      <c r="T92" s="30">
        <v>15.810112643332801</v>
      </c>
      <c r="U92" s="30">
        <v>143.227525579792</v>
      </c>
      <c r="V92" s="30">
        <v>41.056985560511002</v>
      </c>
      <c r="W92" s="30">
        <v>144.280382060791</v>
      </c>
      <c r="X92" s="30">
        <v>21.001515403755899</v>
      </c>
      <c r="Y92" s="30">
        <v>140.26708002768399</v>
      </c>
      <c r="Z92" s="30">
        <v>19.9440160971889</v>
      </c>
      <c r="AA92" s="30">
        <v>9.0093060364757394E-2</v>
      </c>
      <c r="AB92" s="30">
        <v>4.2133053236364897E-3</v>
      </c>
      <c r="AC92" s="30">
        <v>0.13916433701254799</v>
      </c>
      <c r="AD92" s="30">
        <v>2.8372399950179199</v>
      </c>
      <c r="AE92" s="30">
        <v>4.7117387360307399</v>
      </c>
      <c r="AF92" s="30">
        <v>4.7046200449056501</v>
      </c>
    </row>
    <row r="93" spans="1:32" s="2" customFormat="1">
      <c r="A93" s="23" t="s">
        <v>16</v>
      </c>
      <c r="B93" s="8" t="s">
        <v>124</v>
      </c>
      <c r="C93" s="9">
        <v>1.2869156262975401</v>
      </c>
      <c r="D93" s="9">
        <v>5.5296365367123103E-2</v>
      </c>
      <c r="E93" s="9">
        <v>0.30483133931299999</v>
      </c>
      <c r="F93" s="9">
        <v>7.5018803299045003E-3</v>
      </c>
      <c r="G93" s="9">
        <v>0.55244501348606001</v>
      </c>
      <c r="H93" s="8"/>
      <c r="I93" s="29">
        <v>2960.2939204794998</v>
      </c>
      <c r="J93" s="30">
        <v>1.88143658081883</v>
      </c>
      <c r="K93" s="29">
        <v>1165.7775430904201</v>
      </c>
      <c r="L93" s="30">
        <v>1.19113926830602E-2</v>
      </c>
      <c r="M93" s="30">
        <v>11.3969165616596</v>
      </c>
      <c r="N93" s="30">
        <v>37.345571776135102</v>
      </c>
      <c r="O93" s="30">
        <v>7.1782550546701902</v>
      </c>
      <c r="P93" s="30">
        <v>47.923568272890599</v>
      </c>
      <c r="Q93" s="30">
        <v>32.520937390505402</v>
      </c>
      <c r="R93" s="30">
        <v>11.6375546049743</v>
      </c>
      <c r="S93" s="30">
        <v>88.488475857780898</v>
      </c>
      <c r="T93" s="30">
        <v>20.908316352302901</v>
      </c>
      <c r="U93" s="30">
        <v>160.624263433561</v>
      </c>
      <c r="V93" s="30">
        <v>38.220330324612803</v>
      </c>
      <c r="W93" s="30">
        <v>115.19223366167201</v>
      </c>
      <c r="X93" s="30">
        <v>14.9967689513698</v>
      </c>
      <c r="Y93" s="30">
        <v>91.010633400292093</v>
      </c>
      <c r="Z93" s="30">
        <v>12.2128480930006</v>
      </c>
      <c r="AA93" s="30">
        <v>0.10433656282475701</v>
      </c>
      <c r="AB93" s="30">
        <v>1.30584530379712E-2</v>
      </c>
      <c r="AC93" s="30">
        <v>6.24246792052644E-2</v>
      </c>
      <c r="AD93" s="30">
        <v>3.0493223751526402</v>
      </c>
      <c r="AE93" s="30">
        <v>6.9915994827136103</v>
      </c>
      <c r="AF93" s="30">
        <v>7.0214098373977203</v>
      </c>
    </row>
    <row r="94" spans="1:32" s="2" customFormat="1">
      <c r="A94" s="23" t="s">
        <v>16</v>
      </c>
      <c r="B94" s="8" t="s">
        <v>136</v>
      </c>
      <c r="C94" s="9">
        <v>0.89497778839021902</v>
      </c>
      <c r="D94" s="9">
        <v>4.55011368329791E-2</v>
      </c>
      <c r="E94" s="9">
        <v>0.55042354074422495</v>
      </c>
      <c r="F94" s="9">
        <v>1.8174429847584599E-2</v>
      </c>
      <c r="G94" s="9">
        <v>0.65308355698317599</v>
      </c>
      <c r="H94" s="8"/>
      <c r="I94" s="29">
        <v>2961.4303333152802</v>
      </c>
      <c r="J94" s="30">
        <v>11.791173313309599</v>
      </c>
      <c r="K94" s="29">
        <v>524.51594362266098</v>
      </c>
      <c r="L94" s="30">
        <v>7.2332822455410603E-2</v>
      </c>
      <c r="M94" s="30">
        <v>25.186083909423498</v>
      </c>
      <c r="N94" s="30">
        <v>30.343443635096101</v>
      </c>
      <c r="O94" s="30">
        <v>8.8375457859352906</v>
      </c>
      <c r="P94" s="30">
        <v>41.785277307628398</v>
      </c>
      <c r="Q94" s="30">
        <v>21.755909775031899</v>
      </c>
      <c r="R94" s="30">
        <v>7.2733870360891197</v>
      </c>
      <c r="S94" s="30">
        <v>50.222301743115501</v>
      </c>
      <c r="T94" s="30">
        <v>10.4637596026135</v>
      </c>
      <c r="U94" s="30">
        <v>77.820773574366598</v>
      </c>
      <c r="V94" s="30">
        <v>17.816082456949601</v>
      </c>
      <c r="W94" s="30">
        <v>52.7503738066981</v>
      </c>
      <c r="X94" s="30">
        <v>6.4635206465395596</v>
      </c>
      <c r="Y94" s="30">
        <v>38.912998911427202</v>
      </c>
      <c r="Z94" s="30">
        <v>5.5324776756903304</v>
      </c>
      <c r="AA94" s="30">
        <v>0.16622638067443299</v>
      </c>
      <c r="AB94" s="30">
        <v>4.5066601320813901E-3</v>
      </c>
      <c r="AC94" s="30">
        <v>2.30773529098051</v>
      </c>
      <c r="AD94" s="30">
        <v>5.0420852640796801</v>
      </c>
      <c r="AE94" s="30">
        <v>2.6601428506775799</v>
      </c>
      <c r="AF94" s="30">
        <v>6.2420714719757298</v>
      </c>
    </row>
    <row r="95" spans="1:32" s="2" customFormat="1">
      <c r="A95" s="23" t="s">
        <v>16</v>
      </c>
      <c r="B95" s="8" t="s">
        <v>141</v>
      </c>
      <c r="C95" s="9">
        <v>1.51834287706924</v>
      </c>
      <c r="D95" s="9">
        <v>6.1417207534215701E-2</v>
      </c>
      <c r="E95" s="9">
        <v>0.255628717968434</v>
      </c>
      <c r="F95" s="9">
        <v>4.7998690865609702E-3</v>
      </c>
      <c r="G95" s="9">
        <v>0.52026882617736503</v>
      </c>
      <c r="H95" s="8"/>
      <c r="I95" s="29">
        <v>2424.10230809</v>
      </c>
      <c r="J95" s="30">
        <v>0.56923986197908205</v>
      </c>
      <c r="K95" s="29">
        <v>1117.86739002841</v>
      </c>
      <c r="L95" s="30">
        <v>2.4092830736011299E-3</v>
      </c>
      <c r="M95" s="30">
        <v>10.775837876016499</v>
      </c>
      <c r="N95" s="30">
        <v>36.0408420070845</v>
      </c>
      <c r="O95" s="30">
        <v>6.3266140669077702</v>
      </c>
      <c r="P95" s="30">
        <v>40.578924338072198</v>
      </c>
      <c r="Q95" s="30">
        <v>26.045957882111601</v>
      </c>
      <c r="R95" s="30">
        <v>15.6297777002678</v>
      </c>
      <c r="S95" s="30">
        <v>70.866902782136705</v>
      </c>
      <c r="T95" s="30">
        <v>16.857803423284299</v>
      </c>
      <c r="U95" s="30">
        <v>138.00428734235101</v>
      </c>
      <c r="V95" s="30">
        <v>35.1440475806127</v>
      </c>
      <c r="W95" s="30">
        <v>114.1832995043</v>
      </c>
      <c r="X95" s="30">
        <v>15.7206903072492</v>
      </c>
      <c r="Y95" s="30">
        <v>101.978539518413</v>
      </c>
      <c r="Z95" s="30">
        <v>14.9990923750098</v>
      </c>
      <c r="AA95" s="30">
        <v>-1.20640703582188E-3</v>
      </c>
      <c r="AB95" s="30">
        <v>3.2923856438246699E-3</v>
      </c>
      <c r="AC95" s="30">
        <v>0.31275075912725803</v>
      </c>
      <c r="AD95" s="30">
        <v>4.5187331325499596</v>
      </c>
      <c r="AE95" s="30">
        <v>14.086323149839901</v>
      </c>
      <c r="AF95" s="30">
        <v>10.892180804105401</v>
      </c>
    </row>
    <row r="96" spans="1:32" s="2" customFormat="1">
      <c r="A96" s="23" t="s">
        <v>16</v>
      </c>
      <c r="B96" s="8" t="s">
        <v>125</v>
      </c>
      <c r="C96" s="9">
        <v>1.08668007175417</v>
      </c>
      <c r="D96" s="9">
        <v>5.3119452293686899E-2</v>
      </c>
      <c r="E96" s="9">
        <v>0.44175007608012501</v>
      </c>
      <c r="F96" s="9">
        <v>1.4261042823750699E-2</v>
      </c>
      <c r="G96" s="9">
        <v>6.8364578666189599E-2</v>
      </c>
      <c r="H96" s="8"/>
      <c r="I96" s="29">
        <v>2558.42745105225</v>
      </c>
      <c r="J96" s="30">
        <v>4.4828145026498403</v>
      </c>
      <c r="K96" s="29">
        <v>247.66276499653301</v>
      </c>
      <c r="L96" s="30">
        <v>2.9656981542629399E-2</v>
      </c>
      <c r="M96" s="30">
        <v>3.3318040483049298</v>
      </c>
      <c r="N96" s="30">
        <v>9.4775491209349703</v>
      </c>
      <c r="O96" s="30">
        <v>1.55921332114095</v>
      </c>
      <c r="P96" s="30">
        <v>9.0352807964416293</v>
      </c>
      <c r="Q96" s="30">
        <v>4.9830576097344297</v>
      </c>
      <c r="R96" s="30">
        <v>2.81236481182165</v>
      </c>
      <c r="S96" s="30">
        <v>12.184311300384399</v>
      </c>
      <c r="T96" s="30">
        <v>2.9234673853731001</v>
      </c>
      <c r="U96" s="30">
        <v>26.442193774071601</v>
      </c>
      <c r="V96" s="30">
        <v>8.1357463103592398</v>
      </c>
      <c r="W96" s="30">
        <v>29.8752649215355</v>
      </c>
      <c r="X96" s="30">
        <v>4.4554655507577099</v>
      </c>
      <c r="Y96" s="30">
        <v>30.984161395884598</v>
      </c>
      <c r="Z96" s="30">
        <v>5.1093521914023503</v>
      </c>
      <c r="AA96" s="30">
        <v>0.17579746903671201</v>
      </c>
      <c r="AB96" s="30">
        <v>1.7411204600661001E-3</v>
      </c>
      <c r="AC96" s="30">
        <v>0.80132619131554295</v>
      </c>
      <c r="AD96" s="30">
        <v>0.20255935579315401</v>
      </c>
      <c r="AE96" s="30">
        <v>2.3029127353633601</v>
      </c>
      <c r="AF96" s="30">
        <v>3.52667610130458</v>
      </c>
    </row>
    <row r="97" spans="1:32" s="2" customFormat="1">
      <c r="A97" s="23" t="s">
        <v>16</v>
      </c>
      <c r="B97" s="8" t="s">
        <v>127</v>
      </c>
      <c r="C97" s="9">
        <v>1.70365971099003</v>
      </c>
      <c r="D97" s="9">
        <v>6.7662904495173204E-2</v>
      </c>
      <c r="E97" s="9">
        <v>0.22880455942446901</v>
      </c>
      <c r="F97" s="9">
        <v>4.4852762195453097E-3</v>
      </c>
      <c r="G97" s="9">
        <v>0.49738957548206802</v>
      </c>
      <c r="H97" s="8"/>
      <c r="I97" s="29">
        <v>2860.11241404665</v>
      </c>
      <c r="J97" s="30">
        <v>0.68057078952178696</v>
      </c>
      <c r="K97" s="29">
        <v>1890.5819359787299</v>
      </c>
      <c r="L97" s="30">
        <v>4.04370038118535E-2</v>
      </c>
      <c r="M97" s="30">
        <v>10.0505767546424</v>
      </c>
      <c r="N97" s="30">
        <v>37.086452064687002</v>
      </c>
      <c r="O97" s="30">
        <v>7.4058855756006201</v>
      </c>
      <c r="P97" s="30">
        <v>51.3537004602317</v>
      </c>
      <c r="Q97" s="30">
        <v>44.817928434677199</v>
      </c>
      <c r="R97" s="30">
        <v>16.921029241724298</v>
      </c>
      <c r="S97" s="30">
        <v>136.59500812686301</v>
      </c>
      <c r="T97" s="30">
        <v>34.233155720225596</v>
      </c>
      <c r="U97" s="30">
        <v>275.27441520601002</v>
      </c>
      <c r="V97" s="30">
        <v>64.905307566359099</v>
      </c>
      <c r="W97" s="30">
        <v>191.14793015980101</v>
      </c>
      <c r="X97" s="30">
        <v>24.476341371213898</v>
      </c>
      <c r="Y97" s="30">
        <v>145.97108326384199</v>
      </c>
      <c r="Z97" s="30">
        <v>19.895019056956201</v>
      </c>
      <c r="AA97" s="30">
        <v>1.5674144285652499E-2</v>
      </c>
      <c r="AB97" s="30">
        <v>6.4808570056723303E-3</v>
      </c>
      <c r="AC97" s="30">
        <v>0.56993053655180104</v>
      </c>
      <c r="AD97" s="30">
        <v>7.8357170197437798</v>
      </c>
      <c r="AE97" s="30">
        <v>25.914588882153499</v>
      </c>
      <c r="AF97" s="30">
        <v>17.039282421886</v>
      </c>
    </row>
    <row r="98" spans="1:32" s="2" customFormat="1">
      <c r="A98" s="23" t="s">
        <v>16</v>
      </c>
      <c r="B98" s="8" t="s">
        <v>128</v>
      </c>
      <c r="C98" s="9">
        <v>1.38561509430153</v>
      </c>
      <c r="D98" s="9">
        <v>5.8276257770286E-2</v>
      </c>
      <c r="E98" s="9">
        <v>0.31309044577069001</v>
      </c>
      <c r="F98" s="9">
        <v>8.0675798078116492E-3</v>
      </c>
      <c r="G98" s="9">
        <v>0.45419290604895501</v>
      </c>
      <c r="H98" s="8"/>
      <c r="I98" s="29">
        <v>2300.4002142664199</v>
      </c>
      <c r="J98" s="30">
        <v>0.26785467416875403</v>
      </c>
      <c r="K98" s="29">
        <v>673.87102435253405</v>
      </c>
      <c r="L98" s="30">
        <v>4.9364700209472902E-2</v>
      </c>
      <c r="M98" s="30">
        <v>11.016139629652701</v>
      </c>
      <c r="N98" s="30">
        <v>37.479280680225301</v>
      </c>
      <c r="O98" s="30">
        <v>6.6331052800299304</v>
      </c>
      <c r="P98" s="30">
        <v>42.543333085419398</v>
      </c>
      <c r="Q98" s="30">
        <v>22.5699911570041</v>
      </c>
      <c r="R98" s="30">
        <v>10.9757208499159</v>
      </c>
      <c r="S98" s="30">
        <v>53.943912088785503</v>
      </c>
      <c r="T98" s="30">
        <v>11.525038410163001</v>
      </c>
      <c r="U98" s="30">
        <v>87.130500001757298</v>
      </c>
      <c r="V98" s="30">
        <v>20.9477960424428</v>
      </c>
      <c r="W98" s="30">
        <v>66.471163338458496</v>
      </c>
      <c r="X98" s="30">
        <v>9.1150718823482109</v>
      </c>
      <c r="Y98" s="30">
        <v>59.678722650555699</v>
      </c>
      <c r="Z98" s="30">
        <v>8.5150937711315002</v>
      </c>
      <c r="AA98" s="30">
        <v>-1.2779081347659E-3</v>
      </c>
      <c r="AB98" s="30">
        <v>-3.9644970195135598E-4</v>
      </c>
      <c r="AC98" s="30">
        <v>0.46998090138607201</v>
      </c>
      <c r="AD98" s="30">
        <v>1.1561846378468701</v>
      </c>
      <c r="AE98" s="30">
        <v>6.0465121962099397</v>
      </c>
      <c r="AF98" s="30">
        <v>5.6213547287195702</v>
      </c>
    </row>
    <row r="99" spans="1:32" s="2" customFormat="1">
      <c r="A99" s="23" t="s">
        <v>16</v>
      </c>
      <c r="B99" s="8" t="s">
        <v>137</v>
      </c>
      <c r="C99" s="9">
        <v>1.27715981117993</v>
      </c>
      <c r="D99" s="9">
        <v>5.5128836651093201E-2</v>
      </c>
      <c r="E99" s="9">
        <v>0.30914762140123597</v>
      </c>
      <c r="F99" s="9">
        <v>7.6716688697864204E-3</v>
      </c>
      <c r="G99" s="9">
        <v>0.51896798628408902</v>
      </c>
      <c r="H99" s="8"/>
      <c r="I99" s="29">
        <v>2425.82112670776</v>
      </c>
      <c r="J99" s="30">
        <v>0.42732775521125799</v>
      </c>
      <c r="K99" s="29">
        <v>1105.45499693384</v>
      </c>
      <c r="L99" s="30">
        <v>-3.70266590195356E-3</v>
      </c>
      <c r="M99" s="30">
        <v>35.502130083680498</v>
      </c>
      <c r="N99" s="30">
        <v>123.667161185479</v>
      </c>
      <c r="O99" s="30">
        <v>22.2327170309661</v>
      </c>
      <c r="P99" s="30">
        <v>137.70670747600701</v>
      </c>
      <c r="Q99" s="30">
        <v>73.166392954332693</v>
      </c>
      <c r="R99" s="30">
        <v>16.768765666837901</v>
      </c>
      <c r="S99" s="30">
        <v>136.89365177478399</v>
      </c>
      <c r="T99" s="30">
        <v>24.7809591743904</v>
      </c>
      <c r="U99" s="30">
        <v>165.15712967432</v>
      </c>
      <c r="V99" s="30">
        <v>35.716430472993601</v>
      </c>
      <c r="W99" s="30">
        <v>104.199575269791</v>
      </c>
      <c r="X99" s="30">
        <v>14.040424064291599</v>
      </c>
      <c r="Y99" s="30">
        <v>89.899329742238194</v>
      </c>
      <c r="Z99" s="30">
        <v>12.113483515917</v>
      </c>
      <c r="AA99" s="30">
        <v>-1.2659272661539201E-3</v>
      </c>
      <c r="AB99" s="30">
        <v>-3.8877905922554001E-4</v>
      </c>
      <c r="AC99" s="30">
        <v>2.5069020325985398E-3</v>
      </c>
      <c r="AD99" s="30">
        <v>3.2947094853963002</v>
      </c>
      <c r="AE99" s="30">
        <v>7.7246727610455199</v>
      </c>
      <c r="AF99" s="30">
        <v>7.9138829516920302</v>
      </c>
    </row>
    <row r="100" spans="1:32" s="2" customFormat="1">
      <c r="A100" s="23" t="s">
        <v>16</v>
      </c>
      <c r="B100" s="8" t="s">
        <v>129</v>
      </c>
      <c r="C100" s="9">
        <v>1.2612407166671999</v>
      </c>
      <c r="D100" s="9">
        <v>5.4274477103143599E-2</v>
      </c>
      <c r="E100" s="9">
        <v>0.341797553960833</v>
      </c>
      <c r="F100" s="9">
        <v>1.01206325811846E-2</v>
      </c>
      <c r="G100" s="9">
        <v>0.32475847943540598</v>
      </c>
      <c r="H100" s="8"/>
      <c r="I100" s="29">
        <v>2299.6186855186702</v>
      </c>
      <c r="J100" s="30">
        <v>0.55331225775985404</v>
      </c>
      <c r="K100" s="29">
        <v>1101.0579335637001</v>
      </c>
      <c r="L100" s="30">
        <v>5.0575498947894298E-3</v>
      </c>
      <c r="M100" s="30">
        <v>30.236002994662901</v>
      </c>
      <c r="N100" s="30">
        <v>104.26261806325201</v>
      </c>
      <c r="O100" s="30">
        <v>18.8791815164045</v>
      </c>
      <c r="P100" s="30">
        <v>120.305496555079</v>
      </c>
      <c r="Q100" s="30">
        <v>61.496139478784102</v>
      </c>
      <c r="R100" s="30">
        <v>12.044476272646399</v>
      </c>
      <c r="S100" s="30">
        <v>112.682546172485</v>
      </c>
      <c r="T100" s="30">
        <v>20.8124625490175</v>
      </c>
      <c r="U100" s="30">
        <v>145.21626308782299</v>
      </c>
      <c r="V100" s="30">
        <v>32.972993213518997</v>
      </c>
      <c r="W100" s="30">
        <v>101.16956009715101</v>
      </c>
      <c r="X100" s="30">
        <v>14.7550188406603</v>
      </c>
      <c r="Y100" s="30">
        <v>96.884057282954998</v>
      </c>
      <c r="Z100" s="30">
        <v>12.479548434066</v>
      </c>
      <c r="AA100" s="30">
        <v>-1.2462410187328099E-3</v>
      </c>
      <c r="AB100" s="30">
        <v>3.9817965420598398E-3</v>
      </c>
      <c r="AC100" s="30">
        <v>0.15859451373671701</v>
      </c>
      <c r="AD100" s="30">
        <v>2.4880083241790101</v>
      </c>
      <c r="AE100" s="30">
        <v>5.3872583490965296</v>
      </c>
      <c r="AF100" s="30">
        <v>6.1010058752524596</v>
      </c>
    </row>
    <row r="101" spans="1:32" s="2" customFormat="1">
      <c r="A101" s="23" t="s">
        <v>16</v>
      </c>
      <c r="B101" s="8" t="s">
        <v>138</v>
      </c>
      <c r="C101" s="9">
        <v>1.4765085312463999</v>
      </c>
      <c r="D101" s="9">
        <v>6.2630431237311004E-2</v>
      </c>
      <c r="E101" s="9">
        <v>0.27149465711649601</v>
      </c>
      <c r="F101" s="9">
        <v>7.3215855399355097E-3</v>
      </c>
      <c r="G101" s="9">
        <v>0.52163307026870498</v>
      </c>
      <c r="H101" s="8"/>
      <c r="I101" s="29">
        <v>2055.2682949290602</v>
      </c>
      <c r="J101" s="30">
        <v>0.36759767583317798</v>
      </c>
      <c r="K101" s="29">
        <v>787.02177403728899</v>
      </c>
      <c r="L101" s="30">
        <v>-3.4239604300044398E-3</v>
      </c>
      <c r="M101" s="30">
        <v>9.5937520933392797</v>
      </c>
      <c r="N101" s="30">
        <v>29.9704638376822</v>
      </c>
      <c r="O101" s="30">
        <v>6.0170601403134398</v>
      </c>
      <c r="P101" s="30">
        <v>38.156765065408202</v>
      </c>
      <c r="Q101" s="30">
        <v>24.019077340597899</v>
      </c>
      <c r="R101" s="30">
        <v>11.157030016406599</v>
      </c>
      <c r="S101" s="30">
        <v>58.727622266176901</v>
      </c>
      <c r="T101" s="30">
        <v>13.140865744413</v>
      </c>
      <c r="U101" s="30">
        <v>100.630958208775</v>
      </c>
      <c r="V101" s="30">
        <v>23.9954186760807</v>
      </c>
      <c r="W101" s="30">
        <v>75.831097624993802</v>
      </c>
      <c r="X101" s="30">
        <v>10.192754354375101</v>
      </c>
      <c r="Y101" s="30">
        <v>66.548098649519801</v>
      </c>
      <c r="Z101" s="30">
        <v>9.7607244527574792</v>
      </c>
      <c r="AA101" s="30">
        <v>0.11267790013814</v>
      </c>
      <c r="AB101" s="30">
        <v>-3.5931206509646498E-4</v>
      </c>
      <c r="AC101" s="30">
        <v>0.16786502824841301</v>
      </c>
      <c r="AD101" s="30">
        <v>1.37073811455545</v>
      </c>
      <c r="AE101" s="30">
        <v>8.0256405316547994</v>
      </c>
      <c r="AF101" s="30">
        <v>6.3906695609061996</v>
      </c>
    </row>
    <row r="102" spans="1:32" s="2" customFormat="1">
      <c r="A102" s="23" t="s">
        <v>16</v>
      </c>
      <c r="B102" s="8" t="s">
        <v>130</v>
      </c>
      <c r="C102" s="9">
        <v>1.48322745432576</v>
      </c>
      <c r="D102" s="9">
        <v>6.3749894483486794E-2</v>
      </c>
      <c r="E102" s="9">
        <v>0.26491616175712202</v>
      </c>
      <c r="F102" s="9">
        <v>6.2780877999555999E-3</v>
      </c>
      <c r="G102" s="9">
        <v>0.55395405321070801</v>
      </c>
      <c r="H102" s="8"/>
      <c r="I102" s="29">
        <v>3065.6049784848101</v>
      </c>
      <c r="J102" s="30">
        <v>26.770621132260501</v>
      </c>
      <c r="K102" s="29">
        <v>1229.39020759507</v>
      </c>
      <c r="L102" s="30">
        <v>1.7582886934068599E-2</v>
      </c>
      <c r="M102" s="30">
        <v>18.344262367783902</v>
      </c>
      <c r="N102" s="30">
        <v>66.753358849924197</v>
      </c>
      <c r="O102" s="30">
        <v>12.776728400379</v>
      </c>
      <c r="P102" s="30">
        <v>83.2236918788075</v>
      </c>
      <c r="Q102" s="30">
        <v>50.9065556655219</v>
      </c>
      <c r="R102" s="30">
        <v>15.253497444898899</v>
      </c>
      <c r="S102" s="30">
        <v>116.493698135649</v>
      </c>
      <c r="T102" s="30">
        <v>23.711347614405</v>
      </c>
      <c r="U102" s="30">
        <v>170.31279000451099</v>
      </c>
      <c r="V102" s="30">
        <v>39.077348561434398</v>
      </c>
      <c r="W102" s="30">
        <v>117.579831271809</v>
      </c>
      <c r="X102" s="30">
        <v>15.945346608797999</v>
      </c>
      <c r="Y102" s="30">
        <v>102.380621111812</v>
      </c>
      <c r="Z102" s="30">
        <v>14.265725579430301</v>
      </c>
      <c r="AA102" s="30">
        <v>1.3453042078547199</v>
      </c>
      <c r="AB102" s="30">
        <v>3.6713804612921002E-4</v>
      </c>
      <c r="AC102" s="30">
        <v>0.23757408001182101</v>
      </c>
      <c r="AD102" s="30">
        <v>2.9435747917684099</v>
      </c>
      <c r="AE102" s="30">
        <v>9.7838996903438797</v>
      </c>
      <c r="AF102" s="30">
        <v>8.0082853202930302</v>
      </c>
    </row>
    <row r="103" spans="1:32" s="2" customFormat="1">
      <c r="A103" s="23" t="s">
        <v>16</v>
      </c>
      <c r="B103" s="8" t="s">
        <v>139</v>
      </c>
      <c r="C103" s="9">
        <v>1.0303546874673299</v>
      </c>
      <c r="D103" s="9">
        <v>4.9977283833144197E-2</v>
      </c>
      <c r="E103" s="9">
        <v>0.44403691135797801</v>
      </c>
      <c r="F103" s="9">
        <v>1.5106369547669E-2</v>
      </c>
      <c r="G103" s="9">
        <v>0.61314321775311098</v>
      </c>
      <c r="H103" s="8"/>
      <c r="I103" s="29">
        <v>2320.4056530029902</v>
      </c>
      <c r="J103" s="30">
        <v>1.1085206206534699</v>
      </c>
      <c r="K103" s="29">
        <v>1011.82185783665</v>
      </c>
      <c r="L103" s="30">
        <v>3.5985163264731099E-2</v>
      </c>
      <c r="M103" s="30">
        <v>24.935733442526001</v>
      </c>
      <c r="N103" s="30">
        <v>87.356647623567497</v>
      </c>
      <c r="O103" s="30">
        <v>15.8156531086066</v>
      </c>
      <c r="P103" s="30">
        <v>102.69557268481</v>
      </c>
      <c r="Q103" s="30">
        <v>53.0306610761644</v>
      </c>
      <c r="R103" s="30">
        <v>9.8876751141838497</v>
      </c>
      <c r="S103" s="30">
        <v>97.580654880912505</v>
      </c>
      <c r="T103" s="30">
        <v>18.100356112025</v>
      </c>
      <c r="U103" s="30">
        <v>131.02433691418699</v>
      </c>
      <c r="V103" s="30">
        <v>30.510812706259699</v>
      </c>
      <c r="W103" s="30">
        <v>94.616379303986406</v>
      </c>
      <c r="X103" s="30">
        <v>13.6557152028891</v>
      </c>
      <c r="Y103" s="30">
        <v>88.702954590754402</v>
      </c>
      <c r="Z103" s="30">
        <v>11.3534108958278</v>
      </c>
      <c r="AA103" s="30">
        <v>2.1876083435004301E-3</v>
      </c>
      <c r="AB103" s="30">
        <v>3.9282187393767497E-3</v>
      </c>
      <c r="AC103" s="30">
        <v>0.836796001429156</v>
      </c>
      <c r="AD103" s="30">
        <v>1.1923173334245101</v>
      </c>
      <c r="AE103" s="30">
        <v>2.6776674932013398</v>
      </c>
      <c r="AF103" s="30">
        <v>4.3550387651496898</v>
      </c>
    </row>
    <row r="104" spans="1:32" s="2" customFormat="1">
      <c r="A104" s="23" t="s">
        <v>16</v>
      </c>
      <c r="B104" s="8" t="s">
        <v>131</v>
      </c>
      <c r="C104" s="9">
        <v>1.45143035989336</v>
      </c>
      <c r="D104" s="9">
        <v>5.9524551951535901E-2</v>
      </c>
      <c r="E104" s="9">
        <v>0.292623815305594</v>
      </c>
      <c r="F104" s="9">
        <v>8.2126125584176604E-3</v>
      </c>
      <c r="G104" s="9">
        <v>0.33176068997990499</v>
      </c>
      <c r="H104" s="8"/>
      <c r="I104" s="29">
        <v>2422.2853345705198</v>
      </c>
      <c r="J104" s="30">
        <v>0.68423570848399295</v>
      </c>
      <c r="K104" s="29">
        <v>979.55299800277396</v>
      </c>
      <c r="L104" s="30">
        <v>1.05534004928082E-2</v>
      </c>
      <c r="M104" s="30">
        <v>11.670581549605</v>
      </c>
      <c r="N104" s="30">
        <v>39.1223561706108</v>
      </c>
      <c r="O104" s="30">
        <v>6.9215026929059196</v>
      </c>
      <c r="P104" s="30">
        <v>44.404041896255499</v>
      </c>
      <c r="Q104" s="30">
        <v>27.1948687238514</v>
      </c>
      <c r="R104" s="30">
        <v>11.0654688770083</v>
      </c>
      <c r="S104" s="30">
        <v>66.6341024621495</v>
      </c>
      <c r="T104" s="30">
        <v>15.3982068969616</v>
      </c>
      <c r="U104" s="30">
        <v>123.29931876983299</v>
      </c>
      <c r="V104" s="30">
        <v>30.301055270453901</v>
      </c>
      <c r="W104" s="30">
        <v>96.913497300183195</v>
      </c>
      <c r="X104" s="30">
        <v>13.6582167284874</v>
      </c>
      <c r="Y104" s="30">
        <v>89.437496588512502</v>
      </c>
      <c r="Z104" s="30">
        <v>12.151976848341899</v>
      </c>
      <c r="AA104" s="30">
        <v>-1.2355003759241701E-3</v>
      </c>
      <c r="AB104" s="30">
        <v>6.6388336731396701E-3</v>
      </c>
      <c r="AC104" s="30">
        <v>0.26592986077182601</v>
      </c>
      <c r="AD104" s="30">
        <v>0.56845767180890905</v>
      </c>
      <c r="AE104" s="30">
        <v>7.0696816941143501</v>
      </c>
      <c r="AF104" s="30">
        <v>5.9309125633119404</v>
      </c>
    </row>
    <row r="105" spans="1:32" s="2" customFormat="1">
      <c r="A105" s="23" t="s">
        <v>16</v>
      </c>
      <c r="B105" s="8" t="s">
        <v>132</v>
      </c>
      <c r="C105" s="9">
        <v>1.2082792450127899</v>
      </c>
      <c r="D105" s="9">
        <v>5.6987976527764501E-2</v>
      </c>
      <c r="E105" s="9">
        <v>0.383635598775798</v>
      </c>
      <c r="F105" s="9">
        <v>1.11791162665246E-2</v>
      </c>
      <c r="G105" s="9">
        <v>0.554551667888594</v>
      </c>
      <c r="H105" s="8"/>
      <c r="I105" s="29">
        <v>2235.27082802019</v>
      </c>
      <c r="J105" s="30">
        <v>0.98445037102675303</v>
      </c>
      <c r="K105" s="29">
        <v>1170.2219674747901</v>
      </c>
      <c r="L105" s="30">
        <v>3.0595212177198499E-2</v>
      </c>
      <c r="M105" s="30">
        <v>22.0009627700931</v>
      </c>
      <c r="N105" s="30">
        <v>77.452940275446906</v>
      </c>
      <c r="O105" s="30">
        <v>14.640163603694001</v>
      </c>
      <c r="P105" s="30">
        <v>97.460778455706006</v>
      </c>
      <c r="Q105" s="30">
        <v>56.630539694676997</v>
      </c>
      <c r="R105" s="30">
        <v>9.8788934397639601</v>
      </c>
      <c r="S105" s="30">
        <v>117.852100594736</v>
      </c>
      <c r="T105" s="30">
        <v>22.280943906461999</v>
      </c>
      <c r="U105" s="30">
        <v>155.899276887067</v>
      </c>
      <c r="V105" s="30">
        <v>35.0633595124255</v>
      </c>
      <c r="W105" s="30">
        <v>103.220070813324</v>
      </c>
      <c r="X105" s="30">
        <v>14.011335100247299</v>
      </c>
      <c r="Y105" s="30">
        <v>89.357784767700693</v>
      </c>
      <c r="Z105" s="30">
        <v>11.297878663517899</v>
      </c>
      <c r="AA105" s="30">
        <v>-1.23230834461886E-3</v>
      </c>
      <c r="AB105" s="30">
        <v>3.7430703043442402E-3</v>
      </c>
      <c r="AC105" s="30">
        <v>0.44521472419554597</v>
      </c>
      <c r="AD105" s="30">
        <v>1.7995568613195401</v>
      </c>
      <c r="AE105" s="30">
        <v>3.9901070086894901</v>
      </c>
      <c r="AF105" s="30">
        <v>5.0790312937986997</v>
      </c>
    </row>
    <row r="106" spans="1:32" s="2" customFormat="1">
      <c r="A106" s="23" t="s">
        <v>16</v>
      </c>
      <c r="B106" s="8" t="s">
        <v>133</v>
      </c>
      <c r="C106" s="9">
        <v>1.4276742939115099</v>
      </c>
      <c r="D106" s="9">
        <v>6.4443125814260205E-2</v>
      </c>
      <c r="E106" s="9">
        <v>0.30547415895964702</v>
      </c>
      <c r="F106" s="9">
        <v>8.8636550007665394E-3</v>
      </c>
      <c r="G106" s="9">
        <v>0.44912382588389099</v>
      </c>
      <c r="H106" s="8"/>
      <c r="I106" s="29">
        <v>2303.5993157549401</v>
      </c>
      <c r="J106" s="30">
        <v>3.9802059784971602E-2</v>
      </c>
      <c r="K106" s="29">
        <v>933.07681789638002</v>
      </c>
      <c r="L106" s="30">
        <v>-3.57691660679979E-3</v>
      </c>
      <c r="M106" s="30">
        <v>16.2427622414856</v>
      </c>
      <c r="N106" s="30">
        <v>55.580599378095897</v>
      </c>
      <c r="O106" s="30">
        <v>9.8621491669807408</v>
      </c>
      <c r="P106" s="30">
        <v>62.372312048098202</v>
      </c>
      <c r="Q106" s="30">
        <v>37.733307915473503</v>
      </c>
      <c r="R106" s="30">
        <v>14.093144147613</v>
      </c>
      <c r="S106" s="30">
        <v>83.444546632144693</v>
      </c>
      <c r="T106" s="30">
        <v>17.540903306053298</v>
      </c>
      <c r="U106" s="30">
        <v>127.710253703609</v>
      </c>
      <c r="V106" s="30">
        <v>29.512067432383699</v>
      </c>
      <c r="W106" s="30">
        <v>88.622931202663807</v>
      </c>
      <c r="X106" s="30">
        <v>12.2505637708355</v>
      </c>
      <c r="Y106" s="30">
        <v>78.923031733996197</v>
      </c>
      <c r="Z106" s="30">
        <v>10.992641148911201</v>
      </c>
      <c r="AA106" s="30">
        <v>-1.2551379357435099E-3</v>
      </c>
      <c r="AB106" s="30">
        <v>-3.7465067958709702E-4</v>
      </c>
      <c r="AC106" s="30">
        <v>0.22722470015126001</v>
      </c>
      <c r="AD106" s="30">
        <v>1.86962915694261</v>
      </c>
      <c r="AE106" s="30">
        <v>7.2486484019892501</v>
      </c>
      <c r="AF106" s="30">
        <v>6.5137512321491897</v>
      </c>
    </row>
    <row r="107" spans="1:32" s="1" customFormat="1">
      <c r="A107" s="23"/>
      <c r="B107" s="23"/>
      <c r="C107" s="24"/>
      <c r="D107" s="24"/>
      <c r="E107" s="24"/>
      <c r="F107" s="24"/>
      <c r="G107" s="24"/>
      <c r="H107" s="23"/>
      <c r="I107" s="27"/>
      <c r="J107" s="28"/>
      <c r="K107" s="27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s="2" customFormat="1">
      <c r="A108" s="23" t="s">
        <v>19</v>
      </c>
      <c r="B108" s="8" t="s">
        <v>142</v>
      </c>
      <c r="C108" s="9">
        <v>1.4214358900158699</v>
      </c>
      <c r="D108" s="9">
        <v>5.9042290020893201E-2</v>
      </c>
      <c r="E108" s="9">
        <v>0.26108025602100898</v>
      </c>
      <c r="F108" s="9">
        <v>5.0896134316666102E-3</v>
      </c>
      <c r="G108" s="9">
        <v>0.47976492413643601</v>
      </c>
      <c r="H108" s="8"/>
      <c r="I108" s="29">
        <v>2901.4818398159</v>
      </c>
      <c r="J108" s="30">
        <v>0.501590004369451</v>
      </c>
      <c r="K108" s="29">
        <v>1879.0885737953399</v>
      </c>
      <c r="L108" s="30">
        <v>5.1424472306632199E-3</v>
      </c>
      <c r="M108" s="30">
        <v>26.957189101385399</v>
      </c>
      <c r="N108" s="30">
        <v>80.199872484519602</v>
      </c>
      <c r="O108" s="30">
        <v>13.180704477056899</v>
      </c>
      <c r="P108" s="30">
        <v>77.204032719948799</v>
      </c>
      <c r="Q108" s="30">
        <v>41.038213091548101</v>
      </c>
      <c r="R108" s="30">
        <v>20.666427932774099</v>
      </c>
      <c r="S108" s="30">
        <v>93.602404921419406</v>
      </c>
      <c r="T108" s="30">
        <v>22.392533081953701</v>
      </c>
      <c r="U108" s="30">
        <v>199.71438123914601</v>
      </c>
      <c r="V108" s="30">
        <v>57.230395753844398</v>
      </c>
      <c r="W108" s="30">
        <v>212.89945024793801</v>
      </c>
      <c r="X108" s="30">
        <v>35.644395596285797</v>
      </c>
      <c r="Y108" s="30">
        <v>266.972751175935</v>
      </c>
      <c r="Z108" s="30">
        <v>40.547125300139797</v>
      </c>
      <c r="AA108" s="30">
        <v>-1.0141160830161599E-3</v>
      </c>
      <c r="AB108" s="30">
        <v>7.7605410577006001E-4</v>
      </c>
      <c r="AC108" s="30">
        <v>0.16907298625859299</v>
      </c>
      <c r="AD108" s="30">
        <v>10.414786457427599</v>
      </c>
      <c r="AE108" s="30">
        <v>22.757535778846201</v>
      </c>
      <c r="AF108" s="30">
        <v>18.612293305790001</v>
      </c>
    </row>
    <row r="109" spans="1:32" s="2" customFormat="1">
      <c r="A109" s="23" t="s">
        <v>19</v>
      </c>
      <c r="B109" s="8" t="s">
        <v>156</v>
      </c>
      <c r="C109" s="9">
        <v>1.0688071653103799</v>
      </c>
      <c r="D109" s="9">
        <v>5.6284247960542599E-2</v>
      </c>
      <c r="E109" s="9">
        <v>0.472566114628589</v>
      </c>
      <c r="F109" s="9">
        <v>1.94498145101746E-2</v>
      </c>
      <c r="G109" s="9">
        <v>0.67188887583128898</v>
      </c>
      <c r="H109" s="8"/>
      <c r="I109" s="29">
        <v>1879.5546693475101</v>
      </c>
      <c r="J109" s="30">
        <v>0.38313824660506701</v>
      </c>
      <c r="K109" s="29">
        <v>293.83715874342602</v>
      </c>
      <c r="L109" s="30">
        <v>2.5421822334846999E-3</v>
      </c>
      <c r="M109" s="30">
        <v>1.5690422923184699</v>
      </c>
      <c r="N109" s="30">
        <v>5.39928423715594</v>
      </c>
      <c r="O109" s="30">
        <v>1.0183096974680601</v>
      </c>
      <c r="P109" s="30">
        <v>6.8787489340842098</v>
      </c>
      <c r="Q109" s="30">
        <v>4.6969624149857703</v>
      </c>
      <c r="R109" s="30">
        <v>2.2341424303312398</v>
      </c>
      <c r="S109" s="30">
        <v>15.9907760608909</v>
      </c>
      <c r="T109" s="30">
        <v>4.0661882945968904</v>
      </c>
      <c r="U109" s="30">
        <v>35.715895173656499</v>
      </c>
      <c r="V109" s="30">
        <v>10.0109915657365</v>
      </c>
      <c r="W109" s="30">
        <v>33.598047666889599</v>
      </c>
      <c r="X109" s="30">
        <v>4.7871716887395301</v>
      </c>
      <c r="Y109" s="30">
        <v>32.5659964947492</v>
      </c>
      <c r="Z109" s="30">
        <v>5.2944636483338403</v>
      </c>
      <c r="AA109" s="30">
        <v>-9.7900612521554706E-4</v>
      </c>
      <c r="AB109" s="30">
        <v>-4.9052776585825804E-4</v>
      </c>
      <c r="AC109" s="30">
        <v>0.47016771995232698</v>
      </c>
      <c r="AD109" s="30">
        <v>3.0334212230983201E-2</v>
      </c>
      <c r="AE109" s="30">
        <v>2.1075376170900899</v>
      </c>
      <c r="AF109" s="30">
        <v>3.1377915013880799</v>
      </c>
    </row>
    <row r="110" spans="1:32" s="2" customFormat="1">
      <c r="A110" s="23" t="s">
        <v>19</v>
      </c>
      <c r="B110" s="8" t="s">
        <v>143</v>
      </c>
      <c r="C110" s="9">
        <v>1.4327245751059201</v>
      </c>
      <c r="D110" s="9">
        <v>5.73086455899924E-2</v>
      </c>
      <c r="E110" s="9">
        <v>0.26068271539086801</v>
      </c>
      <c r="F110" s="9">
        <v>4.4413335293771901E-3</v>
      </c>
      <c r="G110" s="9">
        <v>0.57415353219878795</v>
      </c>
      <c r="H110" s="8"/>
      <c r="I110" s="29">
        <v>2876.15087030211</v>
      </c>
      <c r="J110" s="30">
        <v>1.09499419227769</v>
      </c>
      <c r="K110" s="29">
        <v>1079.41350740852</v>
      </c>
      <c r="L110" s="30">
        <v>1.34739900527211E-2</v>
      </c>
      <c r="M110" s="30">
        <v>35.021292358937103</v>
      </c>
      <c r="N110" s="30">
        <v>127.909672784788</v>
      </c>
      <c r="O110" s="30">
        <v>24.276357718730999</v>
      </c>
      <c r="P110" s="30">
        <v>160.09647365771301</v>
      </c>
      <c r="Q110" s="30">
        <v>92.325432024518804</v>
      </c>
      <c r="R110" s="30">
        <v>29.174654682198302</v>
      </c>
      <c r="S110" s="30">
        <v>169.09885738062999</v>
      </c>
      <c r="T110" s="30">
        <v>29.0223584282306</v>
      </c>
      <c r="U110" s="30">
        <v>182.94306746753401</v>
      </c>
      <c r="V110" s="30">
        <v>37.786250926994903</v>
      </c>
      <c r="W110" s="30">
        <v>102.882114656301</v>
      </c>
      <c r="X110" s="30">
        <v>12.696940028792101</v>
      </c>
      <c r="Y110" s="30">
        <v>79.6426656134349</v>
      </c>
      <c r="Z110" s="30">
        <v>11.1290918992385</v>
      </c>
      <c r="AA110" s="30">
        <v>5.0179264568987601E-2</v>
      </c>
      <c r="AB110" s="30">
        <v>9.6761713576670409E-3</v>
      </c>
      <c r="AC110" s="30">
        <v>9.1485069592763701E-2</v>
      </c>
      <c r="AD110" s="30">
        <v>11.8198417379517</v>
      </c>
      <c r="AE110" s="30">
        <v>33.052571597232003</v>
      </c>
      <c r="AF110" s="30">
        <v>26.1277515059809</v>
      </c>
    </row>
    <row r="111" spans="1:32" s="2" customFormat="1">
      <c r="A111" s="23" t="s">
        <v>19</v>
      </c>
      <c r="B111" s="8" t="s">
        <v>144</v>
      </c>
      <c r="C111" s="9">
        <v>1.2414131482275399</v>
      </c>
      <c r="D111" s="9">
        <v>5.68451138552033E-2</v>
      </c>
      <c r="E111" s="9">
        <v>0.36384085405296201</v>
      </c>
      <c r="F111" s="9">
        <v>1.1608432038271801E-2</v>
      </c>
      <c r="G111" s="9">
        <v>0.31624672948346799</v>
      </c>
      <c r="H111" s="8"/>
      <c r="I111" s="29">
        <v>3211.0394903914698</v>
      </c>
      <c r="J111" s="30">
        <v>0.70224594589781797</v>
      </c>
      <c r="K111" s="29">
        <v>758.58091540431496</v>
      </c>
      <c r="L111" s="30">
        <v>8.6884945912993505E-2</v>
      </c>
      <c r="M111" s="30">
        <v>1.11391578423419</v>
      </c>
      <c r="N111" s="30">
        <v>2.9018134251284602</v>
      </c>
      <c r="O111" s="30">
        <v>0.68849928270165595</v>
      </c>
      <c r="P111" s="30">
        <v>4.0374690063355798</v>
      </c>
      <c r="Q111" s="30">
        <v>3.8901161484685698</v>
      </c>
      <c r="R111" s="30">
        <v>3.1644335534225099</v>
      </c>
      <c r="S111" s="30">
        <v>18.1741930209005</v>
      </c>
      <c r="T111" s="30">
        <v>6.2615306330259504</v>
      </c>
      <c r="U111" s="30">
        <v>72.125076528680296</v>
      </c>
      <c r="V111" s="30">
        <v>24.6705498398446</v>
      </c>
      <c r="W111" s="30">
        <v>99.098787573454103</v>
      </c>
      <c r="X111" s="30">
        <v>16.257767143378899</v>
      </c>
      <c r="Y111" s="30">
        <v>113.587843006927</v>
      </c>
      <c r="Z111" s="30">
        <v>17.6400248412737</v>
      </c>
      <c r="AA111" s="30">
        <v>-9.7352579034842997E-4</v>
      </c>
      <c r="AB111" s="30">
        <v>6.2166214370126399E-3</v>
      </c>
      <c r="AC111" s="30">
        <v>1.16810840131703</v>
      </c>
      <c r="AD111" s="30">
        <v>0.179749538489796</v>
      </c>
      <c r="AE111" s="30">
        <v>4.2368775355837496</v>
      </c>
      <c r="AF111" s="30">
        <v>4.8231273284717098</v>
      </c>
    </row>
    <row r="112" spans="1:32" s="2" customFormat="1">
      <c r="A112" s="23" t="s">
        <v>19</v>
      </c>
      <c r="B112" s="8" t="s">
        <v>145</v>
      </c>
      <c r="C112" s="9">
        <v>1.48592371548885</v>
      </c>
      <c r="D112" s="9">
        <v>5.9066945352889602E-2</v>
      </c>
      <c r="E112" s="9">
        <v>0.25308157527584402</v>
      </c>
      <c r="F112" s="9">
        <v>3.49380870896216E-3</v>
      </c>
      <c r="G112" s="9">
        <v>0.570477780921124</v>
      </c>
      <c r="H112" s="8"/>
      <c r="I112" s="29">
        <v>3324.9695934614601</v>
      </c>
      <c r="J112" s="30">
        <v>0.21139219139359999</v>
      </c>
      <c r="K112" s="29">
        <v>2755.5110824100798</v>
      </c>
      <c r="L112" s="30">
        <v>1.04222978377576E-2</v>
      </c>
      <c r="M112" s="30">
        <v>44.420035544784199</v>
      </c>
      <c r="N112" s="30">
        <v>134.19959321390999</v>
      </c>
      <c r="O112" s="30">
        <v>22.599064550830199</v>
      </c>
      <c r="P112" s="30">
        <v>131.96631045571701</v>
      </c>
      <c r="Q112" s="30">
        <v>68.989293218424194</v>
      </c>
      <c r="R112" s="30">
        <v>28.037820684280199</v>
      </c>
      <c r="S112" s="30">
        <v>148.17766031040301</v>
      </c>
      <c r="T112" s="30">
        <v>34.847809538080199</v>
      </c>
      <c r="U112" s="30">
        <v>307.01574086538199</v>
      </c>
      <c r="V112" s="30">
        <v>86.459238941112503</v>
      </c>
      <c r="W112" s="30">
        <v>314.54932725211199</v>
      </c>
      <c r="X112" s="30">
        <v>50.733146839315303</v>
      </c>
      <c r="Y112" s="30">
        <v>373.58633514902903</v>
      </c>
      <c r="Z112" s="30">
        <v>56.989037568572698</v>
      </c>
      <c r="AA112" s="30">
        <v>-1.3378415356541701E-3</v>
      </c>
      <c r="AB112" s="30">
        <v>6.8225566160211902E-3</v>
      </c>
      <c r="AC112" s="30">
        <v>0.337874454968148</v>
      </c>
      <c r="AD112" s="30">
        <v>35.898861559293799</v>
      </c>
      <c r="AE112" s="30">
        <v>47.818308568241598</v>
      </c>
      <c r="AF112" s="30">
        <v>40.224359349820297</v>
      </c>
    </row>
    <row r="113" spans="1:32" s="2" customFormat="1">
      <c r="A113" s="23" t="s">
        <v>19</v>
      </c>
      <c r="B113" s="8" t="s">
        <v>146</v>
      </c>
      <c r="C113" s="9">
        <v>1.27546613281508</v>
      </c>
      <c r="D113" s="9">
        <v>5.3740411179863001E-2</v>
      </c>
      <c r="E113" s="9">
        <v>0.33440608974421199</v>
      </c>
      <c r="F113" s="9">
        <v>9.4116158277005608E-3</v>
      </c>
      <c r="G113" s="9">
        <v>0.48678025110303402</v>
      </c>
      <c r="H113" s="8"/>
      <c r="I113" s="29">
        <v>2057.0544855871099</v>
      </c>
      <c r="J113" s="30">
        <v>0.87352437441072095</v>
      </c>
      <c r="K113" s="29">
        <v>479.295720245903</v>
      </c>
      <c r="L113" s="30">
        <v>8.1172854495594804E-2</v>
      </c>
      <c r="M113" s="30">
        <v>3.44000583284478</v>
      </c>
      <c r="N113" s="30">
        <v>11.3152393081058</v>
      </c>
      <c r="O113" s="30">
        <v>2.1146172823490299</v>
      </c>
      <c r="P113" s="30">
        <v>12.4211471589237</v>
      </c>
      <c r="Q113" s="30">
        <v>6.3270666986269903</v>
      </c>
      <c r="R113" s="30">
        <v>5.5722969626054297</v>
      </c>
      <c r="S113" s="30">
        <v>18.6514925123046</v>
      </c>
      <c r="T113" s="30">
        <v>5.0233422321667396</v>
      </c>
      <c r="U113" s="30">
        <v>49.718767347594301</v>
      </c>
      <c r="V113" s="30">
        <v>15.2875789816796</v>
      </c>
      <c r="W113" s="30">
        <v>56.141389984292601</v>
      </c>
      <c r="X113" s="30">
        <v>8.8139143561484392</v>
      </c>
      <c r="Y113" s="30">
        <v>62.1478119192316</v>
      </c>
      <c r="Z113" s="30">
        <v>9.7456434045480904</v>
      </c>
      <c r="AA113" s="30">
        <v>-1.0126272728598899E-3</v>
      </c>
      <c r="AB113" s="30">
        <v>-4.9122426218649697E-4</v>
      </c>
      <c r="AC113" s="30">
        <v>0.64291340162344701</v>
      </c>
      <c r="AD113" s="30">
        <v>1.2355248505926799</v>
      </c>
      <c r="AE113" s="30">
        <v>5.0384870126713599</v>
      </c>
      <c r="AF113" s="30">
        <v>5.3619454265470798</v>
      </c>
    </row>
    <row r="114" spans="1:32" s="2" customFormat="1">
      <c r="A114" s="23" t="s">
        <v>19</v>
      </c>
      <c r="B114" s="8" t="s">
        <v>147</v>
      </c>
      <c r="C114" s="9">
        <v>1.5718017116691001</v>
      </c>
      <c r="D114" s="9">
        <v>5.9037605352148803E-2</v>
      </c>
      <c r="E114" s="9">
        <v>0.24313365725496699</v>
      </c>
      <c r="F114" s="9">
        <v>4.7949728869480096E-3</v>
      </c>
      <c r="G114" s="9">
        <v>0.45783527617443598</v>
      </c>
      <c r="H114" s="8"/>
      <c r="I114" s="29">
        <v>3006.8649966217699</v>
      </c>
      <c r="J114" s="30">
        <v>0.58403268799295005</v>
      </c>
      <c r="K114" s="29">
        <v>2374.5664077522201</v>
      </c>
      <c r="L114" s="30">
        <v>3.9177296461738398E-2</v>
      </c>
      <c r="M114" s="30">
        <v>11.602882839342801</v>
      </c>
      <c r="N114" s="30">
        <v>46.840998696409997</v>
      </c>
      <c r="O114" s="30">
        <v>9.7071515310990097</v>
      </c>
      <c r="P114" s="30">
        <v>69.356297964271405</v>
      </c>
      <c r="Q114" s="30">
        <v>50.656819235192501</v>
      </c>
      <c r="R114" s="30">
        <v>23.058348342393401</v>
      </c>
      <c r="S114" s="30">
        <v>146.16066494759801</v>
      </c>
      <c r="T114" s="30">
        <v>33.365236743743303</v>
      </c>
      <c r="U114" s="30">
        <v>284.09680118533601</v>
      </c>
      <c r="V114" s="30">
        <v>78.959046177490507</v>
      </c>
      <c r="W114" s="30">
        <v>277.74812119131002</v>
      </c>
      <c r="X114" s="30">
        <v>43.541759564198003</v>
      </c>
      <c r="Y114" s="30">
        <v>305.92734988060897</v>
      </c>
      <c r="Z114" s="30">
        <v>44.407329120847301</v>
      </c>
      <c r="AA114" s="30">
        <v>3.3797524093798999E-2</v>
      </c>
      <c r="AB114" s="30">
        <v>7.2686399294639003E-3</v>
      </c>
      <c r="AC114" s="30">
        <v>1.38675090808642</v>
      </c>
      <c r="AD114" s="30">
        <v>28.397866613178898</v>
      </c>
      <c r="AE114" s="30">
        <v>39.744201582289499</v>
      </c>
      <c r="AF114" s="30">
        <v>31.108606213327</v>
      </c>
    </row>
    <row r="115" spans="1:32" s="2" customFormat="1">
      <c r="A115" s="23" t="s">
        <v>19</v>
      </c>
      <c r="B115" s="8" t="s">
        <v>157</v>
      </c>
      <c r="C115" s="9">
        <v>0.95228007862443298</v>
      </c>
      <c r="D115" s="9">
        <v>5.2846445298807498E-2</v>
      </c>
      <c r="E115" s="9">
        <v>0.59148844155520997</v>
      </c>
      <c r="F115" s="9">
        <v>2.4991837102494401E-2</v>
      </c>
      <c r="G115" s="9">
        <v>0.61790052231289205</v>
      </c>
      <c r="H115" s="8"/>
      <c r="I115" s="29">
        <v>1880.9728556958601</v>
      </c>
      <c r="J115" s="30">
        <v>0.14243687432223001</v>
      </c>
      <c r="K115" s="29">
        <v>117.144306984141</v>
      </c>
      <c r="L115" s="30">
        <v>2.8346490759770401E-2</v>
      </c>
      <c r="M115" s="30">
        <v>0.38484272648375201</v>
      </c>
      <c r="N115" s="30">
        <v>1.4774138029592201</v>
      </c>
      <c r="O115" s="30">
        <v>0.357899984911347</v>
      </c>
      <c r="P115" s="30">
        <v>3.0972269240030701</v>
      </c>
      <c r="Q115" s="30">
        <v>2.7902736697845598</v>
      </c>
      <c r="R115" s="30">
        <v>1.4100302532522799</v>
      </c>
      <c r="S115" s="30">
        <v>9.2608905170620606</v>
      </c>
      <c r="T115" s="30">
        <v>2.0044851669918802</v>
      </c>
      <c r="U115" s="30">
        <v>15.460461106945401</v>
      </c>
      <c r="V115" s="30">
        <v>3.95013496468178</v>
      </c>
      <c r="W115" s="30">
        <v>12.5010154886044</v>
      </c>
      <c r="X115" s="30">
        <v>1.8068268467962201</v>
      </c>
      <c r="Y115" s="30">
        <v>12.043605453173001</v>
      </c>
      <c r="Z115" s="30">
        <v>2.0410581438165201</v>
      </c>
      <c r="AA115" s="30">
        <v>-1.0085257206226201E-3</v>
      </c>
      <c r="AB115" s="30">
        <v>-2.0144956747990199E-4</v>
      </c>
      <c r="AC115" s="30">
        <v>0.97395607492271097</v>
      </c>
      <c r="AD115" s="30">
        <v>-6.7971845169360307E-2</v>
      </c>
      <c r="AE115" s="30">
        <v>0.92687461781084901</v>
      </c>
      <c r="AF115" s="30">
        <v>2.0668021263557002</v>
      </c>
    </row>
    <row r="116" spans="1:32" s="2" customFormat="1">
      <c r="A116" s="23" t="s">
        <v>19</v>
      </c>
      <c r="B116" s="8" t="s">
        <v>148</v>
      </c>
      <c r="C116" s="9">
        <v>1.47500119584996</v>
      </c>
      <c r="D116" s="9">
        <v>6.0623115448847201E-2</v>
      </c>
      <c r="E116" s="9">
        <v>0.26476695562771002</v>
      </c>
      <c r="F116" s="9">
        <v>4.9380213978308203E-3</v>
      </c>
      <c r="G116" s="9">
        <v>0.50288259838784799</v>
      </c>
      <c r="H116" s="8"/>
      <c r="I116" s="29">
        <v>2721.4201030481399</v>
      </c>
      <c r="J116" s="30">
        <v>1.6823498285970699</v>
      </c>
      <c r="K116" s="29">
        <v>1548.0802353332399</v>
      </c>
      <c r="L116" s="30">
        <v>2.7803370787502699E-2</v>
      </c>
      <c r="M116" s="30">
        <v>21.390610693755999</v>
      </c>
      <c r="N116" s="30">
        <v>65.378978702809206</v>
      </c>
      <c r="O116" s="30">
        <v>11.0597762832332</v>
      </c>
      <c r="P116" s="30">
        <v>65.697326387273506</v>
      </c>
      <c r="Q116" s="30">
        <v>35.649853448421901</v>
      </c>
      <c r="R116" s="30">
        <v>21.039024799726999</v>
      </c>
      <c r="S116" s="30">
        <v>80.324943502885503</v>
      </c>
      <c r="T116" s="30">
        <v>19.1219501184545</v>
      </c>
      <c r="U116" s="30">
        <v>167.17106713507201</v>
      </c>
      <c r="V116" s="30">
        <v>48.165091308289497</v>
      </c>
      <c r="W116" s="30">
        <v>179.77119477442099</v>
      </c>
      <c r="X116" s="30">
        <v>30.091076108290199</v>
      </c>
      <c r="Y116" s="30">
        <v>231.05910087748299</v>
      </c>
      <c r="Z116" s="30">
        <v>36.387828048409098</v>
      </c>
      <c r="AA116" s="30">
        <v>-1.0094767400971301E-3</v>
      </c>
      <c r="AB116" s="30">
        <v>3.0709320309306601E-3</v>
      </c>
      <c r="AC116" s="30">
        <v>0.33680442177453901</v>
      </c>
      <c r="AD116" s="30">
        <v>5.4047857907659598</v>
      </c>
      <c r="AE116" s="30">
        <v>21.815874935373198</v>
      </c>
      <c r="AF116" s="30">
        <v>17.628034599921602</v>
      </c>
    </row>
    <row r="117" spans="1:32" s="2" customFormat="1">
      <c r="A117" s="23" t="s">
        <v>19</v>
      </c>
      <c r="B117" s="8" t="s">
        <v>149</v>
      </c>
      <c r="C117" s="9">
        <v>1.4723159351975701</v>
      </c>
      <c r="D117" s="9">
        <v>6.0340382465766E-2</v>
      </c>
      <c r="E117" s="9">
        <v>0.274956176719727</v>
      </c>
      <c r="F117" s="9">
        <v>4.7259250593180303E-3</v>
      </c>
      <c r="G117" s="9">
        <v>0.605209860385587</v>
      </c>
      <c r="H117" s="8"/>
      <c r="I117" s="29">
        <v>2870.3393939402699</v>
      </c>
      <c r="J117" s="30">
        <v>0.60319833427251801</v>
      </c>
      <c r="K117" s="29">
        <v>2143.9671463537302</v>
      </c>
      <c r="L117" s="30">
        <v>3.0818583784602199E-2</v>
      </c>
      <c r="M117" s="30">
        <v>22.1692437795034</v>
      </c>
      <c r="N117" s="30">
        <v>65.894342813269006</v>
      </c>
      <c r="O117" s="30">
        <v>10.7570525079145</v>
      </c>
      <c r="P117" s="30">
        <v>61.466425210464998</v>
      </c>
      <c r="Q117" s="30">
        <v>36.820393174769997</v>
      </c>
      <c r="R117" s="30">
        <v>19.210843016053602</v>
      </c>
      <c r="S117" s="30">
        <v>95.554493365670197</v>
      </c>
      <c r="T117" s="30">
        <v>25.0892667833362</v>
      </c>
      <c r="U117" s="30">
        <v>229.87143030359499</v>
      </c>
      <c r="V117" s="30">
        <v>67.135875617819707</v>
      </c>
      <c r="W117" s="30">
        <v>247.036311197933</v>
      </c>
      <c r="X117" s="30">
        <v>40.1631214578453</v>
      </c>
      <c r="Y117" s="30">
        <v>294.44134661642101</v>
      </c>
      <c r="Z117" s="30">
        <v>45.838064608032703</v>
      </c>
      <c r="AA117" s="30">
        <v>-1.01400682534757E-3</v>
      </c>
      <c r="AB117" s="30">
        <v>6.2693250949719904E-3</v>
      </c>
      <c r="AC117" s="30">
        <v>0.14685307340036499</v>
      </c>
      <c r="AD117" s="30">
        <v>6.0043982281643</v>
      </c>
      <c r="AE117" s="30">
        <v>18.6189292606099</v>
      </c>
      <c r="AF117" s="30">
        <v>15.6282075480181</v>
      </c>
    </row>
    <row r="118" spans="1:32" s="2" customFormat="1">
      <c r="A118" s="23" t="s">
        <v>19</v>
      </c>
      <c r="B118" s="8" t="s">
        <v>150</v>
      </c>
      <c r="C118" s="9">
        <v>1.47287553336294</v>
      </c>
      <c r="D118" s="9">
        <v>5.9230403764885697E-2</v>
      </c>
      <c r="E118" s="9">
        <v>0.25876091445765997</v>
      </c>
      <c r="F118" s="9">
        <v>4.7559985775000599E-3</v>
      </c>
      <c r="G118" s="9">
        <v>0.11041327771621</v>
      </c>
      <c r="H118" s="8"/>
      <c r="I118" s="29">
        <v>2644.0993966698702</v>
      </c>
      <c r="J118" s="30">
        <v>0.80762544190929197</v>
      </c>
      <c r="K118" s="29">
        <v>1891.3079934273301</v>
      </c>
      <c r="L118" s="30">
        <v>2.9712107381906699E-2</v>
      </c>
      <c r="M118" s="30">
        <v>20.806447823929499</v>
      </c>
      <c r="N118" s="30">
        <v>69.354979905666198</v>
      </c>
      <c r="O118" s="30">
        <v>11.7954744849746</v>
      </c>
      <c r="P118" s="30">
        <v>71.353994615095303</v>
      </c>
      <c r="Q118" s="30">
        <v>37.626551264250402</v>
      </c>
      <c r="R118" s="30">
        <v>18.069651059101499</v>
      </c>
      <c r="S118" s="30">
        <v>87.180616856187996</v>
      </c>
      <c r="T118" s="30">
        <v>21.480291010729601</v>
      </c>
      <c r="U118" s="30">
        <v>197.257495902372</v>
      </c>
      <c r="V118" s="30">
        <v>58.477933143591798</v>
      </c>
      <c r="W118" s="30">
        <v>226.04829845784101</v>
      </c>
      <c r="X118" s="30">
        <v>37.964814002308202</v>
      </c>
      <c r="Y118" s="30">
        <v>300.08225193996401</v>
      </c>
      <c r="Z118" s="30">
        <v>48.250111025355203</v>
      </c>
      <c r="AA118" s="30">
        <v>-1.3600458289262801E-3</v>
      </c>
      <c r="AB118" s="30">
        <v>8.0828537225609808E-3</v>
      </c>
      <c r="AC118" s="30">
        <v>0.52454197584149798</v>
      </c>
      <c r="AD118" s="30">
        <v>8.8275017600594694</v>
      </c>
      <c r="AE118" s="30">
        <v>26.418909245892401</v>
      </c>
      <c r="AF118" s="30">
        <v>21.2842853097989</v>
      </c>
    </row>
    <row r="119" spans="1:32" s="2" customFormat="1">
      <c r="A119" s="23" t="s">
        <v>19</v>
      </c>
      <c r="B119" s="8" t="s">
        <v>158</v>
      </c>
      <c r="C119" s="9">
        <v>1.4629896525019701</v>
      </c>
      <c r="D119" s="9">
        <v>5.68417568691078E-2</v>
      </c>
      <c r="E119" s="9">
        <v>0.284763078690766</v>
      </c>
      <c r="F119" s="9">
        <v>6.6507402243223303E-3</v>
      </c>
      <c r="G119" s="9">
        <v>0.37057316777250698</v>
      </c>
      <c r="H119" s="8"/>
      <c r="I119" s="29">
        <v>2020.7130406290401</v>
      </c>
      <c r="J119" s="30">
        <v>0.35084462784209602</v>
      </c>
      <c r="K119" s="29">
        <v>347.451771060444</v>
      </c>
      <c r="L119" s="30">
        <v>2.7318663602959498E-2</v>
      </c>
      <c r="M119" s="30">
        <v>2.9569119382614701</v>
      </c>
      <c r="N119" s="30">
        <v>14.5281954771442</v>
      </c>
      <c r="O119" s="30">
        <v>3.33363764691026</v>
      </c>
      <c r="P119" s="30">
        <v>27.0554966132784</v>
      </c>
      <c r="Q119" s="30">
        <v>16.281207070825801</v>
      </c>
      <c r="R119" s="30">
        <v>5.3045586075480298</v>
      </c>
      <c r="S119" s="30">
        <v>36.926613226245301</v>
      </c>
      <c r="T119" s="30">
        <v>6.8428305089149397</v>
      </c>
      <c r="U119" s="30">
        <v>48.276002938616799</v>
      </c>
      <c r="V119" s="30">
        <v>11.4957280064567</v>
      </c>
      <c r="W119" s="30">
        <v>36.495723184058697</v>
      </c>
      <c r="X119" s="30">
        <v>5.2900489785950597</v>
      </c>
      <c r="Y119" s="30">
        <v>39.521122694556702</v>
      </c>
      <c r="Z119" s="30">
        <v>6.9994021384240996</v>
      </c>
      <c r="AA119" s="30">
        <v>-1.0020251043900801E-3</v>
      </c>
      <c r="AB119" s="30">
        <v>-4.7977399925479698E-4</v>
      </c>
      <c r="AC119" s="30">
        <v>0.42421130441508098</v>
      </c>
      <c r="AD119" s="30">
        <v>1.8124245182041001</v>
      </c>
      <c r="AE119" s="30">
        <v>11.6351396212622</v>
      </c>
      <c r="AF119" s="30">
        <v>9.7749957490552006</v>
      </c>
    </row>
    <row r="120" spans="1:32" s="2" customFormat="1">
      <c r="A120" s="23" t="s">
        <v>19</v>
      </c>
      <c r="B120" s="8" t="s">
        <v>159</v>
      </c>
      <c r="C120" s="9">
        <v>1.16740308388026</v>
      </c>
      <c r="D120" s="9">
        <v>5.8734990577274597E-2</v>
      </c>
      <c r="E120" s="9">
        <v>0.46736330035023399</v>
      </c>
      <c r="F120" s="9">
        <v>1.84518334958555E-2</v>
      </c>
      <c r="G120" s="9">
        <v>0.393028147273635</v>
      </c>
      <c r="H120" s="8"/>
      <c r="I120" s="29">
        <v>1909.4224492508099</v>
      </c>
      <c r="J120" s="30">
        <v>0.431796133062469</v>
      </c>
      <c r="K120" s="29">
        <v>84.224144150477002</v>
      </c>
      <c r="L120" s="30">
        <v>2.10846698379498E-2</v>
      </c>
      <c r="M120" s="30">
        <v>0.62432598052326405</v>
      </c>
      <c r="N120" s="30">
        <v>2.7458970317978202</v>
      </c>
      <c r="O120" s="30">
        <v>0.58756407730230298</v>
      </c>
      <c r="P120" s="30">
        <v>4.4261511028124998</v>
      </c>
      <c r="Q120" s="30">
        <v>2.1021984614875699</v>
      </c>
      <c r="R120" s="30">
        <v>0.70761425874100603</v>
      </c>
      <c r="S120" s="30">
        <v>5.4524648304391903</v>
      </c>
      <c r="T120" s="30">
        <v>1.0249938417034301</v>
      </c>
      <c r="U120" s="30">
        <v>8.5549532010134293</v>
      </c>
      <c r="V120" s="30">
        <v>2.75106562611322</v>
      </c>
      <c r="W120" s="30">
        <v>11.0204925894034</v>
      </c>
      <c r="X120" s="30">
        <v>2.1093351936024902</v>
      </c>
      <c r="Y120" s="30">
        <v>17.9626867210631</v>
      </c>
      <c r="Z120" s="30">
        <v>3.2539090851577601</v>
      </c>
      <c r="AA120" s="30">
        <v>-1.0155880594228E-3</v>
      </c>
      <c r="AB120" s="30">
        <v>-4.8102141814338199E-4</v>
      </c>
      <c r="AC120" s="30">
        <v>2.6008643691445199</v>
      </c>
      <c r="AD120" s="30">
        <v>-4.6897138346234303E-2</v>
      </c>
      <c r="AE120" s="30">
        <v>1.68715810132429</v>
      </c>
      <c r="AF120" s="30">
        <v>2.57484752965081</v>
      </c>
    </row>
    <row r="121" spans="1:32" s="2" customFormat="1">
      <c r="A121" s="23" t="s">
        <v>19</v>
      </c>
      <c r="B121" s="8" t="s">
        <v>151</v>
      </c>
      <c r="C121" s="9">
        <v>1.48921614373526</v>
      </c>
      <c r="D121" s="9">
        <v>6.0366072521018499E-2</v>
      </c>
      <c r="E121" s="9">
        <v>0.25639556338575298</v>
      </c>
      <c r="F121" s="9">
        <v>4.3115042026591497E-3</v>
      </c>
      <c r="G121" s="9">
        <v>0.55846330937842203</v>
      </c>
      <c r="H121" s="8"/>
      <c r="I121" s="29">
        <v>2883.6496715452199</v>
      </c>
      <c r="J121" s="30">
        <v>0.20977821448457901</v>
      </c>
      <c r="K121" s="29">
        <v>1974.7221198234599</v>
      </c>
      <c r="L121" s="30">
        <v>7.5895120609595097E-3</v>
      </c>
      <c r="M121" s="30">
        <v>30.7601560005827</v>
      </c>
      <c r="N121" s="30">
        <v>94.487575109616998</v>
      </c>
      <c r="O121" s="30">
        <v>15.4967792877656</v>
      </c>
      <c r="P121" s="30">
        <v>91.259563143289398</v>
      </c>
      <c r="Q121" s="30">
        <v>48.949014239216403</v>
      </c>
      <c r="R121" s="30">
        <v>19.710122485355299</v>
      </c>
      <c r="S121" s="30">
        <v>107.795873286407</v>
      </c>
      <c r="T121" s="30">
        <v>25.612094555968699</v>
      </c>
      <c r="U121" s="30">
        <v>221.13902213877</v>
      </c>
      <c r="V121" s="30">
        <v>62.398757049869403</v>
      </c>
      <c r="W121" s="30">
        <v>224.462533914608</v>
      </c>
      <c r="X121" s="30">
        <v>36.121437285667596</v>
      </c>
      <c r="Y121" s="30">
        <v>259.75381494708802</v>
      </c>
      <c r="Z121" s="30">
        <v>39.395178557536099</v>
      </c>
      <c r="AA121" s="30">
        <v>-1.0224737228430999E-3</v>
      </c>
      <c r="AB121" s="30">
        <v>1.05477810477545E-3</v>
      </c>
      <c r="AC121" s="30">
        <v>0.101717348135792</v>
      </c>
      <c r="AD121" s="30">
        <v>16.586165247316298</v>
      </c>
      <c r="AE121" s="30">
        <v>27.566200441763101</v>
      </c>
      <c r="AF121" s="30">
        <v>23.241725289587201</v>
      </c>
    </row>
    <row r="122" spans="1:32" s="2" customFormat="1">
      <c r="A122" s="23" t="s">
        <v>19</v>
      </c>
      <c r="B122" s="8" t="s">
        <v>160</v>
      </c>
      <c r="C122" s="9">
        <v>1.56272950573039</v>
      </c>
      <c r="D122" s="9">
        <v>6.6838794971557106E-2</v>
      </c>
      <c r="E122" s="9">
        <v>0.24555488401119599</v>
      </c>
      <c r="F122" s="9">
        <v>4.5328773942983304E-3</v>
      </c>
      <c r="G122" s="9">
        <v>0.55833575769210098</v>
      </c>
      <c r="H122" s="8"/>
      <c r="I122" s="29">
        <v>4033.9167713612901</v>
      </c>
      <c r="J122" s="30">
        <v>0.235164292147892</v>
      </c>
      <c r="K122" s="29">
        <v>3950.3886294936301</v>
      </c>
      <c r="L122" s="30">
        <v>-4.8242823959219099E-3</v>
      </c>
      <c r="M122" s="30">
        <v>24.7239137217524</v>
      </c>
      <c r="N122" s="30">
        <v>88.237397486922404</v>
      </c>
      <c r="O122" s="30">
        <v>16.788608944911601</v>
      </c>
      <c r="P122" s="30">
        <v>112.3147105107</v>
      </c>
      <c r="Q122" s="30">
        <v>82.751505999604305</v>
      </c>
      <c r="R122" s="30">
        <v>22.121877017810299</v>
      </c>
      <c r="S122" s="30">
        <v>241.96028106754099</v>
      </c>
      <c r="T122" s="30">
        <v>60.325458893871598</v>
      </c>
      <c r="U122" s="30">
        <v>507.13276486741398</v>
      </c>
      <c r="V122" s="30">
        <v>133.17575091532399</v>
      </c>
      <c r="W122" s="30">
        <v>434.58532724459701</v>
      </c>
      <c r="X122" s="30">
        <v>63.364663849133102</v>
      </c>
      <c r="Y122" s="30">
        <v>418.94998036067699</v>
      </c>
      <c r="Z122" s="30">
        <v>60.0951622209422</v>
      </c>
      <c r="AA122" s="30">
        <v>4.3462170474748603E-2</v>
      </c>
      <c r="AB122" s="30">
        <v>8.6402663448318304E-3</v>
      </c>
      <c r="AC122" s="30">
        <v>8.1735799895251607E-2</v>
      </c>
      <c r="AD122" s="30">
        <v>16.304459365607801</v>
      </c>
      <c r="AE122" s="30">
        <v>53.809757903581101</v>
      </c>
      <c r="AF122" s="30">
        <v>39.900590381881401</v>
      </c>
    </row>
    <row r="123" spans="1:32" s="2" customFormat="1">
      <c r="A123" s="23" t="s">
        <v>19</v>
      </c>
      <c r="B123" s="8" t="s">
        <v>152</v>
      </c>
      <c r="C123" s="9">
        <v>1.47250250303731</v>
      </c>
      <c r="D123" s="9">
        <v>6.0500052435867799E-2</v>
      </c>
      <c r="E123" s="9">
        <v>0.25847284165544199</v>
      </c>
      <c r="F123" s="9">
        <v>4.8359020379534498E-3</v>
      </c>
      <c r="G123" s="9">
        <v>0.57269351195104501</v>
      </c>
      <c r="H123" s="8"/>
      <c r="I123" s="29">
        <v>2740.0642983645198</v>
      </c>
      <c r="J123" s="30">
        <v>0.34733621559414402</v>
      </c>
      <c r="K123" s="29">
        <v>1583.75512339446</v>
      </c>
      <c r="L123" s="30">
        <v>6.8609819519534999E-3</v>
      </c>
      <c r="M123" s="30">
        <v>28.2898172709913</v>
      </c>
      <c r="N123" s="30">
        <v>83.006937987360502</v>
      </c>
      <c r="O123" s="30">
        <v>13.69323699928</v>
      </c>
      <c r="P123" s="30">
        <v>77.585440748418804</v>
      </c>
      <c r="Q123" s="30">
        <v>40.626963467552898</v>
      </c>
      <c r="R123" s="30">
        <v>21.567933343339199</v>
      </c>
      <c r="S123" s="30">
        <v>90.985863634960694</v>
      </c>
      <c r="T123" s="30">
        <v>20.869585609672299</v>
      </c>
      <c r="U123" s="30">
        <v>175.27892537408999</v>
      </c>
      <c r="V123" s="30">
        <v>49.164926209942202</v>
      </c>
      <c r="W123" s="30">
        <v>176.00472011209001</v>
      </c>
      <c r="X123" s="30">
        <v>29.0101253674747</v>
      </c>
      <c r="Y123" s="30">
        <v>224.06870328373401</v>
      </c>
      <c r="Z123" s="30">
        <v>34.545561126966597</v>
      </c>
      <c r="AA123" s="30">
        <v>0.33874108031161998</v>
      </c>
      <c r="AB123" s="30">
        <v>4.1778296337833497E-3</v>
      </c>
      <c r="AC123" s="30">
        <v>0.62161499598557701</v>
      </c>
      <c r="AD123" s="30">
        <v>6.6424111408395197</v>
      </c>
      <c r="AE123" s="30">
        <v>23.4826640084136</v>
      </c>
      <c r="AF123" s="30">
        <v>18.664215565202401</v>
      </c>
    </row>
    <row r="124" spans="1:32" s="2" customFormat="1">
      <c r="A124" s="23" t="s">
        <v>19</v>
      </c>
      <c r="B124" s="8" t="s">
        <v>153</v>
      </c>
      <c r="C124" s="9">
        <v>0.80336034920338095</v>
      </c>
      <c r="D124" s="9">
        <v>4.6468037813984703E-2</v>
      </c>
      <c r="E124" s="9">
        <v>0.59766508102654403</v>
      </c>
      <c r="F124" s="9">
        <v>2.65113831276718E-2</v>
      </c>
      <c r="G124" s="9">
        <v>0.64448444262496796</v>
      </c>
      <c r="H124" s="8"/>
      <c r="I124" s="29">
        <v>2044.3608940568599</v>
      </c>
      <c r="J124" s="30">
        <v>0.47552961536481803</v>
      </c>
      <c r="K124" s="29">
        <v>143.20181107533699</v>
      </c>
      <c r="L124" s="30">
        <v>-4.5693551937214102E-3</v>
      </c>
      <c r="M124" s="30">
        <v>3.2823710365127199</v>
      </c>
      <c r="N124" s="30">
        <v>13.0290432958056</v>
      </c>
      <c r="O124" s="30">
        <v>2.6878998091222499</v>
      </c>
      <c r="P124" s="30">
        <v>17.965419796549899</v>
      </c>
      <c r="Q124" s="30">
        <v>8.4802731526453492</v>
      </c>
      <c r="R124" s="30">
        <v>2.5506344253104798</v>
      </c>
      <c r="S124" s="30">
        <v>18.0754376350482</v>
      </c>
      <c r="T124" s="30">
        <v>3.0811553639065301</v>
      </c>
      <c r="U124" s="30">
        <v>20.654074583596699</v>
      </c>
      <c r="V124" s="30">
        <v>5.0272289130790897</v>
      </c>
      <c r="W124" s="30">
        <v>15.3095575027998</v>
      </c>
      <c r="X124" s="30">
        <v>2.30137991626997</v>
      </c>
      <c r="Y124" s="30">
        <v>16.8440168132501</v>
      </c>
      <c r="Z124" s="30">
        <v>2.8616230211990898</v>
      </c>
      <c r="AA124" s="30">
        <v>-1.07263162462827E-3</v>
      </c>
      <c r="AB124" s="30">
        <v>-5.0094436642211197E-4</v>
      </c>
      <c r="AC124" s="30">
        <v>0.405144858953709</v>
      </c>
      <c r="AD124" s="30">
        <v>-4.5542823143941903E-2</v>
      </c>
      <c r="AE124" s="30">
        <v>0.93205610339400802</v>
      </c>
      <c r="AF124" s="30">
        <v>2.3853532358031</v>
      </c>
    </row>
    <row r="125" spans="1:32" s="2" customFormat="1">
      <c r="A125" s="23" t="s">
        <v>19</v>
      </c>
      <c r="B125" s="8" t="s">
        <v>154</v>
      </c>
      <c r="C125" s="9">
        <v>1.49441569594297</v>
      </c>
      <c r="D125" s="9">
        <v>6.1349229760524301E-2</v>
      </c>
      <c r="E125" s="9">
        <v>0.27614953673604298</v>
      </c>
      <c r="F125" s="9">
        <v>6.5832592524313503E-3</v>
      </c>
      <c r="G125" s="9">
        <v>0.338843439013923</v>
      </c>
      <c r="H125" s="8"/>
      <c r="I125" s="29">
        <v>2223.8280362176802</v>
      </c>
      <c r="J125" s="30">
        <v>0.38925543161492199</v>
      </c>
      <c r="K125" s="29">
        <v>944.77326211793695</v>
      </c>
      <c r="L125" s="30">
        <v>2.4026472549079701E-3</v>
      </c>
      <c r="M125" s="30">
        <v>12.957308127305099</v>
      </c>
      <c r="N125" s="30">
        <v>42.755695814657102</v>
      </c>
      <c r="O125" s="30">
        <v>7.5966358844545203</v>
      </c>
      <c r="P125" s="30">
        <v>44.799805323666199</v>
      </c>
      <c r="Q125" s="30">
        <v>27.953628388458799</v>
      </c>
      <c r="R125" s="30">
        <v>10.4865631708018</v>
      </c>
      <c r="S125" s="30">
        <v>69.167021195938403</v>
      </c>
      <c r="T125" s="30">
        <v>15.349823134663801</v>
      </c>
      <c r="U125" s="30">
        <v>121.67947555155899</v>
      </c>
      <c r="V125" s="30">
        <v>32.102817089666701</v>
      </c>
      <c r="W125" s="30">
        <v>108.490811939404</v>
      </c>
      <c r="X125" s="30">
        <v>16.134798767806402</v>
      </c>
      <c r="Y125" s="30">
        <v>108.67493289316999</v>
      </c>
      <c r="Z125" s="30">
        <v>15.6442164245901</v>
      </c>
      <c r="AA125" s="30">
        <v>-1.0437586603854901E-3</v>
      </c>
      <c r="AB125" s="30">
        <v>5.5051346172693399E-3</v>
      </c>
      <c r="AC125" s="30">
        <v>0.38884152267978001</v>
      </c>
      <c r="AD125" s="30">
        <v>2.6351053642280302</v>
      </c>
      <c r="AE125" s="30">
        <v>10.5400967667077</v>
      </c>
      <c r="AF125" s="30">
        <v>8.9222451550732398</v>
      </c>
    </row>
    <row r="126" spans="1:32" s="2" customFormat="1">
      <c r="A126" s="23" t="s">
        <v>19</v>
      </c>
      <c r="B126" s="8" t="s">
        <v>161</v>
      </c>
      <c r="C126" s="9">
        <v>1.50091664116379</v>
      </c>
      <c r="D126" s="9">
        <v>6.2842758968372894E-2</v>
      </c>
      <c r="E126" s="9">
        <v>0.24596159660111</v>
      </c>
      <c r="F126" s="9">
        <v>3.9423181732453402E-3</v>
      </c>
      <c r="G126" s="9">
        <v>0.61833874932795296</v>
      </c>
      <c r="H126" s="8"/>
      <c r="I126" s="29">
        <v>2577.5125125342902</v>
      </c>
      <c r="J126" s="30">
        <v>0.73972637110174899</v>
      </c>
      <c r="K126" s="29">
        <v>1145.7395732477701</v>
      </c>
      <c r="L126" s="30">
        <v>1.8693218090444701E-2</v>
      </c>
      <c r="M126" s="30">
        <v>13.6275880742244</v>
      </c>
      <c r="N126" s="30">
        <v>62.7833093845665</v>
      </c>
      <c r="O126" s="30">
        <v>13.531795433393</v>
      </c>
      <c r="P126" s="30">
        <v>99.366804265881498</v>
      </c>
      <c r="Q126" s="30">
        <v>57.568329370603799</v>
      </c>
      <c r="R126" s="30">
        <v>10.3041324052896</v>
      </c>
      <c r="S126" s="30">
        <v>121.13652648732599</v>
      </c>
      <c r="T126" s="30">
        <v>23.450718655101198</v>
      </c>
      <c r="U126" s="30">
        <v>166.06734932485</v>
      </c>
      <c r="V126" s="30">
        <v>40.042243629490997</v>
      </c>
      <c r="W126" s="30">
        <v>124.77620890871</v>
      </c>
      <c r="X126" s="30">
        <v>18.310622381837401</v>
      </c>
      <c r="Y126" s="30">
        <v>134.31827134446999</v>
      </c>
      <c r="Z126" s="30">
        <v>22.064646797664199</v>
      </c>
      <c r="AA126" s="30">
        <v>-1.01864567799709E-3</v>
      </c>
      <c r="AB126" s="30">
        <v>5.1359007974876398E-3</v>
      </c>
      <c r="AC126" s="30">
        <v>0.45223547309089501</v>
      </c>
      <c r="AD126" s="30">
        <v>5.8929060110656399</v>
      </c>
      <c r="AE126" s="30">
        <v>43.671356040606803</v>
      </c>
      <c r="AF126" s="30">
        <v>31.401640899987601</v>
      </c>
    </row>
    <row r="127" spans="1:32" s="2" customFormat="1">
      <c r="A127" s="23" t="s">
        <v>19</v>
      </c>
      <c r="B127" s="8" t="s">
        <v>155</v>
      </c>
      <c r="C127" s="9">
        <v>1.4575414576083501</v>
      </c>
      <c r="D127" s="9">
        <v>5.8440391029934598E-2</v>
      </c>
      <c r="E127" s="9">
        <v>0.25228656769221902</v>
      </c>
      <c r="F127" s="9">
        <v>4.5471415065599496E-3</v>
      </c>
      <c r="G127" s="9">
        <v>0.42903966438675201</v>
      </c>
      <c r="H127" s="8"/>
      <c r="I127" s="29">
        <v>2849.1709896706302</v>
      </c>
      <c r="J127" s="30">
        <v>0.69240252889255904</v>
      </c>
      <c r="K127" s="29">
        <v>1871.2532083107201</v>
      </c>
      <c r="L127" s="30">
        <v>5.6074291021734397E-2</v>
      </c>
      <c r="M127" s="30">
        <v>16.902984247274201</v>
      </c>
      <c r="N127" s="30">
        <v>56.100996740725698</v>
      </c>
      <c r="O127" s="30">
        <v>9.8905973296638603</v>
      </c>
      <c r="P127" s="30">
        <v>60.990466181108701</v>
      </c>
      <c r="Q127" s="30">
        <v>37.604660320906298</v>
      </c>
      <c r="R127" s="30">
        <v>13.707411530907899</v>
      </c>
      <c r="S127" s="30">
        <v>109.11230122166999</v>
      </c>
      <c r="T127" s="30">
        <v>27.662311371722399</v>
      </c>
      <c r="U127" s="30">
        <v>242.06869673891501</v>
      </c>
      <c r="V127" s="30">
        <v>64.557584933995599</v>
      </c>
      <c r="W127" s="30">
        <v>211.31788009637901</v>
      </c>
      <c r="X127" s="30">
        <v>30.3937006592571</v>
      </c>
      <c r="Y127" s="30">
        <v>200.39011136199201</v>
      </c>
      <c r="Z127" s="30">
        <v>29.191902320467101</v>
      </c>
      <c r="AA127" s="30">
        <v>-9.9627226916293595E-4</v>
      </c>
      <c r="AB127" s="30">
        <v>6.6476472000045299E-3</v>
      </c>
      <c r="AC127" s="30">
        <v>0.466971110520701</v>
      </c>
      <c r="AD127" s="30">
        <v>9.3992893993493407</v>
      </c>
      <c r="AE127" s="30">
        <v>25.589856941705602</v>
      </c>
      <c r="AF127" s="30">
        <v>20.325151193310202</v>
      </c>
    </row>
    <row r="128" spans="1:32" s="1" customFormat="1">
      <c r="A128" s="23"/>
      <c r="B128" s="23"/>
      <c r="C128" s="24"/>
      <c r="D128" s="24"/>
      <c r="E128" s="24"/>
      <c r="F128" s="24"/>
      <c r="G128" s="24"/>
      <c r="H128" s="23"/>
      <c r="I128" s="27"/>
      <c r="J128" s="28"/>
      <c r="K128" s="27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s="2" customFormat="1">
      <c r="A129" s="23" t="s">
        <v>21</v>
      </c>
      <c r="B129" s="8" t="s">
        <v>162</v>
      </c>
      <c r="C129" s="9">
        <v>1.7488171626136899</v>
      </c>
      <c r="D129" s="9">
        <v>7.0972927338479597E-2</v>
      </c>
      <c r="E129" s="9">
        <v>0.231601901616066</v>
      </c>
      <c r="F129" s="9">
        <v>4.2440890066762797E-3</v>
      </c>
      <c r="G129" s="9">
        <v>0.49313316663058998</v>
      </c>
      <c r="H129" s="8"/>
      <c r="I129" s="29">
        <v>2891.1739079980398</v>
      </c>
      <c r="J129" s="30">
        <v>2.8532236208561499</v>
      </c>
      <c r="K129" s="29">
        <v>1702.62245869615</v>
      </c>
      <c r="L129" s="30">
        <v>6.2025144543816297E-3</v>
      </c>
      <c r="M129" s="30">
        <v>31.028113258497701</v>
      </c>
      <c r="N129" s="30">
        <v>100.260668554422</v>
      </c>
      <c r="O129" s="30">
        <v>17.600817437392401</v>
      </c>
      <c r="P129" s="30">
        <v>106.584094204861</v>
      </c>
      <c r="Q129" s="30">
        <v>60.9009963520108</v>
      </c>
      <c r="R129" s="30">
        <v>18.953660022627901</v>
      </c>
      <c r="S129" s="30">
        <v>135.43295818870601</v>
      </c>
      <c r="T129" s="30">
        <v>28.826832727267998</v>
      </c>
      <c r="U129" s="30">
        <v>227.283662191313</v>
      </c>
      <c r="V129" s="30">
        <v>56.776125138216202</v>
      </c>
      <c r="W129" s="30">
        <v>181.38290778185299</v>
      </c>
      <c r="X129" s="30">
        <v>26.1609538731045</v>
      </c>
      <c r="Y129" s="30">
        <v>179.95412721035299</v>
      </c>
      <c r="Z129" s="30">
        <v>26.1818599966204</v>
      </c>
      <c r="AA129" s="30">
        <v>3.9571231718983202</v>
      </c>
      <c r="AB129" s="30">
        <v>5.6837102667056903E-3</v>
      </c>
      <c r="AC129" s="30">
        <v>1.3097020888442601</v>
      </c>
      <c r="AD129" s="30">
        <v>10.105258275674601</v>
      </c>
      <c r="AE129" s="30">
        <v>22.747976851193201</v>
      </c>
      <c r="AF129" s="30">
        <v>15.626563994664201</v>
      </c>
    </row>
    <row r="130" spans="1:32" s="2" customFormat="1">
      <c r="A130" s="23" t="s">
        <v>21</v>
      </c>
      <c r="B130" s="8" t="s">
        <v>178</v>
      </c>
      <c r="C130" s="9">
        <v>1.61902053092478</v>
      </c>
      <c r="D130" s="9">
        <v>6.9436456503270905E-2</v>
      </c>
      <c r="E130" s="9">
        <v>0.238450572562702</v>
      </c>
      <c r="F130" s="9">
        <v>4.9951377914686399E-3</v>
      </c>
      <c r="G130" s="9">
        <v>0.50945593055279403</v>
      </c>
      <c r="H130" s="8"/>
      <c r="I130" s="29">
        <v>3318.7659061480799</v>
      </c>
      <c r="J130" s="30">
        <v>3.6195463805521499</v>
      </c>
      <c r="K130" s="29">
        <v>1756.5686303590701</v>
      </c>
      <c r="L130" s="30">
        <v>1.4773795504671E-2</v>
      </c>
      <c r="M130" s="30">
        <v>81.881739756774493</v>
      </c>
      <c r="N130" s="30">
        <v>304.13806330510101</v>
      </c>
      <c r="O130" s="30">
        <v>56.665141444215102</v>
      </c>
      <c r="P130" s="30">
        <v>346.786925760342</v>
      </c>
      <c r="Q130" s="30">
        <v>167.772327202854</v>
      </c>
      <c r="R130" s="30">
        <v>29.805334096160099</v>
      </c>
      <c r="S130" s="30">
        <v>270.02222994875302</v>
      </c>
      <c r="T130" s="30">
        <v>44.7636936521506</v>
      </c>
      <c r="U130" s="30">
        <v>280.28795600806001</v>
      </c>
      <c r="V130" s="30">
        <v>58.653971677693598</v>
      </c>
      <c r="W130" s="30">
        <v>166.286381570701</v>
      </c>
      <c r="X130" s="30">
        <v>22.7554191045453</v>
      </c>
      <c r="Y130" s="30">
        <v>151.39667452559601</v>
      </c>
      <c r="Z130" s="30">
        <v>21.772262056699901</v>
      </c>
      <c r="AA130" s="30">
        <v>1.03540442090942E-2</v>
      </c>
      <c r="AB130" s="30">
        <v>6.1525687042117399E-3</v>
      </c>
      <c r="AC130" s="30">
        <v>0.30343295933813602</v>
      </c>
      <c r="AD130" s="30">
        <v>25.5983174784547</v>
      </c>
      <c r="AE130" s="30">
        <v>33.090230263779702</v>
      </c>
      <c r="AF130" s="30">
        <v>25.859669859054002</v>
      </c>
    </row>
    <row r="131" spans="1:32" s="2" customFormat="1">
      <c r="A131" s="23" t="s">
        <v>21</v>
      </c>
      <c r="B131" s="8" t="s">
        <v>179</v>
      </c>
      <c r="C131" s="9">
        <v>1.65579005024699</v>
      </c>
      <c r="D131" s="9">
        <v>6.8155483342759393E-2</v>
      </c>
      <c r="E131" s="9">
        <v>0.24415092499011401</v>
      </c>
      <c r="F131" s="9">
        <v>5.5730176672779E-3</v>
      </c>
      <c r="G131" s="9">
        <v>0.432571032792262</v>
      </c>
      <c r="H131" s="8"/>
      <c r="I131" s="29">
        <v>2269.2637011370298</v>
      </c>
      <c r="J131" s="30">
        <v>0.47864729723632998</v>
      </c>
      <c r="K131" s="29">
        <v>921.74359355140803</v>
      </c>
      <c r="L131" s="30">
        <v>3.3441018870617699E-2</v>
      </c>
      <c r="M131" s="30">
        <v>6.6465245601178502</v>
      </c>
      <c r="N131" s="30">
        <v>23.9918075349071</v>
      </c>
      <c r="O131" s="30">
        <v>4.6316782314280003</v>
      </c>
      <c r="P131" s="30">
        <v>30.744643760027699</v>
      </c>
      <c r="Q131" s="30">
        <v>19.151270260923599</v>
      </c>
      <c r="R131" s="30">
        <v>8.3117229067947598</v>
      </c>
      <c r="S131" s="30">
        <v>54.454982025035697</v>
      </c>
      <c r="T131" s="30">
        <v>12.839506059718801</v>
      </c>
      <c r="U131" s="30">
        <v>107.426364297064</v>
      </c>
      <c r="V131" s="30">
        <v>29.074152638943399</v>
      </c>
      <c r="W131" s="30">
        <v>99.686869694797593</v>
      </c>
      <c r="X131" s="30">
        <v>14.7760658430284</v>
      </c>
      <c r="Y131" s="30">
        <v>102.68593737728401</v>
      </c>
      <c r="Z131" s="30">
        <v>17.3614850004539</v>
      </c>
      <c r="AA131" s="30">
        <v>-1.02560267667678E-3</v>
      </c>
      <c r="AB131" s="30">
        <v>1.00219862422706E-3</v>
      </c>
      <c r="AC131" s="30">
        <v>1.05924915750249</v>
      </c>
      <c r="AD131" s="30">
        <v>1.9548069418314999</v>
      </c>
      <c r="AE131" s="30">
        <v>15.126049969086999</v>
      </c>
      <c r="AF131" s="30">
        <v>10.4751558777957</v>
      </c>
    </row>
    <row r="132" spans="1:32" s="2" customFormat="1">
      <c r="A132" s="23" t="s">
        <v>21</v>
      </c>
      <c r="B132" s="8" t="s">
        <v>163</v>
      </c>
      <c r="C132" s="9">
        <v>1.7669608155827099</v>
      </c>
      <c r="D132" s="9">
        <v>6.9930357939047103E-2</v>
      </c>
      <c r="E132" s="9">
        <v>0.22773287137060799</v>
      </c>
      <c r="F132" s="9">
        <v>4.9580205351475604E-3</v>
      </c>
      <c r="G132" s="9">
        <v>0.41460088499923597</v>
      </c>
      <c r="H132" s="8"/>
      <c r="I132" s="29">
        <v>2584.5271465358701</v>
      </c>
      <c r="J132" s="30">
        <v>0.43173981263917299</v>
      </c>
      <c r="K132" s="29">
        <v>1576.76846025707</v>
      </c>
      <c r="L132" s="30">
        <v>1.47792191416279E-2</v>
      </c>
      <c r="M132" s="30">
        <v>23.6735055463664</v>
      </c>
      <c r="N132" s="30">
        <v>77.130937890980107</v>
      </c>
      <c r="O132" s="30">
        <v>13.568465919719699</v>
      </c>
      <c r="P132" s="30">
        <v>79.034398579840101</v>
      </c>
      <c r="Q132" s="30">
        <v>44.437454069857999</v>
      </c>
      <c r="R132" s="30">
        <v>16.951570966447399</v>
      </c>
      <c r="S132" s="30">
        <v>98.612756150071107</v>
      </c>
      <c r="T132" s="30">
        <v>22.8663476975421</v>
      </c>
      <c r="U132" s="30">
        <v>192.02661972561299</v>
      </c>
      <c r="V132" s="30">
        <v>50.612253261547998</v>
      </c>
      <c r="W132" s="30">
        <v>169.567009894498</v>
      </c>
      <c r="X132" s="30">
        <v>25.0996911944864</v>
      </c>
      <c r="Y132" s="30">
        <v>169.06885622093299</v>
      </c>
      <c r="Z132" s="30">
        <v>24.288430202572201</v>
      </c>
      <c r="AA132" s="30">
        <v>-1.04178284311736E-3</v>
      </c>
      <c r="AB132" s="30">
        <v>2.9586488301209198E-3</v>
      </c>
      <c r="AC132" s="30">
        <v>0.61783355274825502</v>
      </c>
      <c r="AD132" s="30">
        <v>12.231260009095701</v>
      </c>
      <c r="AE132" s="30">
        <v>19.754153615421998</v>
      </c>
      <c r="AF132" s="30">
        <v>13.920827686573601</v>
      </c>
    </row>
    <row r="133" spans="1:32" s="2" customFormat="1">
      <c r="A133" s="23" t="s">
        <v>21</v>
      </c>
      <c r="B133" s="8" t="s">
        <v>164</v>
      </c>
      <c r="C133" s="9">
        <v>1.47450674219858</v>
      </c>
      <c r="D133" s="9">
        <v>5.78695985988762E-2</v>
      </c>
      <c r="E133" s="9">
        <v>0.25601596723215603</v>
      </c>
      <c r="F133" s="9">
        <v>4.2368216988661099E-3</v>
      </c>
      <c r="G133" s="9">
        <v>0.53061249539573896</v>
      </c>
      <c r="H133" s="8"/>
      <c r="I133" s="29">
        <v>3010.6233943031498</v>
      </c>
      <c r="J133" s="30">
        <v>0.291673555859079</v>
      </c>
      <c r="K133" s="29">
        <v>2009.0507400957099</v>
      </c>
      <c r="L133" s="30">
        <v>-1.02793050788548E-3</v>
      </c>
      <c r="M133" s="30">
        <v>54.254969006857202</v>
      </c>
      <c r="N133" s="30">
        <v>186.51182444784499</v>
      </c>
      <c r="O133" s="30">
        <v>32.828094467966501</v>
      </c>
      <c r="P133" s="30">
        <v>193.12563638862699</v>
      </c>
      <c r="Q133" s="30">
        <v>96.022828962578402</v>
      </c>
      <c r="R133" s="30">
        <v>30.828651761201499</v>
      </c>
      <c r="S133" s="30">
        <v>192.27021186564301</v>
      </c>
      <c r="T133" s="30">
        <v>39.3192642601839</v>
      </c>
      <c r="U133" s="30">
        <v>289.22208825409001</v>
      </c>
      <c r="V133" s="30">
        <v>68.615698662999904</v>
      </c>
      <c r="W133" s="30">
        <v>213.272102263053</v>
      </c>
      <c r="X133" s="30">
        <v>30.204066764178499</v>
      </c>
      <c r="Y133" s="30">
        <v>203.81911146579199</v>
      </c>
      <c r="Z133" s="30">
        <v>29.754125212856199</v>
      </c>
      <c r="AA133" s="30">
        <v>-1.0468017230129301E-3</v>
      </c>
      <c r="AB133" s="30">
        <v>6.0138318547662897E-3</v>
      </c>
      <c r="AC133" s="30">
        <v>8.5043596864871507E-2</v>
      </c>
      <c r="AD133" s="30">
        <v>15.0867867958108</v>
      </c>
      <c r="AE133" s="30">
        <v>38.201328536592598</v>
      </c>
      <c r="AF133" s="30">
        <v>30.062061384125499</v>
      </c>
    </row>
    <row r="134" spans="1:32" s="2" customFormat="1">
      <c r="A134" s="23" t="s">
        <v>21</v>
      </c>
      <c r="B134" s="8" t="s">
        <v>165</v>
      </c>
      <c r="C134" s="9">
        <v>1.58167138216626</v>
      </c>
      <c r="D134" s="9">
        <v>6.3517775431940607E-2</v>
      </c>
      <c r="E134" s="9">
        <v>0.25370003393054702</v>
      </c>
      <c r="F134" s="9">
        <v>4.6070770410254697E-3</v>
      </c>
      <c r="G134" s="9">
        <v>0.55137950963570104</v>
      </c>
      <c r="H134" s="8"/>
      <c r="I134" s="29">
        <v>2572.5640905004502</v>
      </c>
      <c r="J134" s="30">
        <v>0.16743261715105301</v>
      </c>
      <c r="K134" s="29">
        <v>1501.08447996054</v>
      </c>
      <c r="L134" s="30">
        <v>3.6228843447948501E-2</v>
      </c>
      <c r="M134" s="30">
        <v>26.967454458550201</v>
      </c>
      <c r="N134" s="30">
        <v>82.1099969129111</v>
      </c>
      <c r="O134" s="30">
        <v>13.346617419773899</v>
      </c>
      <c r="P134" s="30">
        <v>75.366257394424196</v>
      </c>
      <c r="Q134" s="30">
        <v>39.086801169845302</v>
      </c>
      <c r="R134" s="30">
        <v>15.4604868476448</v>
      </c>
      <c r="S134" s="30">
        <v>88.594259644337001</v>
      </c>
      <c r="T134" s="30">
        <v>20.8355935099781</v>
      </c>
      <c r="U134" s="30">
        <v>175.479280724586</v>
      </c>
      <c r="V134" s="30">
        <v>48.8950423693163</v>
      </c>
      <c r="W134" s="30">
        <v>173.59156724863601</v>
      </c>
      <c r="X134" s="30">
        <v>26.5900697679124</v>
      </c>
      <c r="Y134" s="30">
        <v>185.007415073695</v>
      </c>
      <c r="Z134" s="30">
        <v>28.0192974418005</v>
      </c>
      <c r="AA134" s="30">
        <v>3.4069620046712101E-2</v>
      </c>
      <c r="AB134" s="30">
        <v>1.91815248174295E-3</v>
      </c>
      <c r="AC134" s="30">
        <v>0.44269167608898302</v>
      </c>
      <c r="AD134" s="30">
        <v>9.1103369664841498</v>
      </c>
      <c r="AE134" s="30">
        <v>20.4857807450671</v>
      </c>
      <c r="AF134" s="30">
        <v>15.4606949097368</v>
      </c>
    </row>
    <row r="135" spans="1:32" s="2" customFormat="1">
      <c r="A135" s="23" t="s">
        <v>21</v>
      </c>
      <c r="B135" s="8" t="s">
        <v>166</v>
      </c>
      <c r="C135" s="9">
        <v>1.4536854865476001</v>
      </c>
      <c r="D135" s="9">
        <v>5.69224567292985E-2</v>
      </c>
      <c r="E135" s="9">
        <v>0.26875823409049598</v>
      </c>
      <c r="F135" s="9">
        <v>4.6911915967458497E-3</v>
      </c>
      <c r="G135" s="9">
        <v>0.60257913098253202</v>
      </c>
      <c r="H135" s="8"/>
      <c r="I135" s="29">
        <v>2365.6507410837298</v>
      </c>
      <c r="J135" s="30">
        <v>0.60604409605184295</v>
      </c>
      <c r="K135" s="29">
        <v>1048.7590236265901</v>
      </c>
      <c r="L135" s="30">
        <v>1.7179729754133299E-2</v>
      </c>
      <c r="M135" s="30">
        <v>20.218376447123799</v>
      </c>
      <c r="N135" s="30">
        <v>80.072304952293294</v>
      </c>
      <c r="O135" s="30">
        <v>15.8977238912204</v>
      </c>
      <c r="P135" s="30">
        <v>108.40298073582299</v>
      </c>
      <c r="Q135" s="30">
        <v>62.1949485015314</v>
      </c>
      <c r="R135" s="30">
        <v>16.899041121518501</v>
      </c>
      <c r="S135" s="30">
        <v>117.810813241536</v>
      </c>
      <c r="T135" s="30">
        <v>21.124956201221501</v>
      </c>
      <c r="U135" s="30">
        <v>141.84424675181</v>
      </c>
      <c r="V135" s="30">
        <v>32.346278696799999</v>
      </c>
      <c r="W135" s="30">
        <v>100.798037267293</v>
      </c>
      <c r="X135" s="30">
        <v>15.178312027286101</v>
      </c>
      <c r="Y135" s="30">
        <v>110.385566456592</v>
      </c>
      <c r="Z135" s="30">
        <v>16.775970407535201</v>
      </c>
      <c r="AA135" s="30">
        <v>8.4100749759502495E-3</v>
      </c>
      <c r="AB135" s="30">
        <v>5.0504352500288898E-3</v>
      </c>
      <c r="AC135" s="30">
        <v>0.197974078412546</v>
      </c>
      <c r="AD135" s="30">
        <v>6.4769116486340801</v>
      </c>
      <c r="AE135" s="30">
        <v>19.163829190561501</v>
      </c>
      <c r="AF135" s="30">
        <v>15.898683474873399</v>
      </c>
    </row>
    <row r="136" spans="1:32" s="2" customFormat="1">
      <c r="A136" s="23" t="s">
        <v>21</v>
      </c>
      <c r="B136" s="8" t="s">
        <v>167</v>
      </c>
      <c r="C136" s="9">
        <v>1.5291161947332199</v>
      </c>
      <c r="D136" s="9">
        <v>6.0541462425276901E-2</v>
      </c>
      <c r="E136" s="9">
        <v>0.244329492105161</v>
      </c>
      <c r="F136" s="9">
        <v>3.7941828423338798E-3</v>
      </c>
      <c r="G136" s="9">
        <v>0.57915496279036804</v>
      </c>
      <c r="H136" s="8"/>
      <c r="I136" s="29">
        <v>3097.2049004810401</v>
      </c>
      <c r="J136" s="30">
        <v>0.41835570268094502</v>
      </c>
      <c r="K136" s="29">
        <v>1132.3231419438901</v>
      </c>
      <c r="L136" s="30">
        <v>-4.2761701946542E-3</v>
      </c>
      <c r="M136" s="30">
        <v>27.147576509254499</v>
      </c>
      <c r="N136" s="30">
        <v>108.536877858351</v>
      </c>
      <c r="O136" s="30">
        <v>21.592335383036001</v>
      </c>
      <c r="P136" s="30">
        <v>143.14460214130199</v>
      </c>
      <c r="Q136" s="30">
        <v>68.104788334427894</v>
      </c>
      <c r="R136" s="30">
        <v>14.398296603183701</v>
      </c>
      <c r="S136" s="30">
        <v>124.021611331489</v>
      </c>
      <c r="T136" s="30">
        <v>22.634321690824901</v>
      </c>
      <c r="U136" s="30">
        <v>156.00320597917201</v>
      </c>
      <c r="V136" s="30">
        <v>36.972559973535297</v>
      </c>
      <c r="W136" s="30">
        <v>116.07825504887499</v>
      </c>
      <c r="X136" s="30">
        <v>16.496715277125301</v>
      </c>
      <c r="Y136" s="30">
        <v>113.160054864835</v>
      </c>
      <c r="Z136" s="30">
        <v>17.9946380442932</v>
      </c>
      <c r="AA136" s="30">
        <v>1.5899018216030202E-2</v>
      </c>
      <c r="AB136" s="30">
        <v>4.0452047721741199E-3</v>
      </c>
      <c r="AC136" s="30">
        <v>0.14394485703156101</v>
      </c>
      <c r="AD136" s="30">
        <v>11.423461752530599</v>
      </c>
      <c r="AE136" s="30">
        <v>45.966545265076803</v>
      </c>
      <c r="AF136" s="30">
        <v>33.216240802966702</v>
      </c>
    </row>
    <row r="137" spans="1:32" s="2" customFormat="1">
      <c r="A137" s="23" t="s">
        <v>21</v>
      </c>
      <c r="B137" s="8" t="s">
        <v>168</v>
      </c>
      <c r="C137" s="9">
        <v>1.1315447885794301</v>
      </c>
      <c r="D137" s="9">
        <v>4.9279786890532702E-2</v>
      </c>
      <c r="E137" s="9">
        <v>0.42393601208653903</v>
      </c>
      <c r="F137" s="9">
        <v>1.26401727677909E-2</v>
      </c>
      <c r="G137" s="9">
        <v>0.52086286512900504</v>
      </c>
      <c r="H137" s="8"/>
      <c r="I137" s="29">
        <v>2184.9639685961602</v>
      </c>
      <c r="J137" s="30">
        <v>0.29986619974263601</v>
      </c>
      <c r="K137" s="29">
        <v>890.86786169678805</v>
      </c>
      <c r="L137" s="30">
        <v>-4.2696249901814903E-3</v>
      </c>
      <c r="M137" s="30">
        <v>17.474614720341599</v>
      </c>
      <c r="N137" s="30">
        <v>61.889081483655197</v>
      </c>
      <c r="O137" s="30">
        <v>10.9510888608276</v>
      </c>
      <c r="P137" s="30">
        <v>64.7006309692066</v>
      </c>
      <c r="Q137" s="30">
        <v>32.405487132710697</v>
      </c>
      <c r="R137" s="30">
        <v>10.9706618015939</v>
      </c>
      <c r="S137" s="30">
        <v>70.644966840931701</v>
      </c>
      <c r="T137" s="30">
        <v>14.583800783019599</v>
      </c>
      <c r="U137" s="30">
        <v>109.723900138334</v>
      </c>
      <c r="V137" s="30">
        <v>27.833652096276001</v>
      </c>
      <c r="W137" s="30">
        <v>93.527903650151103</v>
      </c>
      <c r="X137" s="30">
        <v>14.4232691983756</v>
      </c>
      <c r="Y137" s="30">
        <v>104.099274185845</v>
      </c>
      <c r="Z137" s="30">
        <v>15.548022893532501</v>
      </c>
      <c r="AA137" s="30">
        <v>-1.0654183870288799E-3</v>
      </c>
      <c r="AB137" s="30">
        <v>-4.6376682879440101E-4</v>
      </c>
      <c r="AC137" s="30">
        <v>4.9335281622710898E-2</v>
      </c>
      <c r="AD137" s="30">
        <v>1.22345408281006</v>
      </c>
      <c r="AE137" s="30">
        <v>2.8542362108383501</v>
      </c>
      <c r="AF137" s="30">
        <v>4.1670170930885702</v>
      </c>
    </row>
    <row r="138" spans="1:32" s="2" customFormat="1">
      <c r="A138" s="23" t="s">
        <v>21</v>
      </c>
      <c r="B138" s="8" t="s">
        <v>180</v>
      </c>
      <c r="C138" s="9">
        <v>1.1276447616762399</v>
      </c>
      <c r="D138" s="9">
        <v>5.23732917472099E-2</v>
      </c>
      <c r="E138" s="9">
        <v>0.42461978442790499</v>
      </c>
      <c r="F138" s="9">
        <v>1.6163317166708099E-2</v>
      </c>
      <c r="G138" s="9">
        <v>0.63420410718876197</v>
      </c>
      <c r="H138" s="8"/>
      <c r="I138" s="29">
        <v>2276.4209269616199</v>
      </c>
      <c r="J138" s="30">
        <v>0.49328913777433597</v>
      </c>
      <c r="K138" s="29">
        <v>1422.8525043996201</v>
      </c>
      <c r="L138" s="30">
        <v>3.1819653355240798E-2</v>
      </c>
      <c r="M138" s="30">
        <v>8.5902894229570297</v>
      </c>
      <c r="N138" s="30">
        <v>29.354267236534199</v>
      </c>
      <c r="O138" s="30">
        <v>5.6440218526162598</v>
      </c>
      <c r="P138" s="30">
        <v>40.341107090636903</v>
      </c>
      <c r="Q138" s="30">
        <v>34.272441834398997</v>
      </c>
      <c r="R138" s="30">
        <v>13.3867589021627</v>
      </c>
      <c r="S138" s="30">
        <v>99.767450591436997</v>
      </c>
      <c r="T138" s="30">
        <v>22.033817257075199</v>
      </c>
      <c r="U138" s="30">
        <v>173.50111009453599</v>
      </c>
      <c r="V138" s="30">
        <v>43.104756082471702</v>
      </c>
      <c r="W138" s="30">
        <v>137.907140774548</v>
      </c>
      <c r="X138" s="30">
        <v>20.156027586042701</v>
      </c>
      <c r="Y138" s="30">
        <v>129.699894485008</v>
      </c>
      <c r="Z138" s="30">
        <v>17.8495727779841</v>
      </c>
      <c r="AA138" s="30">
        <v>-1.0842883727823799E-3</v>
      </c>
      <c r="AB138" s="30">
        <v>5.7707783965517496E-3</v>
      </c>
      <c r="AC138" s="30">
        <v>1.02814665263698</v>
      </c>
      <c r="AD138" s="30">
        <v>2.3003694112885902</v>
      </c>
      <c r="AE138" s="30">
        <v>2.8581106764314601</v>
      </c>
      <c r="AF138" s="30">
        <v>4.3346959233280797</v>
      </c>
    </row>
    <row r="139" spans="1:32" s="2" customFormat="1">
      <c r="A139" s="23" t="s">
        <v>21</v>
      </c>
      <c r="B139" s="8" t="s">
        <v>169</v>
      </c>
      <c r="C139" s="9">
        <v>1.25878710068614</v>
      </c>
      <c r="D139" s="9">
        <v>5.37135336253683E-2</v>
      </c>
      <c r="E139" s="9">
        <v>0.345895845080683</v>
      </c>
      <c r="F139" s="9">
        <v>7.6584167171875996E-3</v>
      </c>
      <c r="G139" s="9">
        <v>0.50712165743968696</v>
      </c>
      <c r="H139" s="8"/>
      <c r="I139" s="29">
        <v>2322.44401026064</v>
      </c>
      <c r="J139" s="30">
        <v>0.27900271164273899</v>
      </c>
      <c r="K139" s="29">
        <v>1308.73376858648</v>
      </c>
      <c r="L139" s="30">
        <v>-3.1544117020748399E-3</v>
      </c>
      <c r="M139" s="30">
        <v>15.8657027848226</v>
      </c>
      <c r="N139" s="30">
        <v>52.662547338463902</v>
      </c>
      <c r="O139" s="30">
        <v>8.9789158074038493</v>
      </c>
      <c r="P139" s="30">
        <v>51.4249258611881</v>
      </c>
      <c r="Q139" s="30">
        <v>25.398313467856902</v>
      </c>
      <c r="R139" s="30">
        <v>11.037782397701701</v>
      </c>
      <c r="S139" s="30">
        <v>61.244206366390003</v>
      </c>
      <c r="T139" s="30">
        <v>15.2735978242521</v>
      </c>
      <c r="U139" s="30">
        <v>136.77474844567399</v>
      </c>
      <c r="V139" s="30">
        <v>39.472926541092001</v>
      </c>
      <c r="W139" s="30">
        <v>144.50213237878</v>
      </c>
      <c r="X139" s="30">
        <v>23.8118697039165</v>
      </c>
      <c r="Y139" s="30">
        <v>176.32156886194201</v>
      </c>
      <c r="Z139" s="30">
        <v>26.557650799150998</v>
      </c>
      <c r="AA139" s="30">
        <v>0.441208416248561</v>
      </c>
      <c r="AB139" s="30">
        <v>1.0523478983802299E-3</v>
      </c>
      <c r="AC139" s="30">
        <v>0.104699415451163</v>
      </c>
      <c r="AD139" s="30">
        <v>0.80115633682370202</v>
      </c>
      <c r="AE139" s="30">
        <v>5.5884167142631602</v>
      </c>
      <c r="AF139" s="30">
        <v>6.16603132567126</v>
      </c>
    </row>
    <row r="140" spans="1:32" s="2" customFormat="1">
      <c r="A140" s="23" t="s">
        <v>21</v>
      </c>
      <c r="B140" s="8" t="s">
        <v>170</v>
      </c>
      <c r="C140" s="9">
        <v>1.6039173996045999</v>
      </c>
      <c r="D140" s="9">
        <v>6.9944315094161796E-2</v>
      </c>
      <c r="E140" s="9">
        <v>0.278070314727625</v>
      </c>
      <c r="F140" s="9">
        <v>6.6898552271125403E-3</v>
      </c>
      <c r="G140" s="9">
        <v>0.45686563984874801</v>
      </c>
      <c r="H140" s="8"/>
      <c r="I140" s="29">
        <v>2402.21706373193</v>
      </c>
      <c r="J140" s="30">
        <v>3.9743340600381302E-2</v>
      </c>
      <c r="K140" s="29">
        <v>1586.6182447789399</v>
      </c>
      <c r="L140" s="30">
        <v>-4.2986824249363698E-3</v>
      </c>
      <c r="M140" s="30">
        <v>22.693718949044602</v>
      </c>
      <c r="N140" s="30">
        <v>69.426186127816493</v>
      </c>
      <c r="O140" s="30">
        <v>11.983632976927799</v>
      </c>
      <c r="P140" s="30">
        <v>71.893180209773703</v>
      </c>
      <c r="Q140" s="30">
        <v>47.665254845940296</v>
      </c>
      <c r="R140" s="30">
        <v>15.6232730567692</v>
      </c>
      <c r="S140" s="30">
        <v>122.836783047851</v>
      </c>
      <c r="T140" s="30">
        <v>28.163305185503201</v>
      </c>
      <c r="U140" s="30">
        <v>213.99175534278999</v>
      </c>
      <c r="V140" s="30">
        <v>50.1666416207213</v>
      </c>
      <c r="W140" s="30">
        <v>151.69319378768699</v>
      </c>
      <c r="X140" s="30">
        <v>20.3725635188285</v>
      </c>
      <c r="Y140" s="30">
        <v>127.636709167099</v>
      </c>
      <c r="Z140" s="30">
        <v>17.756194354037799</v>
      </c>
      <c r="AA140" s="30">
        <v>-1.08590642851448E-3</v>
      </c>
      <c r="AB140" s="30">
        <v>4.9839110476004398E-3</v>
      </c>
      <c r="AC140" s="30">
        <v>0.58556643732321201</v>
      </c>
      <c r="AD140" s="30">
        <v>3.3671706978501699</v>
      </c>
      <c r="AE140" s="30">
        <v>8.9373202796586693</v>
      </c>
      <c r="AF140" s="30">
        <v>7.4040875753559297</v>
      </c>
    </row>
    <row r="141" spans="1:32" s="2" customFormat="1">
      <c r="A141" s="23" t="s">
        <v>21</v>
      </c>
      <c r="B141" s="8" t="s">
        <v>171</v>
      </c>
      <c r="C141" s="9">
        <v>1.4504894540808799</v>
      </c>
      <c r="D141" s="9">
        <v>5.7308194812207801E-2</v>
      </c>
      <c r="E141" s="9">
        <v>0.26146345642470498</v>
      </c>
      <c r="F141" s="9">
        <v>4.1467590344927904E-3</v>
      </c>
      <c r="G141" s="9">
        <v>0.470166793790465</v>
      </c>
      <c r="H141" s="8"/>
      <c r="I141" s="29">
        <v>3096.1513633710101</v>
      </c>
      <c r="J141" s="30">
        <v>0.39554668892136002</v>
      </c>
      <c r="K141" s="29">
        <v>2560.5199551484202</v>
      </c>
      <c r="L141" s="30">
        <v>-4.1985862196834397E-3</v>
      </c>
      <c r="M141" s="30">
        <v>36.236949280542603</v>
      </c>
      <c r="N141" s="30">
        <v>126.22378922511101</v>
      </c>
      <c r="O141" s="30">
        <v>22.7175557784104</v>
      </c>
      <c r="P141" s="30">
        <v>138.12203496631901</v>
      </c>
      <c r="Q141" s="30">
        <v>82.5629973484196</v>
      </c>
      <c r="R141" s="30">
        <v>21.425964020335901</v>
      </c>
      <c r="S141" s="30">
        <v>207.066406797675</v>
      </c>
      <c r="T141" s="30">
        <v>47.102795200295901</v>
      </c>
      <c r="U141" s="30">
        <v>363.638167095764</v>
      </c>
      <c r="V141" s="30">
        <v>88.685776159287698</v>
      </c>
      <c r="W141" s="30">
        <v>271.91371470959302</v>
      </c>
      <c r="X141" s="30">
        <v>37.134170129694397</v>
      </c>
      <c r="Y141" s="30">
        <v>240.99207752928299</v>
      </c>
      <c r="Z141" s="30">
        <v>34.616252253638301</v>
      </c>
      <c r="AA141" s="30">
        <v>2.0298287524205299E-2</v>
      </c>
      <c r="AB141" s="30">
        <v>1.0055698857567101E-2</v>
      </c>
      <c r="AC141" s="30">
        <v>8.68944608204439E-2</v>
      </c>
      <c r="AD141" s="30">
        <v>9.0860610194394393</v>
      </c>
      <c r="AE141" s="30">
        <v>35.216505620841097</v>
      </c>
      <c r="AF141" s="30">
        <v>28.198471616967101</v>
      </c>
    </row>
    <row r="142" spans="1:32" s="2" customFormat="1">
      <c r="A142" s="23" t="s">
        <v>21</v>
      </c>
      <c r="B142" s="8" t="s">
        <v>172</v>
      </c>
      <c r="C142" s="9">
        <v>1.6859452309520899</v>
      </c>
      <c r="D142" s="9">
        <v>6.92980311369083E-2</v>
      </c>
      <c r="E142" s="9">
        <v>0.227551952415039</v>
      </c>
      <c r="F142" s="9">
        <v>5.00101796308541E-3</v>
      </c>
      <c r="G142" s="9">
        <v>0.41786054558162899</v>
      </c>
      <c r="H142" s="8"/>
      <c r="I142" s="29">
        <v>3095.6435305917298</v>
      </c>
      <c r="J142" s="30">
        <v>0.18157741986609799</v>
      </c>
      <c r="K142" s="29">
        <v>2429.4047498034702</v>
      </c>
      <c r="L142" s="30">
        <v>2.7015990143703498E-3</v>
      </c>
      <c r="M142" s="30">
        <v>50.370035516272097</v>
      </c>
      <c r="N142" s="30">
        <v>168.95595299024299</v>
      </c>
      <c r="O142" s="30">
        <v>30.419700062028902</v>
      </c>
      <c r="P142" s="30">
        <v>181.917607930679</v>
      </c>
      <c r="Q142" s="30">
        <v>108.681203166758</v>
      </c>
      <c r="R142" s="30">
        <v>27.5109940826041</v>
      </c>
      <c r="S142" s="30">
        <v>217.65379098308301</v>
      </c>
      <c r="T142" s="30">
        <v>44.959212709841601</v>
      </c>
      <c r="U142" s="30">
        <v>331.58399215272198</v>
      </c>
      <c r="V142" s="30">
        <v>80.789530830301999</v>
      </c>
      <c r="W142" s="30">
        <v>258.49481858817398</v>
      </c>
      <c r="X142" s="30">
        <v>37.358484284700403</v>
      </c>
      <c r="Y142" s="30">
        <v>248.88050812557799</v>
      </c>
      <c r="Z142" s="30">
        <v>35.237721643118597</v>
      </c>
      <c r="AA142" s="30">
        <v>6.43600907750594E-2</v>
      </c>
      <c r="AB142" s="30">
        <v>1.3925448389753001E-2</v>
      </c>
      <c r="AC142" s="30">
        <v>0.505823759743254</v>
      </c>
      <c r="AD142" s="30">
        <v>7.4038286618931304</v>
      </c>
      <c r="AE142" s="30">
        <v>21.614954438971498</v>
      </c>
      <c r="AF142" s="30">
        <v>15.363984696801801</v>
      </c>
    </row>
    <row r="143" spans="1:32" s="2" customFormat="1">
      <c r="A143" s="23" t="s">
        <v>21</v>
      </c>
      <c r="B143" s="8" t="s">
        <v>173</v>
      </c>
      <c r="C143" s="9">
        <v>1.4622126633057899</v>
      </c>
      <c r="D143" s="9">
        <v>6.0008126686391501E-2</v>
      </c>
      <c r="E143" s="9">
        <v>0.27935884688138002</v>
      </c>
      <c r="F143" s="9">
        <v>5.4904263753474602E-3</v>
      </c>
      <c r="G143" s="9">
        <v>0.455854873153891</v>
      </c>
      <c r="H143" s="8"/>
      <c r="I143" s="29">
        <v>2643.7318073913402</v>
      </c>
      <c r="J143" s="30">
        <v>0.57006732091226697</v>
      </c>
      <c r="K143" s="29">
        <v>1578.9333674530301</v>
      </c>
      <c r="L143" s="30">
        <v>1.23937863017545E-2</v>
      </c>
      <c r="M143" s="30">
        <v>26.280187917607499</v>
      </c>
      <c r="N143" s="30">
        <v>77.044587357793901</v>
      </c>
      <c r="O143" s="30">
        <v>12.6933573915989</v>
      </c>
      <c r="P143" s="30">
        <v>74.3980013548899</v>
      </c>
      <c r="Q143" s="30">
        <v>40.425933026072997</v>
      </c>
      <c r="R143" s="30">
        <v>17.633269175139699</v>
      </c>
      <c r="S143" s="30">
        <v>98.668335166091595</v>
      </c>
      <c r="T143" s="30">
        <v>23.2639614414752</v>
      </c>
      <c r="U143" s="30">
        <v>194.018043490118</v>
      </c>
      <c r="V143" s="30">
        <v>52.644347460510303</v>
      </c>
      <c r="W143" s="30">
        <v>174.35827057881599</v>
      </c>
      <c r="X143" s="30">
        <v>25.943025896266999</v>
      </c>
      <c r="Y143" s="30">
        <v>181.540127085715</v>
      </c>
      <c r="Z143" s="30">
        <v>27.0094168338203</v>
      </c>
      <c r="AA143" s="30">
        <v>5.60653794965671</v>
      </c>
      <c r="AB143" s="30">
        <v>5.8687682231345698E-3</v>
      </c>
      <c r="AC143" s="30">
        <v>8.8731749811992403E-2</v>
      </c>
      <c r="AD143" s="30">
        <v>9.4193026741677297</v>
      </c>
      <c r="AE143" s="30">
        <v>16.2081625975629</v>
      </c>
      <c r="AF143" s="30">
        <v>14.4398765604166</v>
      </c>
    </row>
    <row r="144" spans="1:32" s="2" customFormat="1">
      <c r="A144" s="23" t="s">
        <v>21</v>
      </c>
      <c r="B144" s="8" t="s">
        <v>174</v>
      </c>
      <c r="C144" s="9">
        <v>1.4775766964047099</v>
      </c>
      <c r="D144" s="9">
        <v>5.9530116463788599E-2</v>
      </c>
      <c r="E144" s="9">
        <v>0.26138839788946</v>
      </c>
      <c r="F144" s="9">
        <v>3.7375960021303902E-3</v>
      </c>
      <c r="G144" s="9">
        <v>0.64875626712368895</v>
      </c>
      <c r="H144" s="8"/>
      <c r="I144" s="29">
        <v>3028.2441373872098</v>
      </c>
      <c r="J144" s="30">
        <v>0.25447399752651401</v>
      </c>
      <c r="K144" s="29">
        <v>2338.2728639863599</v>
      </c>
      <c r="L144" s="30">
        <v>-4.26364118222113E-3</v>
      </c>
      <c r="M144" s="30">
        <v>41.5069586364733</v>
      </c>
      <c r="N144" s="30">
        <v>135.05102695486801</v>
      </c>
      <c r="O144" s="30">
        <v>23.1198469063098</v>
      </c>
      <c r="P144" s="30">
        <v>138.32484724371301</v>
      </c>
      <c r="Q144" s="30">
        <v>78.576602286969106</v>
      </c>
      <c r="R144" s="30">
        <v>23.708299982906599</v>
      </c>
      <c r="S144" s="30">
        <v>190.31088403827999</v>
      </c>
      <c r="T144" s="30">
        <v>41.304336059127102</v>
      </c>
      <c r="U144" s="30">
        <v>312.72086439480898</v>
      </c>
      <c r="V144" s="30">
        <v>76.718401941656296</v>
      </c>
      <c r="W144" s="30">
        <v>242.11011892345499</v>
      </c>
      <c r="X144" s="30">
        <v>36.065699949439498</v>
      </c>
      <c r="Y144" s="30">
        <v>255.70629651116201</v>
      </c>
      <c r="Z144" s="30">
        <v>38.221589883687201</v>
      </c>
      <c r="AA144" s="30">
        <v>1.2035247565034201E-2</v>
      </c>
      <c r="AB144" s="30">
        <v>6.5884779801925197E-3</v>
      </c>
      <c r="AC144" s="30">
        <v>9.1970666411891402E-2</v>
      </c>
      <c r="AD144" s="30">
        <v>22.2980606496434</v>
      </c>
      <c r="AE144" s="30">
        <v>33.765962950645097</v>
      </c>
      <c r="AF144" s="30">
        <v>28.952579985028802</v>
      </c>
    </row>
    <row r="145" spans="1:32" s="2" customFormat="1">
      <c r="A145" s="23" t="s">
        <v>21</v>
      </c>
      <c r="B145" s="8" t="s">
        <v>175</v>
      </c>
      <c r="C145" s="9">
        <v>1.88078246809984</v>
      </c>
      <c r="D145" s="9">
        <v>7.55512807984587E-2</v>
      </c>
      <c r="E145" s="9">
        <v>0.213973897242977</v>
      </c>
      <c r="F145" s="9">
        <v>4.4470326905689502E-3</v>
      </c>
      <c r="G145" s="9">
        <v>0.39908486384473302</v>
      </c>
      <c r="H145" s="8"/>
      <c r="I145" s="29">
        <v>2644.91840968828</v>
      </c>
      <c r="J145" s="30">
        <v>0.44829641507948997</v>
      </c>
      <c r="K145" s="29">
        <v>1656.29175660908</v>
      </c>
      <c r="L145" s="30">
        <v>0.10033668025954701</v>
      </c>
      <c r="M145" s="30">
        <v>23.1492074392532</v>
      </c>
      <c r="N145" s="30">
        <v>77.065936022267294</v>
      </c>
      <c r="O145" s="30">
        <v>13.228114204406699</v>
      </c>
      <c r="P145" s="30">
        <v>80.493074693560601</v>
      </c>
      <c r="Q145" s="30">
        <v>43.0572513231361</v>
      </c>
      <c r="R145" s="30">
        <v>13.634151305475701</v>
      </c>
      <c r="S145" s="30">
        <v>97.898472900249502</v>
      </c>
      <c r="T145" s="30">
        <v>23.115645802594202</v>
      </c>
      <c r="U145" s="30">
        <v>197.048072255482</v>
      </c>
      <c r="V145" s="30">
        <v>53.610780950641697</v>
      </c>
      <c r="W145" s="30">
        <v>180.95953802754099</v>
      </c>
      <c r="X145" s="30">
        <v>26.691716221288399</v>
      </c>
      <c r="Y145" s="30">
        <v>180.592529693778</v>
      </c>
      <c r="Z145" s="30">
        <v>24.934405382633798</v>
      </c>
      <c r="AA145" s="30">
        <v>-1.0838879073444101E-3</v>
      </c>
      <c r="AB145" s="30">
        <v>7.6845086842107701E-3</v>
      </c>
      <c r="AC145" s="30">
        <v>2.2367530553805399</v>
      </c>
      <c r="AD145" s="30">
        <v>6.6686838797700299</v>
      </c>
      <c r="AE145" s="30">
        <v>21.3497988181058</v>
      </c>
      <c r="AF145" s="30">
        <v>13.6383791962273</v>
      </c>
    </row>
    <row r="146" spans="1:32" s="2" customFormat="1">
      <c r="A146" s="23" t="s">
        <v>21</v>
      </c>
      <c r="B146" s="8" t="s">
        <v>176</v>
      </c>
      <c r="C146" s="9">
        <v>1.51449182379527</v>
      </c>
      <c r="D146" s="9">
        <v>5.7459150225033097E-2</v>
      </c>
      <c r="E146" s="9">
        <v>0.25904793327812897</v>
      </c>
      <c r="F146" s="9">
        <v>4.1253013727059404E-3</v>
      </c>
      <c r="G146" s="9">
        <v>0.4485961181525</v>
      </c>
      <c r="H146" s="8"/>
      <c r="I146" s="29">
        <v>2426.8833761292699</v>
      </c>
      <c r="J146" s="30">
        <v>0.64568491835889597</v>
      </c>
      <c r="K146" s="29">
        <v>893.39614199686002</v>
      </c>
      <c r="L146" s="30">
        <v>-2.27037629545726E-3</v>
      </c>
      <c r="M146" s="30">
        <v>30.746695565981501</v>
      </c>
      <c r="N146" s="30">
        <v>113.524923725972</v>
      </c>
      <c r="O146" s="30">
        <v>21.180939163629599</v>
      </c>
      <c r="P146" s="30">
        <v>129.27705497653699</v>
      </c>
      <c r="Q146" s="30">
        <v>63.045299660624103</v>
      </c>
      <c r="R146" s="30">
        <v>15.6620626287467</v>
      </c>
      <c r="S146" s="30">
        <v>112.562706281031</v>
      </c>
      <c r="T146" s="30">
        <v>20.236156087372699</v>
      </c>
      <c r="U146" s="30">
        <v>133.04362283543099</v>
      </c>
      <c r="V146" s="30">
        <v>30.3464985148</v>
      </c>
      <c r="W146" s="30">
        <v>87.234080960650999</v>
      </c>
      <c r="X146" s="30">
        <v>11.9627837240009</v>
      </c>
      <c r="Y146" s="30">
        <v>81.331756294534003</v>
      </c>
      <c r="Z146" s="30">
        <v>12.5088644635936</v>
      </c>
      <c r="AA146" s="30">
        <v>-1.1217988383760099E-3</v>
      </c>
      <c r="AB146" s="30">
        <v>6.4248464992574198E-3</v>
      </c>
      <c r="AC146" s="30">
        <v>0.112285049166509</v>
      </c>
      <c r="AD146" s="30">
        <v>9.2935517921216508</v>
      </c>
      <c r="AE146" s="30">
        <v>35.6043212763865</v>
      </c>
      <c r="AF146" s="30">
        <v>28.153090823131102</v>
      </c>
    </row>
    <row r="147" spans="1:32" s="2" customFormat="1">
      <c r="A147" s="23" t="s">
        <v>21</v>
      </c>
      <c r="B147" s="8" t="s">
        <v>177</v>
      </c>
      <c r="C147" s="9">
        <v>1.5427158300743999</v>
      </c>
      <c r="D147" s="9">
        <v>6.1332407556212901E-2</v>
      </c>
      <c r="E147" s="9">
        <v>0.25351864382644301</v>
      </c>
      <c r="F147" s="9">
        <v>3.6394336583421699E-3</v>
      </c>
      <c r="G147" s="9">
        <v>0.62988621692393598</v>
      </c>
      <c r="H147" s="8"/>
      <c r="I147" s="29">
        <v>2820.4040074606701</v>
      </c>
      <c r="J147" s="30">
        <v>0.28747271621069698</v>
      </c>
      <c r="K147" s="29">
        <v>1874.37236135492</v>
      </c>
      <c r="L147" s="30">
        <v>-4.2229491602669101E-3</v>
      </c>
      <c r="M147" s="30">
        <v>27.2985432282833</v>
      </c>
      <c r="N147" s="30">
        <v>106.423168100076</v>
      </c>
      <c r="O147" s="30">
        <v>20.9219978409443</v>
      </c>
      <c r="P147" s="30">
        <v>141.18967891615</v>
      </c>
      <c r="Q147" s="30">
        <v>85.952768828816502</v>
      </c>
      <c r="R147" s="30">
        <v>17.0522823712414</v>
      </c>
      <c r="S147" s="30">
        <v>184.30587080320399</v>
      </c>
      <c r="T147" s="30">
        <v>37.903587837801403</v>
      </c>
      <c r="U147" s="30">
        <v>271.69458589004103</v>
      </c>
      <c r="V147" s="30">
        <v>62.979565629006203</v>
      </c>
      <c r="W147" s="30">
        <v>187.88215891106299</v>
      </c>
      <c r="X147" s="30">
        <v>25.419533103929201</v>
      </c>
      <c r="Y147" s="30">
        <v>165.39486918444899</v>
      </c>
      <c r="Z147" s="30">
        <v>24.299274989969899</v>
      </c>
      <c r="AA147" s="30">
        <v>-1.0945873559734299E-3</v>
      </c>
      <c r="AB147" s="30">
        <v>4.3935545622230399E-3</v>
      </c>
      <c r="AC147" s="30">
        <v>5.1264403020964501E-2</v>
      </c>
      <c r="AD147" s="30">
        <v>6.4739408856615004</v>
      </c>
      <c r="AE147" s="30">
        <v>46.856490261392899</v>
      </c>
      <c r="AF147" s="30">
        <v>35.039796028425101</v>
      </c>
    </row>
    <row r="148" spans="1:32" s="2" customFormat="1">
      <c r="A148" s="23" t="s">
        <v>21</v>
      </c>
      <c r="B148" s="8" t="s">
        <v>181</v>
      </c>
      <c r="C148" s="9">
        <v>1.5637989269314401</v>
      </c>
      <c r="D148" s="9">
        <v>6.45931606625363E-2</v>
      </c>
      <c r="E148" s="9">
        <v>0.24779997459488901</v>
      </c>
      <c r="F148" s="9">
        <v>3.6444921152990902E-3</v>
      </c>
      <c r="G148" s="9">
        <v>0.65129520737259605</v>
      </c>
      <c r="H148" s="8"/>
      <c r="I148" s="29">
        <v>2922.1851134629901</v>
      </c>
      <c r="J148" s="30">
        <v>0.73395542606233999</v>
      </c>
      <c r="K148" s="29">
        <v>2232.5106122931102</v>
      </c>
      <c r="L148" s="30">
        <v>-4.2464540108055997E-3</v>
      </c>
      <c r="M148" s="30">
        <v>29.001598480600499</v>
      </c>
      <c r="N148" s="30">
        <v>103.66225588903499</v>
      </c>
      <c r="O148" s="30">
        <v>18.5185899242482</v>
      </c>
      <c r="P148" s="30">
        <v>113.46961912314799</v>
      </c>
      <c r="Q148" s="30">
        <v>67.9004713526177</v>
      </c>
      <c r="R148" s="30">
        <v>19.1987642646463</v>
      </c>
      <c r="S148" s="30">
        <v>163.51206844299699</v>
      </c>
      <c r="T148" s="30">
        <v>37.933364802410701</v>
      </c>
      <c r="U148" s="30">
        <v>300.39984299307201</v>
      </c>
      <c r="V148" s="30">
        <v>74.869523348331896</v>
      </c>
      <c r="W148" s="30">
        <v>239.11651300419001</v>
      </c>
      <c r="X148" s="30">
        <v>33.655007801128903</v>
      </c>
      <c r="Y148" s="30">
        <v>223.10477756683099</v>
      </c>
      <c r="Z148" s="30">
        <v>32.9268643601675</v>
      </c>
      <c r="AA148" s="30">
        <v>1.26796770781309E-2</v>
      </c>
      <c r="AB148" s="30">
        <v>9.9597848336118594E-3</v>
      </c>
      <c r="AC148" s="30">
        <v>0.393750760075261</v>
      </c>
      <c r="AD148" s="30">
        <v>7.37417635917972</v>
      </c>
      <c r="AE148" s="30">
        <v>39.569678287101198</v>
      </c>
      <c r="AF148" s="30">
        <v>29.649497627036499</v>
      </c>
    </row>
    <row r="149" spans="1:32" s="1" customFormat="1">
      <c r="A149" s="23"/>
      <c r="B149" s="23"/>
      <c r="C149" s="24"/>
      <c r="D149" s="24"/>
      <c r="E149" s="24"/>
      <c r="F149" s="24"/>
      <c r="G149" s="24"/>
      <c r="H149" s="23"/>
      <c r="I149" s="27"/>
      <c r="J149" s="28"/>
      <c r="K149" s="27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s="2" customFormat="1">
      <c r="A150" s="23" t="s">
        <v>23</v>
      </c>
      <c r="B150" s="8" t="s">
        <v>197</v>
      </c>
      <c r="C150" s="9">
        <v>1.40448275705615</v>
      </c>
      <c r="D150" s="9">
        <v>7.0457793655701206E-2</v>
      </c>
      <c r="E150" s="9">
        <v>0.47939936503848901</v>
      </c>
      <c r="F150" s="9">
        <v>1.5752941648270902E-2</v>
      </c>
      <c r="G150" s="9">
        <v>0.57341472628849499</v>
      </c>
      <c r="H150" s="8"/>
      <c r="I150" s="29">
        <v>2323.0146174422198</v>
      </c>
      <c r="J150" s="30">
        <v>0.90821703272503496</v>
      </c>
      <c r="K150" s="29">
        <v>1180.7625848901901</v>
      </c>
      <c r="L150" s="30">
        <v>-2.05064929949116E-3</v>
      </c>
      <c r="M150" s="30">
        <v>49.300587236117103</v>
      </c>
      <c r="N150" s="30">
        <v>142.935156998406</v>
      </c>
      <c r="O150" s="30">
        <v>23.207450924239598</v>
      </c>
      <c r="P150" s="30">
        <v>128.10751055207299</v>
      </c>
      <c r="Q150" s="30">
        <v>57.393947648356502</v>
      </c>
      <c r="R150" s="30">
        <v>11.8351022662004</v>
      </c>
      <c r="S150" s="30">
        <v>106.84649634044401</v>
      </c>
      <c r="T150" s="30">
        <v>20.652406571355801</v>
      </c>
      <c r="U150" s="30">
        <v>151.18801754072501</v>
      </c>
      <c r="V150" s="30">
        <v>35.789282479399297</v>
      </c>
      <c r="W150" s="30">
        <v>107.455011399746</v>
      </c>
      <c r="X150" s="30">
        <v>14.0251064611203</v>
      </c>
      <c r="Y150" s="30">
        <v>78.441657986837797</v>
      </c>
      <c r="Z150" s="30">
        <v>8.5217770855438495</v>
      </c>
      <c r="AA150" s="30">
        <v>0.112514041815465</v>
      </c>
      <c r="AB150" s="30">
        <v>-4.5938023298566397E-4</v>
      </c>
      <c r="AC150" s="30">
        <v>0.31823359058439898</v>
      </c>
      <c r="AD150" s="30">
        <v>9.2308822238377299</v>
      </c>
      <c r="AE150" s="30">
        <v>3.20391965457662</v>
      </c>
      <c r="AF150" s="30">
        <v>5.4366823875963597</v>
      </c>
    </row>
    <row r="151" spans="1:32" s="2" customFormat="1">
      <c r="A151" s="23" t="s">
        <v>23</v>
      </c>
      <c r="B151" s="8" t="s">
        <v>182</v>
      </c>
      <c r="C151" s="9">
        <v>1.55385229889512</v>
      </c>
      <c r="D151" s="9">
        <v>6.61470892761781E-2</v>
      </c>
      <c r="E151" s="9">
        <v>0.378861251018631</v>
      </c>
      <c r="F151" s="9">
        <v>1.1494098002992699E-2</v>
      </c>
      <c r="G151" s="9">
        <v>0.44521513214466202</v>
      </c>
      <c r="H151" s="8"/>
      <c r="I151" s="29">
        <v>2257.7170940525002</v>
      </c>
      <c r="J151" s="30">
        <v>0.29723879777219298</v>
      </c>
      <c r="K151" s="29">
        <v>1520.03322832973</v>
      </c>
      <c r="L151" s="30">
        <v>8.0630425666343596E-5</v>
      </c>
      <c r="M151" s="30">
        <v>179.51265368039401</v>
      </c>
      <c r="N151" s="30">
        <v>514.84309580166303</v>
      </c>
      <c r="O151" s="30">
        <v>78.205455073370203</v>
      </c>
      <c r="P151" s="30">
        <v>412.717064383852</v>
      </c>
      <c r="Q151" s="30">
        <v>150.328606974347</v>
      </c>
      <c r="R151" s="30">
        <v>20.0055010913613</v>
      </c>
      <c r="S151" s="30">
        <v>208.36554477874699</v>
      </c>
      <c r="T151" s="30">
        <v>33.330014526572199</v>
      </c>
      <c r="U151" s="30">
        <v>215.42538484284199</v>
      </c>
      <c r="V151" s="30">
        <v>46.576147579482203</v>
      </c>
      <c r="W151" s="30">
        <v>134.862968552936</v>
      </c>
      <c r="X151" s="30">
        <v>17.550363464801801</v>
      </c>
      <c r="Y151" s="30">
        <v>102.416708204787</v>
      </c>
      <c r="Z151" s="30">
        <v>11.6192059751142</v>
      </c>
      <c r="AA151" s="30">
        <v>0.82081918210240701</v>
      </c>
      <c r="AB151" s="30">
        <v>7.1666661338487601E-4</v>
      </c>
      <c r="AC151" s="30">
        <v>0.35456370778135199</v>
      </c>
      <c r="AD151" s="30">
        <v>3.7871463848062601</v>
      </c>
      <c r="AE151" s="30">
        <v>5.1276939724970196</v>
      </c>
      <c r="AF151" s="30">
        <v>5.7782076557474999</v>
      </c>
    </row>
    <row r="152" spans="1:32" s="2" customFormat="1">
      <c r="A152" s="23" t="s">
        <v>23</v>
      </c>
      <c r="B152" s="8" t="s">
        <v>183</v>
      </c>
      <c r="C152" s="9">
        <v>1.1625234112216301</v>
      </c>
      <c r="D152" s="9">
        <v>5.7181473562904199E-2</v>
      </c>
      <c r="E152" s="9">
        <v>0.54310151260038897</v>
      </c>
      <c r="F152" s="9">
        <v>1.86783450403692E-2</v>
      </c>
      <c r="G152" s="9">
        <v>0.52655447527084798</v>
      </c>
      <c r="H152" s="8"/>
      <c r="I152" s="29">
        <v>2226.0571468302501</v>
      </c>
      <c r="J152" s="30">
        <v>0.44039397014435799</v>
      </c>
      <c r="K152" s="29">
        <v>853.742806172923</v>
      </c>
      <c r="L152" s="30">
        <v>-1.7230003009936999E-3</v>
      </c>
      <c r="M152" s="30">
        <v>40.441190767370003</v>
      </c>
      <c r="N152" s="30">
        <v>124.098669819797</v>
      </c>
      <c r="O152" s="30">
        <v>20.818456846989399</v>
      </c>
      <c r="P152" s="30">
        <v>126.94854073644299</v>
      </c>
      <c r="Q152" s="30">
        <v>56.054128821506502</v>
      </c>
      <c r="R152" s="30">
        <v>10.105691821869099</v>
      </c>
      <c r="S152" s="30">
        <v>98.802564486378699</v>
      </c>
      <c r="T152" s="30">
        <v>17.403116649051999</v>
      </c>
      <c r="U152" s="30">
        <v>120.896803172624</v>
      </c>
      <c r="V152" s="30">
        <v>27.742855756925799</v>
      </c>
      <c r="W152" s="30">
        <v>79.062630026455693</v>
      </c>
      <c r="X152" s="30">
        <v>9.8038372080105294</v>
      </c>
      <c r="Y152" s="30">
        <v>52.485484367549702</v>
      </c>
      <c r="Z152" s="30">
        <v>5.9306559844674096</v>
      </c>
      <c r="AA152" s="30">
        <v>-1.08001754116906E-3</v>
      </c>
      <c r="AB152" s="30">
        <v>-4.4576309562072998E-4</v>
      </c>
      <c r="AC152" s="30">
        <v>2.5629504108343402</v>
      </c>
      <c r="AD152" s="30">
        <v>5.0514261729219196</v>
      </c>
      <c r="AE152" s="30">
        <v>2.3864066218388702</v>
      </c>
      <c r="AF152" s="30">
        <v>5.0099445625316097</v>
      </c>
    </row>
    <row r="153" spans="1:32" s="2" customFormat="1">
      <c r="A153" s="23" t="s">
        <v>23</v>
      </c>
      <c r="B153" s="8" t="s">
        <v>184</v>
      </c>
      <c r="C153" s="9">
        <v>1.2335740877653101</v>
      </c>
      <c r="D153" s="9">
        <v>5.4076750101294202E-2</v>
      </c>
      <c r="E153" s="9">
        <v>0.411594814978889</v>
      </c>
      <c r="F153" s="9">
        <v>9.3079170329683301E-3</v>
      </c>
      <c r="G153" s="9">
        <v>0.59898263995728296</v>
      </c>
      <c r="H153" s="8"/>
      <c r="I153" s="29">
        <v>2187.5427110343198</v>
      </c>
      <c r="J153" s="30">
        <v>0.60727889131832302</v>
      </c>
      <c r="K153" s="29">
        <v>1534.82091365578</v>
      </c>
      <c r="L153" s="30">
        <v>-3.2563881643778098E-3</v>
      </c>
      <c r="M153" s="30">
        <v>235.259501030531</v>
      </c>
      <c r="N153" s="30">
        <v>677.07898168824102</v>
      </c>
      <c r="O153" s="30">
        <v>99.949150637661404</v>
      </c>
      <c r="P153" s="30">
        <v>511.41636081345501</v>
      </c>
      <c r="Q153" s="30">
        <v>178.11563565626599</v>
      </c>
      <c r="R153" s="30">
        <v>23.668589404699599</v>
      </c>
      <c r="S153" s="30">
        <v>221.13743620847501</v>
      </c>
      <c r="T153" s="30">
        <v>34.757372626529097</v>
      </c>
      <c r="U153" s="30">
        <v>220.01141511520601</v>
      </c>
      <c r="V153" s="30">
        <v>46.787095878124802</v>
      </c>
      <c r="W153" s="30">
        <v>136.32401575282699</v>
      </c>
      <c r="X153" s="30">
        <v>18.059916149567901</v>
      </c>
      <c r="Y153" s="30">
        <v>105.569365856064</v>
      </c>
      <c r="Z153" s="30">
        <v>12.0517750762472</v>
      </c>
      <c r="AA153" s="30">
        <v>-1.1086674448473801E-3</v>
      </c>
      <c r="AB153" s="30">
        <v>2.0574664572371201E-3</v>
      </c>
      <c r="AC153" s="30">
        <v>8.5369662255623299E-2</v>
      </c>
      <c r="AD153" s="30">
        <v>9.8428518630636894</v>
      </c>
      <c r="AE153" s="30">
        <v>5.0635776146476097</v>
      </c>
      <c r="AF153" s="30">
        <v>7.9861717938489702</v>
      </c>
    </row>
    <row r="154" spans="1:32" s="2" customFormat="1">
      <c r="A154" s="23" t="s">
        <v>23</v>
      </c>
      <c r="B154" s="8" t="s">
        <v>185</v>
      </c>
      <c r="C154" s="9">
        <v>1.1331658625566401</v>
      </c>
      <c r="D154" s="9">
        <v>4.7539978065221998E-2</v>
      </c>
      <c r="E154" s="9">
        <v>0.43225193408894202</v>
      </c>
      <c r="F154" s="9">
        <v>1.24189964500607E-2</v>
      </c>
      <c r="G154" s="9">
        <v>0.457825533322124</v>
      </c>
      <c r="H154" s="8"/>
      <c r="I154" s="29">
        <v>2393.6556251287202</v>
      </c>
      <c r="J154" s="30">
        <v>0.22698481421265601</v>
      </c>
      <c r="K154" s="29">
        <v>1333.8486113398601</v>
      </c>
      <c r="L154" s="30">
        <v>-4.3918432798327103E-3</v>
      </c>
      <c r="M154" s="30">
        <v>97.481990613094794</v>
      </c>
      <c r="N154" s="30">
        <v>273.46358704016501</v>
      </c>
      <c r="O154" s="30">
        <v>42.256332132008701</v>
      </c>
      <c r="P154" s="30">
        <v>225.76231717888999</v>
      </c>
      <c r="Q154" s="30">
        <v>82.125734316671398</v>
      </c>
      <c r="R154" s="30">
        <v>18.846941082050101</v>
      </c>
      <c r="S154" s="30">
        <v>126.522670060805</v>
      </c>
      <c r="T154" s="30">
        <v>23.367475888143701</v>
      </c>
      <c r="U154" s="30">
        <v>170.32973683599701</v>
      </c>
      <c r="V154" s="30">
        <v>39.665500954231099</v>
      </c>
      <c r="W154" s="30">
        <v>119.703626345343</v>
      </c>
      <c r="X154" s="30">
        <v>16.242135228451701</v>
      </c>
      <c r="Y154" s="30">
        <v>94.360684175333006</v>
      </c>
      <c r="Z154" s="30">
        <v>10.410459073792699</v>
      </c>
      <c r="AA154" s="30">
        <v>-1.1659847972634401E-3</v>
      </c>
      <c r="AB154" s="30">
        <v>1.4993207078413001E-3</v>
      </c>
      <c r="AC154" s="30">
        <v>2.0056059953048801E-2</v>
      </c>
      <c r="AD154" s="30">
        <v>8.6766075026144502</v>
      </c>
      <c r="AE154" s="30">
        <v>4.27907510967189</v>
      </c>
      <c r="AF154" s="30">
        <v>7.1845720125392898</v>
      </c>
    </row>
    <row r="155" spans="1:32" s="2" customFormat="1">
      <c r="A155" s="23" t="s">
        <v>23</v>
      </c>
      <c r="B155" s="8" t="s">
        <v>199</v>
      </c>
      <c r="C155" s="9">
        <v>1.3386407328954699</v>
      </c>
      <c r="D155" s="9">
        <v>5.6502907564186397E-2</v>
      </c>
      <c r="E155" s="9">
        <v>0.42896784427294299</v>
      </c>
      <c r="F155" s="9">
        <v>1.27672431403067E-2</v>
      </c>
      <c r="G155" s="9">
        <v>0.39771819171626799</v>
      </c>
      <c r="H155" s="8"/>
      <c r="I155" s="29">
        <v>2308.5561398044001</v>
      </c>
      <c r="J155" s="30">
        <v>0.29234013165670297</v>
      </c>
      <c r="K155" s="29">
        <v>1294.3423688170999</v>
      </c>
      <c r="L155" s="30">
        <v>-4.0925081296417703E-3</v>
      </c>
      <c r="M155" s="30">
        <v>61.232606324417098</v>
      </c>
      <c r="N155" s="30">
        <v>180.31060456789001</v>
      </c>
      <c r="O155" s="30">
        <v>29.239338950435801</v>
      </c>
      <c r="P155" s="30">
        <v>164.274432405824</v>
      </c>
      <c r="Q155" s="30">
        <v>70.965861449834094</v>
      </c>
      <c r="R155" s="30">
        <v>14.853700340739801</v>
      </c>
      <c r="S155" s="30">
        <v>122.291748965217</v>
      </c>
      <c r="T155" s="30">
        <v>23.379210977671601</v>
      </c>
      <c r="U155" s="30">
        <v>170.60759616712099</v>
      </c>
      <c r="V155" s="30">
        <v>40.072972816834898</v>
      </c>
      <c r="W155" s="30">
        <v>118.574719673123</v>
      </c>
      <c r="X155" s="30">
        <v>15.340281073542201</v>
      </c>
      <c r="Y155" s="30">
        <v>88.185928079914206</v>
      </c>
      <c r="Z155" s="30">
        <v>9.5749109389044893</v>
      </c>
      <c r="AA155" s="30">
        <v>-1.0896553501166899E-3</v>
      </c>
      <c r="AB155" s="30">
        <v>-1.4445242089775501E-4</v>
      </c>
      <c r="AC155" s="30">
        <v>0.19967987062748499</v>
      </c>
      <c r="AD155" s="30">
        <v>9.5412858049205695</v>
      </c>
      <c r="AE155" s="30">
        <v>3.4282020810349199</v>
      </c>
      <c r="AF155" s="30">
        <v>5.4505771975897703</v>
      </c>
    </row>
    <row r="156" spans="1:32" s="2" customFormat="1">
      <c r="A156" s="23" t="s">
        <v>23</v>
      </c>
      <c r="B156" s="8" t="s">
        <v>200</v>
      </c>
      <c r="C156" s="9">
        <v>1.34803775019288</v>
      </c>
      <c r="D156" s="9">
        <v>6.7549362279715502E-2</v>
      </c>
      <c r="E156" s="9">
        <v>0.427220229328517</v>
      </c>
      <c r="F156" s="9">
        <v>1.3788340326780101E-2</v>
      </c>
      <c r="G156" s="9">
        <v>0.63884592780754801</v>
      </c>
      <c r="H156" s="8"/>
      <c r="I156" s="29">
        <v>2316.8305474578301</v>
      </c>
      <c r="J156" s="30">
        <v>0.81189504260991097</v>
      </c>
      <c r="K156" s="29">
        <v>1179.62019407296</v>
      </c>
      <c r="L156" s="30">
        <v>-4.1263816165151498E-3</v>
      </c>
      <c r="M156" s="30">
        <v>53.546000992209002</v>
      </c>
      <c r="N156" s="30">
        <v>152.790130845459</v>
      </c>
      <c r="O156" s="30">
        <v>24.430495783288698</v>
      </c>
      <c r="P156" s="30">
        <v>138.126687248054</v>
      </c>
      <c r="Q156" s="30">
        <v>60.335728805557899</v>
      </c>
      <c r="R156" s="30">
        <v>11.1508845636204</v>
      </c>
      <c r="S156" s="30">
        <v>110.20498007501401</v>
      </c>
      <c r="T156" s="30">
        <v>20.8311423960889</v>
      </c>
      <c r="U156" s="30">
        <v>155.324074803228</v>
      </c>
      <c r="V156" s="30">
        <v>36.767437121804498</v>
      </c>
      <c r="W156" s="30">
        <v>108.475751424813</v>
      </c>
      <c r="X156" s="30">
        <v>13.8851060429859</v>
      </c>
      <c r="Y156" s="30">
        <v>78.289287563083604</v>
      </c>
      <c r="Z156" s="30">
        <v>8.49234338766043</v>
      </c>
      <c r="AA156" s="30">
        <v>-1.10645642061172E-3</v>
      </c>
      <c r="AB156" s="30">
        <v>1.9956363418630399E-4</v>
      </c>
      <c r="AC156" s="30">
        <v>0.98214568410839398</v>
      </c>
      <c r="AD156" s="30">
        <v>31.186380154691001</v>
      </c>
      <c r="AE156" s="30">
        <v>3.6042574903199398</v>
      </c>
      <c r="AF156" s="30">
        <v>10.7249236418642</v>
      </c>
    </row>
    <row r="157" spans="1:32" s="2" customFormat="1">
      <c r="A157" s="23" t="s">
        <v>23</v>
      </c>
      <c r="B157" s="8" t="s">
        <v>186</v>
      </c>
      <c r="C157" s="9">
        <v>1.21951594506329</v>
      </c>
      <c r="D157" s="9">
        <v>6.6740944003564395E-2</v>
      </c>
      <c r="E157" s="9">
        <v>0.48164280987656699</v>
      </c>
      <c r="F157" s="9">
        <v>2.0954403176855801E-2</v>
      </c>
      <c r="G157" s="9">
        <v>0.69684281258374003</v>
      </c>
      <c r="H157" s="8"/>
      <c r="I157" s="29">
        <v>2483.6297177689398</v>
      </c>
      <c r="J157" s="30">
        <v>0.78545518388914704</v>
      </c>
      <c r="K157" s="29">
        <v>1341.2719155380901</v>
      </c>
      <c r="L157" s="30">
        <v>-4.4432063179240203E-3</v>
      </c>
      <c r="M157" s="30">
        <v>89.694269127968099</v>
      </c>
      <c r="N157" s="30">
        <v>252.92568686663699</v>
      </c>
      <c r="O157" s="30">
        <v>39.419505361901102</v>
      </c>
      <c r="P157" s="30">
        <v>212.41934691586701</v>
      </c>
      <c r="Q157" s="30">
        <v>84.9091767789009</v>
      </c>
      <c r="R157" s="30">
        <v>17.359350410795699</v>
      </c>
      <c r="S157" s="30">
        <v>138.75970325462501</v>
      </c>
      <c r="T157" s="30">
        <v>25.303226965077801</v>
      </c>
      <c r="U157" s="30">
        <v>180.318404031011</v>
      </c>
      <c r="V157" s="30">
        <v>41.958503536442301</v>
      </c>
      <c r="W157" s="30">
        <v>124.141775546172</v>
      </c>
      <c r="X157" s="30">
        <v>16.2681461907945</v>
      </c>
      <c r="Y157" s="30">
        <v>92.559707881528894</v>
      </c>
      <c r="Z157" s="30">
        <v>10.1553712666894</v>
      </c>
      <c r="AA157" s="30">
        <v>-1.1932514602611599E-3</v>
      </c>
      <c r="AB157" s="30">
        <v>8.2506005906042698E-4</v>
      </c>
      <c r="AC157" s="30">
        <v>0.164658518917702</v>
      </c>
      <c r="AD157" s="30">
        <v>5.8681045685756503</v>
      </c>
      <c r="AE157" s="30">
        <v>3.1384531112919398</v>
      </c>
      <c r="AF157" s="30">
        <v>5.4634114804712199</v>
      </c>
    </row>
    <row r="158" spans="1:32" s="2" customFormat="1">
      <c r="A158" s="23" t="s">
        <v>23</v>
      </c>
      <c r="B158" s="8" t="s">
        <v>187</v>
      </c>
      <c r="C158" s="9">
        <v>0.58930030533448596</v>
      </c>
      <c r="D158" s="9">
        <v>3.2439771517751903E-2</v>
      </c>
      <c r="E158" s="9">
        <v>0.77278833778937495</v>
      </c>
      <c r="F158" s="9">
        <v>2.78626702545508E-2</v>
      </c>
      <c r="G158" s="9">
        <v>0.71158212410947896</v>
      </c>
      <c r="H158" s="8"/>
      <c r="I158" s="29">
        <v>2099.3644055355098</v>
      </c>
      <c r="J158" s="30">
        <v>0.42072542345438702</v>
      </c>
      <c r="K158" s="29">
        <v>869.53694158977498</v>
      </c>
      <c r="L158" s="30">
        <v>-4.1774341508417001E-3</v>
      </c>
      <c r="M158" s="30">
        <v>58.4901178674018</v>
      </c>
      <c r="N158" s="30">
        <v>147.91299842045899</v>
      </c>
      <c r="O158" s="30">
        <v>21.418076456167</v>
      </c>
      <c r="P158" s="30">
        <v>112.813019248871</v>
      </c>
      <c r="Q158" s="30">
        <v>47.586982715960303</v>
      </c>
      <c r="R158" s="30">
        <v>10.9089399120867</v>
      </c>
      <c r="S158" s="30">
        <v>90.195372452308803</v>
      </c>
      <c r="T158" s="30">
        <v>17.345744214675399</v>
      </c>
      <c r="U158" s="30">
        <v>123.60135330649101</v>
      </c>
      <c r="V158" s="30">
        <v>27.995456971049801</v>
      </c>
      <c r="W158" s="30">
        <v>77.908324708850898</v>
      </c>
      <c r="X158" s="30">
        <v>9.5824786632552392</v>
      </c>
      <c r="Y158" s="30">
        <v>52.991058438659699</v>
      </c>
      <c r="Z158" s="30">
        <v>5.8376550556948397</v>
      </c>
      <c r="AA158" s="30">
        <v>-1.1261153841520401E-3</v>
      </c>
      <c r="AB158" s="30">
        <v>-6.5046403144794105E-5</v>
      </c>
      <c r="AC158" s="30">
        <v>0.159317844351402</v>
      </c>
      <c r="AD158" s="30">
        <v>0.68861251117259104</v>
      </c>
      <c r="AE158" s="30">
        <v>0.645102509352243</v>
      </c>
      <c r="AF158" s="30">
        <v>3.1936035994910101</v>
      </c>
    </row>
    <row r="159" spans="1:32" s="2" customFormat="1">
      <c r="A159" s="23" t="s">
        <v>23</v>
      </c>
      <c r="B159" s="8" t="s">
        <v>188</v>
      </c>
      <c r="C159" s="9">
        <v>1.36300777075213</v>
      </c>
      <c r="D159" s="9">
        <v>5.6046790447963901E-2</v>
      </c>
      <c r="E159" s="9">
        <v>0.381463449178084</v>
      </c>
      <c r="F159" s="9">
        <v>1.0101083701169E-2</v>
      </c>
      <c r="G159" s="9">
        <v>0.44333734266578401</v>
      </c>
      <c r="H159" s="8"/>
      <c r="I159" s="29">
        <v>2790.4021762185198</v>
      </c>
      <c r="J159" s="30">
        <v>0.65079967294529195</v>
      </c>
      <c r="K159" s="29">
        <v>1433.6872433177</v>
      </c>
      <c r="L159" s="30">
        <v>-3.0857524787386501E-3</v>
      </c>
      <c r="M159" s="30">
        <v>99.051413499956794</v>
      </c>
      <c r="N159" s="30">
        <v>294.73260821777302</v>
      </c>
      <c r="O159" s="30">
        <v>47.139550547744598</v>
      </c>
      <c r="P159" s="30">
        <v>268.97756934431601</v>
      </c>
      <c r="Q159" s="30">
        <v>101.28713620748999</v>
      </c>
      <c r="R159" s="30">
        <v>16.9404246656079</v>
      </c>
      <c r="S159" s="30">
        <v>156.99525389602599</v>
      </c>
      <c r="T159" s="30">
        <v>27.330845097552199</v>
      </c>
      <c r="U159" s="30">
        <v>191.079706562713</v>
      </c>
      <c r="V159" s="30">
        <v>43.667097187369102</v>
      </c>
      <c r="W159" s="30">
        <v>129.088631717113</v>
      </c>
      <c r="X159" s="30">
        <v>16.519353148174901</v>
      </c>
      <c r="Y159" s="30">
        <v>93.482999515107807</v>
      </c>
      <c r="Z159" s="30">
        <v>10.358146481519301</v>
      </c>
      <c r="AA159" s="30">
        <v>5.1427906681269703E-2</v>
      </c>
      <c r="AB159" s="30">
        <v>1.9624253394841698E-3</v>
      </c>
      <c r="AC159" s="30">
        <v>0.48459108711291399</v>
      </c>
      <c r="AD159" s="30">
        <v>13.6311998778563</v>
      </c>
      <c r="AE159" s="30">
        <v>4.9909357591116104</v>
      </c>
      <c r="AF159" s="30">
        <v>7.5980374157235797</v>
      </c>
    </row>
    <row r="160" spans="1:32" s="2" customFormat="1">
      <c r="A160" s="23" t="s">
        <v>23</v>
      </c>
      <c r="B160" s="8" t="s">
        <v>201</v>
      </c>
      <c r="C160" s="9">
        <v>1.46884988486218</v>
      </c>
      <c r="D160" s="9">
        <v>6.4568679236293905E-2</v>
      </c>
      <c r="E160" s="9">
        <v>0.37256062552485603</v>
      </c>
      <c r="F160" s="9">
        <v>9.4097038499481693E-3</v>
      </c>
      <c r="G160" s="9">
        <v>0.58956353883828405</v>
      </c>
      <c r="H160" s="8"/>
      <c r="I160" s="29">
        <v>2607.35429546866</v>
      </c>
      <c r="J160" s="30">
        <v>0.63615163515100703</v>
      </c>
      <c r="K160" s="29">
        <v>1719.85007282028</v>
      </c>
      <c r="L160" s="30">
        <v>-4.0298974674264302E-3</v>
      </c>
      <c r="M160" s="30">
        <v>114.837049190464</v>
      </c>
      <c r="N160" s="30">
        <v>347.05544820466798</v>
      </c>
      <c r="O160" s="30">
        <v>55.7526868566692</v>
      </c>
      <c r="P160" s="30">
        <v>313.781936994094</v>
      </c>
      <c r="Q160" s="30">
        <v>126.344605386918</v>
      </c>
      <c r="R160" s="30">
        <v>21.588006725587199</v>
      </c>
      <c r="S160" s="30">
        <v>192.64274669878199</v>
      </c>
      <c r="T160" s="30">
        <v>33.673623056308998</v>
      </c>
      <c r="U160" s="30">
        <v>236.89575070310499</v>
      </c>
      <c r="V160" s="30">
        <v>53.888840319213898</v>
      </c>
      <c r="W160" s="30">
        <v>156.685066546792</v>
      </c>
      <c r="X160" s="30">
        <v>20.3094023755019</v>
      </c>
      <c r="Y160" s="30">
        <v>116.784114319864</v>
      </c>
      <c r="Z160" s="30">
        <v>12.9736492077392</v>
      </c>
      <c r="AA160" s="30">
        <v>-1.08939801678993E-3</v>
      </c>
      <c r="AB160" s="30">
        <v>5.6516366580786096E-3</v>
      </c>
      <c r="AC160" s="30">
        <v>0.217549719970863</v>
      </c>
      <c r="AD160" s="30">
        <v>17.424681404166201</v>
      </c>
      <c r="AE160" s="30">
        <v>5.1849525850572302</v>
      </c>
      <c r="AF160" s="30">
        <v>7.7926147592746</v>
      </c>
    </row>
    <row r="161" spans="1:32" s="2" customFormat="1">
      <c r="A161" s="23" t="s">
        <v>23</v>
      </c>
      <c r="B161" s="8" t="s">
        <v>202</v>
      </c>
      <c r="C161" s="9">
        <v>1.3711753142468399</v>
      </c>
      <c r="D161" s="9">
        <v>7.1876769921011899E-2</v>
      </c>
      <c r="E161" s="9">
        <v>0.38737360769247098</v>
      </c>
      <c r="F161" s="9">
        <v>1.1978524062453E-2</v>
      </c>
      <c r="G161" s="9">
        <v>0.745270832888144</v>
      </c>
      <c r="H161" s="8"/>
      <c r="I161" s="29">
        <v>2267.1219800783201</v>
      </c>
      <c r="J161" s="30">
        <v>0.50042765848839599</v>
      </c>
      <c r="K161" s="29">
        <v>1291.3593981167201</v>
      </c>
      <c r="L161" s="30">
        <v>1.9896474575661401E-3</v>
      </c>
      <c r="M161" s="30">
        <v>79.118270759239294</v>
      </c>
      <c r="N161" s="30">
        <v>228.256590367662</v>
      </c>
      <c r="O161" s="30">
        <v>36.661956352479102</v>
      </c>
      <c r="P161" s="30">
        <v>203.42715992490801</v>
      </c>
      <c r="Q161" s="30">
        <v>81.626274861411702</v>
      </c>
      <c r="R161" s="30">
        <v>16.3038289438127</v>
      </c>
      <c r="S161" s="30">
        <v>138.37560449674299</v>
      </c>
      <c r="T161" s="30">
        <v>24.526447491165701</v>
      </c>
      <c r="U161" s="30">
        <v>173.24411338457901</v>
      </c>
      <c r="V161" s="30">
        <v>39.845994417724199</v>
      </c>
      <c r="W161" s="30">
        <v>118.878983499345</v>
      </c>
      <c r="X161" s="30">
        <v>15.2828637930866</v>
      </c>
      <c r="Y161" s="30">
        <v>88.045847159693906</v>
      </c>
      <c r="Z161" s="30">
        <v>9.7561396951263095</v>
      </c>
      <c r="AA161" s="30">
        <v>0.57427433823787999</v>
      </c>
      <c r="AB161" s="30">
        <v>1.0394440350199299E-3</v>
      </c>
      <c r="AC161" s="30">
        <v>0.55559153854929799</v>
      </c>
      <c r="AD161" s="30">
        <v>11.0069686664153</v>
      </c>
      <c r="AE161" s="30">
        <v>4.7165990850120298</v>
      </c>
      <c r="AF161" s="30">
        <v>7.1442605820058898</v>
      </c>
    </row>
    <row r="162" spans="1:32" s="2" customFormat="1">
      <c r="A162" s="23" t="s">
        <v>23</v>
      </c>
      <c r="B162" s="8" t="s">
        <v>189</v>
      </c>
      <c r="C162" s="9">
        <v>1.4480777375643401</v>
      </c>
      <c r="D162" s="9">
        <v>6.2431602835441503E-2</v>
      </c>
      <c r="E162" s="9">
        <v>0.37979344158087902</v>
      </c>
      <c r="F162" s="9">
        <v>1.1299084668746901E-2</v>
      </c>
      <c r="G162" s="9">
        <v>0.38005310094505401</v>
      </c>
      <c r="H162" s="8"/>
      <c r="I162" s="29">
        <v>2550.2873351296698</v>
      </c>
      <c r="J162" s="30">
        <v>0.71057895718227404</v>
      </c>
      <c r="K162" s="29">
        <v>1262.5702204740401</v>
      </c>
      <c r="L162" s="30">
        <v>-4.0658928699451001E-3</v>
      </c>
      <c r="M162" s="30">
        <v>87.658981430237901</v>
      </c>
      <c r="N162" s="30">
        <v>269.77662620668201</v>
      </c>
      <c r="O162" s="30">
        <v>44.625536437475503</v>
      </c>
      <c r="P162" s="30">
        <v>261.24841063396798</v>
      </c>
      <c r="Q162" s="30">
        <v>105.497280554943</v>
      </c>
      <c r="R162" s="30">
        <v>16.328206045541801</v>
      </c>
      <c r="S162" s="30">
        <v>160.67420724431301</v>
      </c>
      <c r="T162" s="30">
        <v>26.617358779432401</v>
      </c>
      <c r="U162" s="30">
        <v>179.083405314326</v>
      </c>
      <c r="V162" s="30">
        <v>39.970012254483699</v>
      </c>
      <c r="W162" s="30">
        <v>114.969710593174</v>
      </c>
      <c r="X162" s="30">
        <v>14.4354325818923</v>
      </c>
      <c r="Y162" s="30">
        <v>80.220140903035201</v>
      </c>
      <c r="Z162" s="30">
        <v>8.8590641706494306</v>
      </c>
      <c r="AA162" s="30">
        <v>-1.1319426494182899E-3</v>
      </c>
      <c r="AB162" s="30">
        <v>1.28356457607664E-3</v>
      </c>
      <c r="AC162" s="30">
        <v>9.1430417577166301E-2</v>
      </c>
      <c r="AD162" s="30">
        <v>12.148742102751701</v>
      </c>
      <c r="AE162" s="30">
        <v>4.5110645468697603</v>
      </c>
      <c r="AF162" s="30">
        <v>6.3587682842045696</v>
      </c>
    </row>
    <row r="163" spans="1:32" s="2" customFormat="1">
      <c r="A163" s="23" t="s">
        <v>23</v>
      </c>
      <c r="B163" s="8" t="s">
        <v>190</v>
      </c>
      <c r="C163" s="9">
        <v>1.2230553015558501</v>
      </c>
      <c r="D163" s="9">
        <v>4.9817862480936802E-2</v>
      </c>
      <c r="E163" s="9">
        <v>0.38884536864838598</v>
      </c>
      <c r="F163" s="9">
        <v>1.01091111114515E-2</v>
      </c>
      <c r="G163" s="9">
        <v>0.42138800819375499</v>
      </c>
      <c r="H163" s="8"/>
      <c r="I163" s="29">
        <v>2520.5961971064899</v>
      </c>
      <c r="J163" s="30">
        <v>0.43768110751878297</v>
      </c>
      <c r="K163" s="29">
        <v>429.735256789191</v>
      </c>
      <c r="L163" s="30">
        <v>-4.0763483742590001E-3</v>
      </c>
      <c r="M163" s="30">
        <v>173.39696261196099</v>
      </c>
      <c r="N163" s="30">
        <v>524.22845294945296</v>
      </c>
      <c r="O163" s="30">
        <v>81.017940818389704</v>
      </c>
      <c r="P163" s="30">
        <v>435.42941774632999</v>
      </c>
      <c r="Q163" s="30">
        <v>138.831373281841</v>
      </c>
      <c r="R163" s="30">
        <v>37.142810895234298</v>
      </c>
      <c r="S163" s="30">
        <v>146.29059989871899</v>
      </c>
      <c r="T163" s="30">
        <v>17.8121847615209</v>
      </c>
      <c r="U163" s="30">
        <v>89.256056896534005</v>
      </c>
      <c r="V163" s="30">
        <v>15.311596697476</v>
      </c>
      <c r="W163" s="30">
        <v>36.772614976438597</v>
      </c>
      <c r="X163" s="30">
        <v>4.5017672348487103</v>
      </c>
      <c r="Y163" s="30">
        <v>28.485198797742299</v>
      </c>
      <c r="Z163" s="30">
        <v>3.3688381445088602</v>
      </c>
      <c r="AA163" s="30">
        <v>2.5624506262343599E-3</v>
      </c>
      <c r="AB163" s="30">
        <v>-4.36291320176677E-4</v>
      </c>
      <c r="AC163" s="30">
        <v>2.4453369882342198E-2</v>
      </c>
      <c r="AD163" s="30">
        <v>10.3112097637348</v>
      </c>
      <c r="AE163" s="30">
        <v>4.7257383979556504</v>
      </c>
      <c r="AF163" s="30">
        <v>7.3945339472952103</v>
      </c>
    </row>
    <row r="164" spans="1:32" s="2" customFormat="1">
      <c r="A164" s="23" t="s">
        <v>23</v>
      </c>
      <c r="B164" s="8" t="s">
        <v>191</v>
      </c>
      <c r="C164" s="9">
        <v>1.4316157444930799</v>
      </c>
      <c r="D164" s="9">
        <v>8.5982062886543101E-2</v>
      </c>
      <c r="E164" s="9">
        <v>0.37089181353578599</v>
      </c>
      <c r="F164" s="9">
        <v>1.31982153725278E-2</v>
      </c>
      <c r="G164" s="9">
        <v>0.64197567276296996</v>
      </c>
      <c r="H164" s="8"/>
      <c r="I164" s="29">
        <v>4244.0190370995197</v>
      </c>
      <c r="J164" s="30">
        <v>1.1469249653972899</v>
      </c>
      <c r="K164" s="29">
        <v>1288.14407567085</v>
      </c>
      <c r="L164" s="30">
        <v>8.00323879013599E-2</v>
      </c>
      <c r="M164" s="30">
        <v>89.085353164085106</v>
      </c>
      <c r="N164" s="30">
        <v>270.99725127161003</v>
      </c>
      <c r="O164" s="30">
        <v>45.914628160371002</v>
      </c>
      <c r="P164" s="30">
        <v>276.45442631419201</v>
      </c>
      <c r="Q164" s="30">
        <v>111.510968050702</v>
      </c>
      <c r="R164" s="30">
        <v>16.484677010593501</v>
      </c>
      <c r="S164" s="30">
        <v>163.67142387792401</v>
      </c>
      <c r="T164" s="30">
        <v>26.138549427411601</v>
      </c>
      <c r="U164" s="30">
        <v>176.634271184905</v>
      </c>
      <c r="V164" s="30">
        <v>39.210871411147998</v>
      </c>
      <c r="W164" s="30">
        <v>117.985406551003</v>
      </c>
      <c r="X164" s="30">
        <v>15.8056778069076</v>
      </c>
      <c r="Y164" s="30">
        <v>92.067708624734294</v>
      </c>
      <c r="Z164" s="30">
        <v>10.1322382469956</v>
      </c>
      <c r="AA164" s="30">
        <v>12.8539206539541</v>
      </c>
      <c r="AB164" s="30">
        <v>2.5357296173136999E-2</v>
      </c>
      <c r="AC164" s="30">
        <v>423.58011251404002</v>
      </c>
      <c r="AD164" s="30">
        <v>14.949894382428401</v>
      </c>
      <c r="AE164" s="30">
        <v>6.2981393306108098</v>
      </c>
      <c r="AF164" s="30">
        <v>8.5946841349020406</v>
      </c>
    </row>
    <row r="165" spans="1:32" s="2" customFormat="1">
      <c r="A165" s="23" t="s">
        <v>23</v>
      </c>
      <c r="B165" s="8" t="s">
        <v>192</v>
      </c>
      <c r="C165" s="9">
        <v>0.97701898719689495</v>
      </c>
      <c r="D165" s="9">
        <v>4.7950414861238203E-2</v>
      </c>
      <c r="E165" s="9">
        <v>0.572677681016171</v>
      </c>
      <c r="F165" s="9">
        <v>1.8044301828651702E-2</v>
      </c>
      <c r="G165" s="9">
        <v>0.64393422550101997</v>
      </c>
      <c r="H165" s="8"/>
      <c r="I165" s="29">
        <v>2372.4291164803399</v>
      </c>
      <c r="J165" s="30">
        <v>0.42996767761471899</v>
      </c>
      <c r="K165" s="29">
        <v>865.61980881647696</v>
      </c>
      <c r="L165" s="30">
        <v>1.1545986598306499E-3</v>
      </c>
      <c r="M165" s="30">
        <v>48.697484290521501</v>
      </c>
      <c r="N165" s="30">
        <v>139.90122971011499</v>
      </c>
      <c r="O165" s="30">
        <v>21.643490621445299</v>
      </c>
      <c r="P165" s="30">
        <v>122.068526120852</v>
      </c>
      <c r="Q165" s="30">
        <v>48.841777166868503</v>
      </c>
      <c r="R165" s="30">
        <v>10.231956166044901</v>
      </c>
      <c r="S165" s="30">
        <v>84.396096608883397</v>
      </c>
      <c r="T165" s="30">
        <v>15.561826941529301</v>
      </c>
      <c r="U165" s="30">
        <v>111.781480769506</v>
      </c>
      <c r="V165" s="30">
        <v>26.098789304021299</v>
      </c>
      <c r="W165" s="30">
        <v>78.205372269668302</v>
      </c>
      <c r="X165" s="30">
        <v>10.3031630675854</v>
      </c>
      <c r="Y165" s="30">
        <v>59.629839655829599</v>
      </c>
      <c r="Z165" s="30">
        <v>6.6538591831357898</v>
      </c>
      <c r="AA165" s="30">
        <v>2.27275352424946E-3</v>
      </c>
      <c r="AB165" s="30">
        <v>-4.3811757569442097E-4</v>
      </c>
      <c r="AC165" s="30">
        <v>0.54049613478588299</v>
      </c>
      <c r="AD165" s="30">
        <v>4.5770559649884097</v>
      </c>
      <c r="AE165" s="30">
        <v>1.8057214874687599</v>
      </c>
      <c r="AF165" s="30">
        <v>4.4591402070968797</v>
      </c>
    </row>
    <row r="166" spans="1:32" s="2" customFormat="1">
      <c r="A166" s="23" t="s">
        <v>23</v>
      </c>
      <c r="B166" s="8" t="s">
        <v>193</v>
      </c>
      <c r="C166" s="9">
        <v>1.2272500429984701</v>
      </c>
      <c r="D166" s="9">
        <v>5.8049283510776303E-2</v>
      </c>
      <c r="E166" s="9">
        <v>0.48061950641517098</v>
      </c>
      <c r="F166" s="9">
        <v>1.5999634029763801E-2</v>
      </c>
      <c r="G166" s="9">
        <v>0.35720557584936502</v>
      </c>
      <c r="H166" s="8"/>
      <c r="I166" s="29">
        <v>2627.1049692791698</v>
      </c>
      <c r="J166" s="30">
        <v>0.40248202705208502</v>
      </c>
      <c r="K166" s="29">
        <v>1236.31038737059</v>
      </c>
      <c r="L166" s="30">
        <v>-4.1397025895111104E-3</v>
      </c>
      <c r="M166" s="30">
        <v>50.410081722408997</v>
      </c>
      <c r="N166" s="30">
        <v>159.357063986589</v>
      </c>
      <c r="O166" s="30">
        <v>27.697803319300998</v>
      </c>
      <c r="P166" s="30">
        <v>171.62363868155501</v>
      </c>
      <c r="Q166" s="30">
        <v>80.146372361704096</v>
      </c>
      <c r="R166" s="30">
        <v>12.502006038247099</v>
      </c>
      <c r="S166" s="30">
        <v>140.196621855827</v>
      </c>
      <c r="T166" s="30">
        <v>24.820293735158302</v>
      </c>
      <c r="U166" s="30">
        <v>171.22098587250801</v>
      </c>
      <c r="V166" s="30">
        <v>38.836280718810301</v>
      </c>
      <c r="W166" s="30">
        <v>111.45254593871501</v>
      </c>
      <c r="X166" s="30">
        <v>14.212616393556001</v>
      </c>
      <c r="Y166" s="30">
        <v>79.848446187335597</v>
      </c>
      <c r="Z166" s="30">
        <v>8.7823736312608691</v>
      </c>
      <c r="AA166" s="30">
        <v>-1.1734709196616899E-3</v>
      </c>
      <c r="AB166" s="30">
        <v>2.6163152347365901E-3</v>
      </c>
      <c r="AC166" s="30">
        <v>0.62275645885600694</v>
      </c>
      <c r="AD166" s="30">
        <v>6.6774735400013299</v>
      </c>
      <c r="AE166" s="30">
        <v>2.9907223674058598</v>
      </c>
      <c r="AF166" s="30">
        <v>5.1922598345309501</v>
      </c>
    </row>
    <row r="167" spans="1:32" s="2" customFormat="1">
      <c r="A167" s="23" t="s">
        <v>23</v>
      </c>
      <c r="B167" s="8" t="s">
        <v>194</v>
      </c>
      <c r="C167" s="9">
        <v>1.2483582673903799</v>
      </c>
      <c r="D167" s="9">
        <v>5.54237904756354E-2</v>
      </c>
      <c r="E167" s="9">
        <v>0.39050619783741403</v>
      </c>
      <c r="F167" s="9">
        <v>9.7437225985292104E-3</v>
      </c>
      <c r="G167" s="9">
        <v>0.33001182891088698</v>
      </c>
      <c r="H167" s="8"/>
      <c r="I167" s="29">
        <v>2904.0315278325602</v>
      </c>
      <c r="J167" s="30">
        <v>0.40231326411128199</v>
      </c>
      <c r="K167" s="29">
        <v>1764.93536289645</v>
      </c>
      <c r="L167" s="30">
        <v>-4.1371159552461801E-3</v>
      </c>
      <c r="M167" s="30">
        <v>157.586777917848</v>
      </c>
      <c r="N167" s="30">
        <v>447.850324490682</v>
      </c>
      <c r="O167" s="30">
        <v>67.943965085184701</v>
      </c>
      <c r="P167" s="30">
        <v>358.21439420777398</v>
      </c>
      <c r="Q167" s="30">
        <v>134.28034645588201</v>
      </c>
      <c r="R167" s="30">
        <v>25.331651277592702</v>
      </c>
      <c r="S167" s="30">
        <v>200.430078591343</v>
      </c>
      <c r="T167" s="30">
        <v>35.346308398272598</v>
      </c>
      <c r="U167" s="30">
        <v>241.281078118083</v>
      </c>
      <c r="V167" s="30">
        <v>53.809974224341502</v>
      </c>
      <c r="W167" s="30">
        <v>158.80109692504001</v>
      </c>
      <c r="X167" s="30">
        <v>21.0156976371483</v>
      </c>
      <c r="Y167" s="30">
        <v>124.054133215154</v>
      </c>
      <c r="Z167" s="30">
        <v>13.559248111812099</v>
      </c>
      <c r="AA167" s="30">
        <v>-1.1751575596843399E-3</v>
      </c>
      <c r="AB167" s="30">
        <v>1.0000472362900499E-2</v>
      </c>
      <c r="AC167" s="30">
        <v>5.1925160964032199E-2</v>
      </c>
      <c r="AD167" s="30">
        <v>15.9051076379812</v>
      </c>
      <c r="AE167" s="30">
        <v>5.6238662809484099</v>
      </c>
      <c r="AF167" s="30">
        <v>8.8488701273225896</v>
      </c>
    </row>
    <row r="168" spans="1:32" s="2" customFormat="1">
      <c r="A168" s="23" t="s">
        <v>23</v>
      </c>
      <c r="B168" s="8" t="s">
        <v>195</v>
      </c>
      <c r="C168" s="9">
        <v>1.0952020397948701</v>
      </c>
      <c r="D168" s="9">
        <v>4.6201073109108599E-2</v>
      </c>
      <c r="E168" s="9">
        <v>0.432669056218416</v>
      </c>
      <c r="F168" s="9">
        <v>1.22777009505115E-2</v>
      </c>
      <c r="G168" s="9">
        <v>0.46545884759935302</v>
      </c>
      <c r="H168" s="8"/>
      <c r="I168" s="29">
        <v>2685.5035698517499</v>
      </c>
      <c r="J168" s="30">
        <v>0.32728185786427599</v>
      </c>
      <c r="K168" s="29">
        <v>1465.8471547399899</v>
      </c>
      <c r="L168" s="30">
        <v>-3.9903893656810198E-3</v>
      </c>
      <c r="M168" s="30">
        <v>99.888048010910694</v>
      </c>
      <c r="N168" s="30">
        <v>293.66962996429299</v>
      </c>
      <c r="O168" s="30">
        <v>46.252051365635197</v>
      </c>
      <c r="P168" s="30">
        <v>255.624966713986</v>
      </c>
      <c r="Q168" s="30">
        <v>104.120728486316</v>
      </c>
      <c r="R168" s="30">
        <v>21.581561721647599</v>
      </c>
      <c r="S168" s="30">
        <v>165.7907963195</v>
      </c>
      <c r="T168" s="30">
        <v>29.157703888059899</v>
      </c>
      <c r="U168" s="30">
        <v>200.03006557556199</v>
      </c>
      <c r="V168" s="30">
        <v>45.150201962288001</v>
      </c>
      <c r="W168" s="30">
        <v>131.59041595984399</v>
      </c>
      <c r="X168" s="30">
        <v>17.3558019350289</v>
      </c>
      <c r="Y168" s="30">
        <v>99.518734978531</v>
      </c>
      <c r="Z168" s="30">
        <v>11.0625849195029</v>
      </c>
      <c r="AA168" s="30">
        <v>-1.1393274192271099E-3</v>
      </c>
      <c r="AB168" s="30">
        <v>6.3099319457991599E-3</v>
      </c>
      <c r="AC168" s="30">
        <v>6.6091446709659094E-2</v>
      </c>
      <c r="AD168" s="30">
        <v>8.8488792908960896</v>
      </c>
      <c r="AE168" s="30">
        <v>3.9299995686997402</v>
      </c>
      <c r="AF168" s="30">
        <v>6.9658373418230397</v>
      </c>
    </row>
    <row r="169" spans="1:32" s="2" customFormat="1">
      <c r="A169" s="23" t="s">
        <v>23</v>
      </c>
      <c r="B169" s="8" t="s">
        <v>196</v>
      </c>
      <c r="C169" s="9">
        <v>0.50708227284447405</v>
      </c>
      <c r="D169" s="9">
        <v>2.8962561546064299E-2</v>
      </c>
      <c r="E169" s="9">
        <v>0.78072355425942497</v>
      </c>
      <c r="F169" s="9">
        <v>2.83942211098464E-2</v>
      </c>
      <c r="G169" s="9">
        <v>0.68596727876339803</v>
      </c>
      <c r="H169" s="8"/>
      <c r="I169" s="29">
        <v>2471.0244533085702</v>
      </c>
      <c r="J169" s="30">
        <v>0.66664025078134803</v>
      </c>
      <c r="K169" s="29">
        <v>767.13560744200299</v>
      </c>
      <c r="L169" s="30">
        <v>-4.0515142014005898E-3</v>
      </c>
      <c r="M169" s="30">
        <v>35.198423131898402</v>
      </c>
      <c r="N169" s="30">
        <v>96.983106432614093</v>
      </c>
      <c r="O169" s="30">
        <v>15.3192649181733</v>
      </c>
      <c r="P169" s="30">
        <v>85.308494468501095</v>
      </c>
      <c r="Q169" s="30">
        <v>38.004639238926202</v>
      </c>
      <c r="R169" s="30">
        <v>7.6719826479039801</v>
      </c>
      <c r="S169" s="30">
        <v>71.686544120508003</v>
      </c>
      <c r="T169" s="30">
        <v>13.7949979611638</v>
      </c>
      <c r="U169" s="30">
        <v>101.63977298566201</v>
      </c>
      <c r="V169" s="30">
        <v>24.169544796304301</v>
      </c>
      <c r="W169" s="30">
        <v>70.572446456209093</v>
      </c>
      <c r="X169" s="30">
        <v>8.8373120275326205</v>
      </c>
      <c r="Y169" s="30">
        <v>48.235463839110402</v>
      </c>
      <c r="Z169" s="30">
        <v>5.2710982459165603</v>
      </c>
      <c r="AA169" s="30">
        <v>-1.1593738165673101E-3</v>
      </c>
      <c r="AB169" s="30">
        <v>2.23710800817807E-3</v>
      </c>
      <c r="AC169" s="30">
        <v>3.5020290131718901</v>
      </c>
      <c r="AD169" s="30">
        <v>0.69161560977548298</v>
      </c>
      <c r="AE169" s="30">
        <v>0.60134801747147404</v>
      </c>
      <c r="AF169" s="30">
        <v>3.3550991698298001</v>
      </c>
    </row>
    <row r="170" spans="1:32" s="1" customFormat="1">
      <c r="A170" s="23"/>
      <c r="B170" s="23"/>
      <c r="C170" s="24"/>
      <c r="D170" s="24"/>
      <c r="E170" s="24"/>
      <c r="F170" s="24"/>
      <c r="G170" s="24"/>
      <c r="H170" s="23"/>
      <c r="I170" s="27"/>
      <c r="J170" s="28"/>
      <c r="K170" s="27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s="2" customFormat="1">
      <c r="A171" s="23" t="s">
        <v>26</v>
      </c>
      <c r="B171" s="8" t="s">
        <v>203</v>
      </c>
      <c r="C171" s="9">
        <v>1.0488329991415</v>
      </c>
      <c r="D171" s="9">
        <v>5.89832707403933E-2</v>
      </c>
      <c r="E171" s="9">
        <v>0.62721819513337695</v>
      </c>
      <c r="F171" s="9">
        <v>2.1688143630972101E-2</v>
      </c>
      <c r="G171" s="9">
        <v>0.66535584196203201</v>
      </c>
      <c r="H171" s="8"/>
      <c r="I171" s="29">
        <v>2229.2672094016698</v>
      </c>
      <c r="J171" s="30">
        <v>0.42010808337044098</v>
      </c>
      <c r="K171" s="29">
        <v>1089.35378351755</v>
      </c>
      <c r="L171" s="30">
        <v>-4.5849938202821997E-3</v>
      </c>
      <c r="M171" s="30">
        <v>78.028751251507202</v>
      </c>
      <c r="N171" s="30">
        <v>219.389748771304</v>
      </c>
      <c r="O171" s="30">
        <v>33.2936842293187</v>
      </c>
      <c r="P171" s="30">
        <v>176.31431765283301</v>
      </c>
      <c r="Q171" s="30">
        <v>66.099869901379094</v>
      </c>
      <c r="R171" s="30">
        <v>14.031458801185201</v>
      </c>
      <c r="S171" s="30">
        <v>100.17320180238301</v>
      </c>
      <c r="T171" s="30">
        <v>18.152142674495799</v>
      </c>
      <c r="U171" s="30">
        <v>132.11666406704501</v>
      </c>
      <c r="V171" s="30">
        <v>31.473859668411301</v>
      </c>
      <c r="W171" s="30">
        <v>95.680551755078795</v>
      </c>
      <c r="X171" s="30">
        <v>12.860346766647201</v>
      </c>
      <c r="Y171" s="30">
        <v>76.499612963464401</v>
      </c>
      <c r="Z171" s="30">
        <v>8.65537612240208</v>
      </c>
      <c r="AA171" s="30">
        <v>-9.3488635684334503E-4</v>
      </c>
      <c r="AB171" s="30">
        <v>1.6325662447512401E-4</v>
      </c>
      <c r="AC171" s="30">
        <v>0.11597721126598901</v>
      </c>
      <c r="AD171" s="30">
        <v>3.6611574102853801</v>
      </c>
      <c r="AE171" s="30">
        <v>1.47445145320799</v>
      </c>
      <c r="AF171" s="30">
        <v>4.1672255959695299</v>
      </c>
    </row>
    <row r="172" spans="1:32" s="2" customFormat="1">
      <c r="A172" s="23" t="s">
        <v>26</v>
      </c>
      <c r="B172" s="8" t="s">
        <v>221</v>
      </c>
      <c r="C172" s="9">
        <v>1.3054011509053201</v>
      </c>
      <c r="D172" s="9">
        <v>6.3897935129328398E-2</v>
      </c>
      <c r="E172" s="9">
        <v>0.56274761006501195</v>
      </c>
      <c r="F172" s="9">
        <v>1.8023629935153902E-2</v>
      </c>
      <c r="G172" s="9">
        <v>0.56413049921917302</v>
      </c>
      <c r="H172" s="8"/>
      <c r="I172" s="29">
        <v>2325.4299950008699</v>
      </c>
      <c r="J172" s="30">
        <v>0.67935350839356101</v>
      </c>
      <c r="K172" s="29">
        <v>1020.40656675324</v>
      </c>
      <c r="L172" s="30">
        <v>-4.5708765770272998E-3</v>
      </c>
      <c r="M172" s="30">
        <v>51.759856408536798</v>
      </c>
      <c r="N172" s="30">
        <v>149.36320053908801</v>
      </c>
      <c r="O172" s="30">
        <v>23.387123410123198</v>
      </c>
      <c r="P172" s="30">
        <v>128.08188156485801</v>
      </c>
      <c r="Q172" s="30">
        <v>52.492271878940301</v>
      </c>
      <c r="R172" s="30">
        <v>10.578421871879</v>
      </c>
      <c r="S172" s="30">
        <v>90.914768388710499</v>
      </c>
      <c r="T172" s="30">
        <v>17.2433714941495</v>
      </c>
      <c r="U172" s="30">
        <v>128.21194960118899</v>
      </c>
      <c r="V172" s="30">
        <v>31.204219994291002</v>
      </c>
      <c r="W172" s="30">
        <v>94.666476486049206</v>
      </c>
      <c r="X172" s="30">
        <v>12.271587334985201</v>
      </c>
      <c r="Y172" s="30">
        <v>69.0939336210525</v>
      </c>
      <c r="Z172" s="30">
        <v>7.7637292371178699</v>
      </c>
      <c r="AA172" s="30">
        <v>-9.3983878283018698E-4</v>
      </c>
      <c r="AB172" s="30">
        <v>2.8670196294411101E-3</v>
      </c>
      <c r="AC172" s="30">
        <v>2.37748418073358</v>
      </c>
      <c r="AD172" s="30">
        <v>5.90927328418217</v>
      </c>
      <c r="AE172" s="30">
        <v>2.1666033207941502</v>
      </c>
      <c r="AF172" s="30">
        <v>4.7113831477782302</v>
      </c>
    </row>
    <row r="173" spans="1:32" s="2" customFormat="1">
      <c r="A173" s="23" t="s">
        <v>26</v>
      </c>
      <c r="B173" s="8" t="s">
        <v>204</v>
      </c>
      <c r="C173" s="9">
        <v>1.53864358036197</v>
      </c>
      <c r="D173" s="9">
        <v>6.8639533531979297E-2</v>
      </c>
      <c r="E173" s="9">
        <v>0.40679145513952197</v>
      </c>
      <c r="F173" s="9">
        <v>1.02344869810855E-2</v>
      </c>
      <c r="G173" s="9">
        <v>0.51266816303861296</v>
      </c>
      <c r="H173" s="8"/>
      <c r="I173" s="29">
        <v>2420.8301912263801</v>
      </c>
      <c r="J173" s="30">
        <v>1.46990408910891E-2</v>
      </c>
      <c r="K173" s="29">
        <v>1524.9520005890899</v>
      </c>
      <c r="L173" s="30">
        <v>-4.6673587491885601E-3</v>
      </c>
      <c r="M173" s="30">
        <v>128.684452577987</v>
      </c>
      <c r="N173" s="30">
        <v>369.55187929492701</v>
      </c>
      <c r="O173" s="30">
        <v>57.5059283480293</v>
      </c>
      <c r="P173" s="30">
        <v>309.13328982622102</v>
      </c>
      <c r="Q173" s="30">
        <v>113.38140568178601</v>
      </c>
      <c r="R173" s="30">
        <v>17.369765923397299</v>
      </c>
      <c r="S173" s="30">
        <v>162.663287219697</v>
      </c>
      <c r="T173" s="30">
        <v>27.848222482578201</v>
      </c>
      <c r="U173" s="30">
        <v>197.404223422706</v>
      </c>
      <c r="V173" s="30">
        <v>46.4255168638689</v>
      </c>
      <c r="W173" s="30">
        <v>138.52738265836001</v>
      </c>
      <c r="X173" s="30">
        <v>18.717474547122102</v>
      </c>
      <c r="Y173" s="30">
        <v>110.35729955309399</v>
      </c>
      <c r="Z173" s="30">
        <v>12.3977395040068</v>
      </c>
      <c r="AA173" s="30">
        <v>-9.6068888214696302E-4</v>
      </c>
      <c r="AB173" s="30">
        <v>4.8395884330877902E-3</v>
      </c>
      <c r="AC173" s="30">
        <v>0.36290505662296502</v>
      </c>
      <c r="AD173" s="30">
        <v>10.4338441355581</v>
      </c>
      <c r="AE173" s="30">
        <v>4.8887195987332399</v>
      </c>
      <c r="AF173" s="30">
        <v>6.8819015880996703</v>
      </c>
    </row>
    <row r="174" spans="1:32" s="2" customFormat="1">
      <c r="A174" s="23" t="s">
        <v>26</v>
      </c>
      <c r="B174" s="8" t="s">
        <v>215</v>
      </c>
      <c r="C174" s="9">
        <v>1.36840242159072</v>
      </c>
      <c r="D174" s="9">
        <v>6.3799866318983003E-2</v>
      </c>
      <c r="E174" s="9">
        <v>0.47708456980911101</v>
      </c>
      <c r="F174" s="9">
        <v>1.42560371702292E-2</v>
      </c>
      <c r="G174" s="9">
        <v>0.41074247244525502</v>
      </c>
      <c r="H174" s="8"/>
      <c r="I174" s="29">
        <v>2432.4012982540398</v>
      </c>
      <c r="J174" s="30">
        <v>0.36671959828319201</v>
      </c>
      <c r="K174" s="29">
        <v>1309.49308493953</v>
      </c>
      <c r="L174" s="30">
        <v>-4.7539408582793997E-3</v>
      </c>
      <c r="M174" s="30">
        <v>67.090669506024994</v>
      </c>
      <c r="N174" s="30">
        <v>188.306976142276</v>
      </c>
      <c r="O174" s="30">
        <v>29.5437609274347</v>
      </c>
      <c r="P174" s="30">
        <v>160.805030820307</v>
      </c>
      <c r="Q174" s="30">
        <v>67.338851568328906</v>
      </c>
      <c r="R174" s="30">
        <v>12.363450261845299</v>
      </c>
      <c r="S174" s="30">
        <v>112.867888467895</v>
      </c>
      <c r="T174" s="30">
        <v>21.855576703130801</v>
      </c>
      <c r="U174" s="30">
        <v>165.968546044432</v>
      </c>
      <c r="V174" s="30">
        <v>40.281204356928001</v>
      </c>
      <c r="W174" s="30">
        <v>121.941941353563</v>
      </c>
      <c r="X174" s="30">
        <v>16.302490270782499</v>
      </c>
      <c r="Y174" s="30">
        <v>95.066962725231207</v>
      </c>
      <c r="Z174" s="30">
        <v>10.5080923278017</v>
      </c>
      <c r="AA174" s="30">
        <v>-9.7658211078085295E-4</v>
      </c>
      <c r="AB174" s="30">
        <v>-2.3783481066367101E-4</v>
      </c>
      <c r="AC174" s="30">
        <v>0.43724063632353299</v>
      </c>
      <c r="AD174" s="30">
        <v>8.7941666492467601</v>
      </c>
      <c r="AE174" s="30">
        <v>2.8333461572964702</v>
      </c>
      <c r="AF174" s="30">
        <v>5.1871353504836497</v>
      </c>
    </row>
    <row r="175" spans="1:32" s="2" customFormat="1">
      <c r="A175" s="23" t="s">
        <v>26</v>
      </c>
      <c r="B175" s="8" t="s">
        <v>205</v>
      </c>
      <c r="C175" s="9">
        <v>1.3255861788077501</v>
      </c>
      <c r="D175" s="9">
        <v>6.1677156904708097E-2</v>
      </c>
      <c r="E175" s="9">
        <v>0.47474096884849298</v>
      </c>
      <c r="F175" s="9">
        <v>1.46619960212974E-2</v>
      </c>
      <c r="G175" s="9">
        <v>0.55596573549663597</v>
      </c>
      <c r="H175" s="8"/>
      <c r="I175" s="29">
        <v>2342.4266438283098</v>
      </c>
      <c r="J175" s="30">
        <v>8.1179214775858405E-2</v>
      </c>
      <c r="K175" s="29">
        <v>1134.57209606283</v>
      </c>
      <c r="L175" s="30">
        <v>-4.5798748064843102E-3</v>
      </c>
      <c r="M175" s="30">
        <v>63.226477375933797</v>
      </c>
      <c r="N175" s="30">
        <v>173.82386408725301</v>
      </c>
      <c r="O175" s="30">
        <v>26.363080875638499</v>
      </c>
      <c r="P175" s="30">
        <v>141.66265699292401</v>
      </c>
      <c r="Q175" s="30">
        <v>57.736289794088798</v>
      </c>
      <c r="R175" s="30">
        <v>13.480336338449501</v>
      </c>
      <c r="S175" s="30">
        <v>99.336596445041806</v>
      </c>
      <c r="T175" s="30">
        <v>18.9208237728099</v>
      </c>
      <c r="U175" s="30">
        <v>143.89122720838</v>
      </c>
      <c r="V175" s="30">
        <v>34.658492774105</v>
      </c>
      <c r="W175" s="30">
        <v>106.00182622257201</v>
      </c>
      <c r="X175" s="30">
        <v>14.4079431089108</v>
      </c>
      <c r="Y175" s="30">
        <v>84.118317167893096</v>
      </c>
      <c r="Z175" s="30">
        <v>9.4292266392417403</v>
      </c>
      <c r="AA175" s="30">
        <v>0.36681719111810801</v>
      </c>
      <c r="AB175" s="30">
        <v>5.6382730184107504E-3</v>
      </c>
      <c r="AC175" s="30">
        <v>0.63707038746368805</v>
      </c>
      <c r="AD175" s="30">
        <v>6.9549855354522103</v>
      </c>
      <c r="AE175" s="30">
        <v>2.6782248170079401</v>
      </c>
      <c r="AF175" s="30">
        <v>4.7851816323308203</v>
      </c>
    </row>
    <row r="176" spans="1:32" s="2" customFormat="1">
      <c r="A176" s="23" t="s">
        <v>26</v>
      </c>
      <c r="B176" s="8" t="s">
        <v>222</v>
      </c>
      <c r="C176" s="9">
        <v>0.43128209376263199</v>
      </c>
      <c r="D176" s="9">
        <v>2.9361187232581899E-2</v>
      </c>
      <c r="E176" s="9">
        <v>0.86364160480882202</v>
      </c>
      <c r="F176" s="9">
        <v>3.5657126636612101E-2</v>
      </c>
      <c r="G176" s="9">
        <v>0.86425460691606504</v>
      </c>
      <c r="H176" s="8"/>
      <c r="I176" s="29">
        <v>2892.42874648817</v>
      </c>
      <c r="J176" s="30">
        <v>0.99885715291503496</v>
      </c>
      <c r="K176" s="29">
        <v>943.65695574888196</v>
      </c>
      <c r="L176" s="30">
        <v>-4.6086849120597099E-3</v>
      </c>
      <c r="M176" s="30">
        <v>30.235155802579801</v>
      </c>
      <c r="N176" s="30">
        <v>119.784092044761</v>
      </c>
      <c r="O176" s="30">
        <v>23.518060862782399</v>
      </c>
      <c r="P176" s="30">
        <v>149.34693483001101</v>
      </c>
      <c r="Q176" s="30">
        <v>66.262912365082698</v>
      </c>
      <c r="R176" s="30">
        <v>8.8475330980056395</v>
      </c>
      <c r="S176" s="30">
        <v>99.068799566596496</v>
      </c>
      <c r="T176" s="30">
        <v>16.852692801517101</v>
      </c>
      <c r="U176" s="30">
        <v>120.399898046356</v>
      </c>
      <c r="V176" s="30">
        <v>28.439534275350699</v>
      </c>
      <c r="W176" s="30">
        <v>86.754767879526099</v>
      </c>
      <c r="X176" s="30">
        <v>11.8485116298357</v>
      </c>
      <c r="Y176" s="30">
        <v>70.555661354602606</v>
      </c>
      <c r="Z176" s="30">
        <v>8.1217167028993593</v>
      </c>
      <c r="AA176" s="30">
        <v>-9.5996195766277098E-4</v>
      </c>
      <c r="AB176" s="30">
        <v>-5.1490656294678899E-4</v>
      </c>
      <c r="AC176" s="30">
        <v>0.55389343515283096</v>
      </c>
      <c r="AD176" s="30">
        <v>0.30479298977048402</v>
      </c>
      <c r="AE176" s="30">
        <v>0.443912891332503</v>
      </c>
      <c r="AF176" s="30">
        <v>3.1285158124248702</v>
      </c>
    </row>
    <row r="177" spans="1:32" s="2" customFormat="1">
      <c r="A177" s="23" t="s">
        <v>26</v>
      </c>
      <c r="B177" s="8" t="s">
        <v>206</v>
      </c>
      <c r="C177" s="9">
        <v>0.87351341213447598</v>
      </c>
      <c r="D177" s="9">
        <v>4.3806024404994599E-2</v>
      </c>
      <c r="E177" s="9">
        <v>0.65797527629467001</v>
      </c>
      <c r="F177" s="9">
        <v>2.2425517754205301E-2</v>
      </c>
      <c r="G177" s="9">
        <v>0.59360975915942005</v>
      </c>
      <c r="H177" s="8"/>
      <c r="I177" s="29">
        <v>2308.2401542144999</v>
      </c>
      <c r="J177" s="30">
        <v>0.35387948073794001</v>
      </c>
      <c r="K177" s="29">
        <v>1272.7375411334001</v>
      </c>
      <c r="L177" s="30">
        <v>-4.5438870178968402E-3</v>
      </c>
      <c r="M177" s="30">
        <v>62.911322565115498</v>
      </c>
      <c r="N177" s="30">
        <v>180.16227138859099</v>
      </c>
      <c r="O177" s="30">
        <v>28.073092917429602</v>
      </c>
      <c r="P177" s="30">
        <v>151.87496380481099</v>
      </c>
      <c r="Q177" s="30">
        <v>61.616519799754002</v>
      </c>
      <c r="R177" s="30">
        <v>12.705436845403201</v>
      </c>
      <c r="S177" s="30">
        <v>102.221357456533</v>
      </c>
      <c r="T177" s="30">
        <v>20.0972237622127</v>
      </c>
      <c r="U177" s="30">
        <v>153.1638095305</v>
      </c>
      <c r="V177" s="30">
        <v>37.6590545420909</v>
      </c>
      <c r="W177" s="30">
        <v>118.210878787802</v>
      </c>
      <c r="X177" s="30">
        <v>16.098510097461102</v>
      </c>
      <c r="Y177" s="30">
        <v>93.559205027268405</v>
      </c>
      <c r="Z177" s="30">
        <v>10.45397509993</v>
      </c>
      <c r="AA177" s="30">
        <v>-9.4572128983529699E-4</v>
      </c>
      <c r="AB177" s="30">
        <v>1.1695339879388301E-3</v>
      </c>
      <c r="AC177" s="30">
        <v>6.0822573633935298E-2</v>
      </c>
      <c r="AD177" s="30">
        <v>2.7712607089219801</v>
      </c>
      <c r="AE177" s="30">
        <v>1.2698963961324701</v>
      </c>
      <c r="AF177" s="30">
        <v>3.7963724205648801</v>
      </c>
    </row>
    <row r="178" spans="1:32" s="2" customFormat="1">
      <c r="A178" s="23" t="s">
        <v>26</v>
      </c>
      <c r="B178" s="8" t="s">
        <v>207</v>
      </c>
      <c r="C178" s="9">
        <v>0.21284888079946701</v>
      </c>
      <c r="D178" s="9">
        <v>1.6095453406916298E-2</v>
      </c>
      <c r="E178" s="9">
        <v>0.99036281465992704</v>
      </c>
      <c r="F178" s="9">
        <v>3.9971046331665899E-2</v>
      </c>
      <c r="G178" s="9">
        <v>0.84949105919076695</v>
      </c>
      <c r="H178" s="8"/>
      <c r="I178" s="29">
        <v>2151.23260883187</v>
      </c>
      <c r="J178" s="30">
        <v>0.394220741918683</v>
      </c>
      <c r="K178" s="29">
        <v>805.99207672014302</v>
      </c>
      <c r="L178" s="30">
        <v>-4.6380234109775504E-3</v>
      </c>
      <c r="M178" s="30">
        <v>47.523070224230899</v>
      </c>
      <c r="N178" s="30">
        <v>127.982908673887</v>
      </c>
      <c r="O178" s="30">
        <v>19.6217057510035</v>
      </c>
      <c r="P178" s="30">
        <v>107.536125866592</v>
      </c>
      <c r="Q178" s="30">
        <v>45.251505279978801</v>
      </c>
      <c r="R178" s="30">
        <v>10.3939426856704</v>
      </c>
      <c r="S178" s="30">
        <v>77.296674775383096</v>
      </c>
      <c r="T178" s="30">
        <v>14.610892008129801</v>
      </c>
      <c r="U178" s="30">
        <v>105.779874246283</v>
      </c>
      <c r="V178" s="30">
        <v>24.822908936299601</v>
      </c>
      <c r="W178" s="30">
        <v>72.773694287369693</v>
      </c>
      <c r="X178" s="30">
        <v>9.3163845338272608</v>
      </c>
      <c r="Y178" s="30">
        <v>51.719032364358704</v>
      </c>
      <c r="Z178" s="30">
        <v>5.7555529197976103</v>
      </c>
      <c r="AA178" s="30">
        <v>-9.6671901655210604E-4</v>
      </c>
      <c r="AB178" s="30">
        <v>-5.1573375107864805E-4</v>
      </c>
      <c r="AC178" s="30">
        <v>0.97243247844066305</v>
      </c>
      <c r="AD178" s="30">
        <v>0.466642747854214</v>
      </c>
      <c r="AE178" s="30">
        <v>0.18651668095339799</v>
      </c>
      <c r="AF178" s="30">
        <v>2.9420747695422</v>
      </c>
    </row>
    <row r="179" spans="1:32" s="2" customFormat="1">
      <c r="A179" s="23" t="s">
        <v>26</v>
      </c>
      <c r="B179" s="8" t="s">
        <v>208</v>
      </c>
      <c r="C179" s="9">
        <v>0.77009254600272603</v>
      </c>
      <c r="D179" s="9">
        <v>4.6168137629420597E-2</v>
      </c>
      <c r="E179" s="9">
        <v>0.69344822210885804</v>
      </c>
      <c r="F179" s="9">
        <v>2.73922420031011E-2</v>
      </c>
      <c r="G179" s="9">
        <v>0.89954808337323</v>
      </c>
      <c r="H179" s="8"/>
      <c r="I179" s="29">
        <v>2207.3585728911398</v>
      </c>
      <c r="J179" s="30">
        <v>4.1190069309291699E-2</v>
      </c>
      <c r="K179" s="29">
        <v>1071.7337271204201</v>
      </c>
      <c r="L179" s="30">
        <v>-1.9618621144152902E-3</v>
      </c>
      <c r="M179" s="30">
        <v>51.427883335296897</v>
      </c>
      <c r="N179" s="30">
        <v>142.41018617359401</v>
      </c>
      <c r="O179" s="30">
        <v>21.862682680220999</v>
      </c>
      <c r="P179" s="30">
        <v>114.84861266420501</v>
      </c>
      <c r="Q179" s="30">
        <v>48.225408600456603</v>
      </c>
      <c r="R179" s="30">
        <v>10.1855096863423</v>
      </c>
      <c r="S179" s="30">
        <v>85.037907434200406</v>
      </c>
      <c r="T179" s="30">
        <v>16.909152295637</v>
      </c>
      <c r="U179" s="30">
        <v>132.16024175940501</v>
      </c>
      <c r="V179" s="30">
        <v>32.301878223868698</v>
      </c>
      <c r="W179" s="30">
        <v>101.795335194823</v>
      </c>
      <c r="X179" s="30">
        <v>13.917379979759399</v>
      </c>
      <c r="Y179" s="30">
        <v>81.372945699058107</v>
      </c>
      <c r="Z179" s="30">
        <v>8.9800973258067796</v>
      </c>
      <c r="AA179" s="30">
        <v>-9.6179565860291503E-4</v>
      </c>
      <c r="AB179" s="30">
        <v>2.1159557708484099E-3</v>
      </c>
      <c r="AC179" s="30">
        <v>0.53817225974763006</v>
      </c>
      <c r="AD179" s="30">
        <v>3.1930243243319198</v>
      </c>
      <c r="AE179" s="30">
        <v>1.16007103329571</v>
      </c>
      <c r="AF179" s="30">
        <v>3.9448925632098701</v>
      </c>
    </row>
    <row r="180" spans="1:32" s="2" customFormat="1">
      <c r="A180" s="23" t="s">
        <v>26</v>
      </c>
      <c r="B180" s="8" t="s">
        <v>209</v>
      </c>
      <c r="C180" s="9">
        <v>1.32119118084458</v>
      </c>
      <c r="D180" s="9">
        <v>5.8791622249505703E-2</v>
      </c>
      <c r="E180" s="9">
        <v>0.44190633111738897</v>
      </c>
      <c r="F180" s="9">
        <v>1.3964736835539801E-2</v>
      </c>
      <c r="G180" s="9">
        <v>0.41313568891191799</v>
      </c>
      <c r="H180" s="8"/>
      <c r="I180" s="29">
        <v>2417.46038182948</v>
      </c>
      <c r="J180" s="30">
        <v>1.43127523657793</v>
      </c>
      <c r="K180" s="29">
        <v>1384.2274095145499</v>
      </c>
      <c r="L180" s="30">
        <v>-4.6199406555814402E-3</v>
      </c>
      <c r="M180" s="30">
        <v>58.466496361749599</v>
      </c>
      <c r="N180" s="30">
        <v>168.965518380264</v>
      </c>
      <c r="O180" s="30">
        <v>27.057864932591301</v>
      </c>
      <c r="P180" s="30">
        <v>154.47520824483399</v>
      </c>
      <c r="Q180" s="30">
        <v>65.755323348566293</v>
      </c>
      <c r="R180" s="30">
        <v>13.737427083828999</v>
      </c>
      <c r="S180" s="30">
        <v>114.76795159178</v>
      </c>
      <c r="T180" s="30">
        <v>21.971063908020898</v>
      </c>
      <c r="U180" s="30">
        <v>168.56461884489201</v>
      </c>
      <c r="V180" s="30">
        <v>42.058259046764697</v>
      </c>
      <c r="W180" s="30">
        <v>129.01867133389001</v>
      </c>
      <c r="X180" s="30">
        <v>17.272523770686099</v>
      </c>
      <c r="Y180" s="30">
        <v>100.945654716741</v>
      </c>
      <c r="Z180" s="30">
        <v>11.1836646573389</v>
      </c>
      <c r="AA180" s="30">
        <v>-9.8015477407929394E-4</v>
      </c>
      <c r="AB180" s="30">
        <v>4.8756333735379201E-3</v>
      </c>
      <c r="AC180" s="30">
        <v>0.70716897022788905</v>
      </c>
      <c r="AD180" s="30">
        <v>9.9151720376347097</v>
      </c>
      <c r="AE180" s="30">
        <v>3.94306211211673</v>
      </c>
      <c r="AF180" s="30">
        <v>6.1601643413436102</v>
      </c>
    </row>
    <row r="181" spans="1:32" s="2" customFormat="1">
      <c r="A181" s="23" t="s">
        <v>26</v>
      </c>
      <c r="B181" s="8" t="s">
        <v>217</v>
      </c>
      <c r="C181" s="9">
        <v>1.18682103820582</v>
      </c>
      <c r="D181" s="9">
        <v>5.6719955558512503E-2</v>
      </c>
      <c r="E181" s="9">
        <v>0.44695120494229901</v>
      </c>
      <c r="F181" s="9">
        <v>1.48096377875537E-2</v>
      </c>
      <c r="G181" s="9">
        <v>0.49765370944095799</v>
      </c>
      <c r="H181" s="8"/>
      <c r="I181" s="29">
        <v>2487.1036407576498</v>
      </c>
      <c r="J181" s="30">
        <v>8.3661205712578499E-2</v>
      </c>
      <c r="K181" s="29">
        <v>1554.68640195644</v>
      </c>
      <c r="L181" s="30">
        <v>-4.6693401553036702E-3</v>
      </c>
      <c r="M181" s="30">
        <v>81.585473951206097</v>
      </c>
      <c r="N181" s="30">
        <v>230.614711317337</v>
      </c>
      <c r="O181" s="30">
        <v>35.9127386656982</v>
      </c>
      <c r="P181" s="30">
        <v>192.42864442333899</v>
      </c>
      <c r="Q181" s="30">
        <v>78.826161689375795</v>
      </c>
      <c r="R181" s="30">
        <v>17.180705527179299</v>
      </c>
      <c r="S181" s="30">
        <v>127.825627343176</v>
      </c>
      <c r="T181" s="30">
        <v>24.6117394000748</v>
      </c>
      <c r="U181" s="30">
        <v>190.63754538828201</v>
      </c>
      <c r="V181" s="30">
        <v>46.476036833655797</v>
      </c>
      <c r="W181" s="30">
        <v>144.48836084940001</v>
      </c>
      <c r="X181" s="30">
        <v>19.983836309955901</v>
      </c>
      <c r="Y181" s="30">
        <v>120.009908808525</v>
      </c>
      <c r="Z181" s="30">
        <v>13.704669597315201</v>
      </c>
      <c r="AA181" s="30">
        <v>4.9652921061160198E-2</v>
      </c>
      <c r="AB181" s="30">
        <v>6.1023585565427203E-3</v>
      </c>
      <c r="AC181" s="30">
        <v>0.12805410097060901</v>
      </c>
      <c r="AD181" s="30">
        <v>10.3155616733531</v>
      </c>
      <c r="AE181" s="30">
        <v>3.49639165624549</v>
      </c>
      <c r="AF181" s="30">
        <v>6.2013606924990698</v>
      </c>
    </row>
    <row r="182" spans="1:32" s="2" customFormat="1">
      <c r="A182" s="23" t="s">
        <v>26</v>
      </c>
      <c r="B182" s="8" t="s">
        <v>210</v>
      </c>
      <c r="C182" s="9">
        <v>1.4003896298337499</v>
      </c>
      <c r="D182" s="9">
        <v>5.8648681278879601E-2</v>
      </c>
      <c r="E182" s="9">
        <v>0.39751972555463599</v>
      </c>
      <c r="F182" s="9">
        <v>1.16497338296141E-2</v>
      </c>
      <c r="G182" s="9">
        <v>0.45266118168229103</v>
      </c>
      <c r="H182" s="8"/>
      <c r="I182" s="29">
        <v>2418.53622375847</v>
      </c>
      <c r="J182" s="30">
        <v>0.48648701909856301</v>
      </c>
      <c r="K182" s="29">
        <v>1499.0100929181699</v>
      </c>
      <c r="L182" s="30">
        <v>-4.5444934170888601E-3</v>
      </c>
      <c r="M182" s="30">
        <v>105.298243622757</v>
      </c>
      <c r="N182" s="30">
        <v>327.150712540933</v>
      </c>
      <c r="O182" s="30">
        <v>53.391544478998902</v>
      </c>
      <c r="P182" s="30">
        <v>305.58863927620803</v>
      </c>
      <c r="Q182" s="30">
        <v>113.62899445526899</v>
      </c>
      <c r="R182" s="30">
        <v>18.735679777769601</v>
      </c>
      <c r="S182" s="30">
        <v>159.74041984773001</v>
      </c>
      <c r="T182" s="30">
        <v>27.364023334702001</v>
      </c>
      <c r="U182" s="30">
        <v>191.17374417517701</v>
      </c>
      <c r="V182" s="30">
        <v>44.544625253900897</v>
      </c>
      <c r="W182" s="30">
        <v>135.29387256140501</v>
      </c>
      <c r="X182" s="30">
        <v>18.302398610223602</v>
      </c>
      <c r="Y182" s="30">
        <v>109.28574879775999</v>
      </c>
      <c r="Z182" s="30">
        <v>12.3573541436285</v>
      </c>
      <c r="AA182" s="30">
        <v>6.3566529994444398E-2</v>
      </c>
      <c r="AB182" s="30">
        <v>4.5073576742977903E-4</v>
      </c>
      <c r="AC182" s="30">
        <v>0.12895291596147401</v>
      </c>
      <c r="AD182" s="30">
        <v>12.295683742951301</v>
      </c>
      <c r="AE182" s="30">
        <v>4.4399747896307398</v>
      </c>
      <c r="AF182" s="30">
        <v>6.5652760017664296</v>
      </c>
    </row>
    <row r="183" spans="1:32" s="2" customFormat="1">
      <c r="A183" s="23" t="s">
        <v>26</v>
      </c>
      <c r="B183" s="8" t="s">
        <v>211</v>
      </c>
      <c r="C183" s="9">
        <v>1.23572768726278</v>
      </c>
      <c r="D183" s="9">
        <v>5.5601887143880001E-2</v>
      </c>
      <c r="E183" s="9">
        <v>0.49245367440641602</v>
      </c>
      <c r="F183" s="9">
        <v>1.59709018044479E-2</v>
      </c>
      <c r="G183" s="9">
        <v>0.43004960427842298</v>
      </c>
      <c r="H183" s="8"/>
      <c r="I183" s="29">
        <v>2272.8530004506702</v>
      </c>
      <c r="J183" s="30">
        <v>8.0626190726386507E-2</v>
      </c>
      <c r="K183" s="29">
        <v>1473.41143469295</v>
      </c>
      <c r="L183" s="30">
        <v>-4.5514734449570802E-3</v>
      </c>
      <c r="M183" s="30">
        <v>137.61598455576001</v>
      </c>
      <c r="N183" s="30">
        <v>414.723822072377</v>
      </c>
      <c r="O183" s="30">
        <v>66.411850342987293</v>
      </c>
      <c r="P183" s="30">
        <v>359.99131688449597</v>
      </c>
      <c r="Q183" s="30">
        <v>136.07064556142399</v>
      </c>
      <c r="R183" s="30">
        <v>19.403775591511199</v>
      </c>
      <c r="S183" s="30">
        <v>190.438963346989</v>
      </c>
      <c r="T183" s="30">
        <v>31.476562496960401</v>
      </c>
      <c r="U183" s="30">
        <v>212.71373898559099</v>
      </c>
      <c r="V183" s="30">
        <v>47.066731135835902</v>
      </c>
      <c r="W183" s="30">
        <v>136.54305805340101</v>
      </c>
      <c r="X183" s="30">
        <v>17.625293397030902</v>
      </c>
      <c r="Y183" s="30">
        <v>103.358690825363</v>
      </c>
      <c r="Z183" s="30">
        <v>11.568452803123501</v>
      </c>
      <c r="AA183" s="30">
        <v>-9.7124469334185497E-4</v>
      </c>
      <c r="AB183" s="30">
        <v>4.4840787316039804E-3</v>
      </c>
      <c r="AC183" s="30">
        <v>9.5051137387517304E-2</v>
      </c>
      <c r="AD183" s="30">
        <v>2.37835675423575</v>
      </c>
      <c r="AE183" s="30">
        <v>2.74211612069394</v>
      </c>
      <c r="AF183" s="30">
        <v>4.5104481854930398</v>
      </c>
    </row>
    <row r="184" spans="1:32" s="2" customFormat="1">
      <c r="A184" s="23" t="s">
        <v>26</v>
      </c>
      <c r="B184" s="8" t="s">
        <v>216</v>
      </c>
      <c r="C184" s="9">
        <v>1.2621848597474099</v>
      </c>
      <c r="D184" s="9">
        <v>5.4206791479159598E-2</v>
      </c>
      <c r="E184" s="9">
        <v>0.41726832339432901</v>
      </c>
      <c r="F184" s="9">
        <v>9.3866139476827693E-3</v>
      </c>
      <c r="G184" s="9">
        <v>0.62782216310202099</v>
      </c>
      <c r="H184" s="8"/>
      <c r="I184" s="29">
        <v>2344.4333640401001</v>
      </c>
      <c r="J184" s="30">
        <v>0.415005133415496</v>
      </c>
      <c r="K184" s="29">
        <v>1708.98613356083</v>
      </c>
      <c r="L184" s="30">
        <v>-4.5057160967179001E-3</v>
      </c>
      <c r="M184" s="30">
        <v>170.862325225456</v>
      </c>
      <c r="N184" s="30">
        <v>484.86417888453798</v>
      </c>
      <c r="O184" s="30">
        <v>73.634338239470296</v>
      </c>
      <c r="P184" s="30">
        <v>384.61746498731401</v>
      </c>
      <c r="Q184" s="30">
        <v>137.33547873636101</v>
      </c>
      <c r="R184" s="30">
        <v>22.504636724639301</v>
      </c>
      <c r="S184" s="30">
        <v>186.35960704331299</v>
      </c>
      <c r="T184" s="30">
        <v>31.994657232656699</v>
      </c>
      <c r="U184" s="30">
        <v>221.93550530208401</v>
      </c>
      <c r="V184" s="30">
        <v>52.080546198087397</v>
      </c>
      <c r="W184" s="30">
        <v>157.194805677727</v>
      </c>
      <c r="X184" s="30">
        <v>21.3832003251316</v>
      </c>
      <c r="Y184" s="30">
        <v>127.271542350209</v>
      </c>
      <c r="Z184" s="30">
        <v>14.190206747461099</v>
      </c>
      <c r="AA184" s="30">
        <v>-9.6864594258788802E-4</v>
      </c>
      <c r="AB184" s="30">
        <v>6.5758600428349303E-3</v>
      </c>
      <c r="AC184" s="30">
        <v>3.4279904381707901E-2</v>
      </c>
      <c r="AD184" s="30">
        <v>10.109696127540801</v>
      </c>
      <c r="AE184" s="30">
        <v>4.9658424536698398</v>
      </c>
      <c r="AF184" s="30">
        <v>7.7545684585079497</v>
      </c>
    </row>
    <row r="185" spans="1:32" s="2" customFormat="1">
      <c r="A185" s="23" t="s">
        <v>26</v>
      </c>
      <c r="B185" s="8" t="s">
        <v>212</v>
      </c>
      <c r="C185" s="9">
        <v>0.64615469844858997</v>
      </c>
      <c r="D185" s="9">
        <v>3.6227329368378698E-2</v>
      </c>
      <c r="E185" s="9">
        <v>0.77291934437838805</v>
      </c>
      <c r="F185" s="9">
        <v>2.7410685628716701E-2</v>
      </c>
      <c r="G185" s="9">
        <v>0.63141072241247898</v>
      </c>
      <c r="H185" s="8"/>
      <c r="I185" s="29">
        <v>2222.8597480830199</v>
      </c>
      <c r="J185" s="30">
        <v>0.29797810440109501</v>
      </c>
      <c r="K185" s="29">
        <v>996.08956854534904</v>
      </c>
      <c r="L185" s="30">
        <v>1.0363550380975599E-2</v>
      </c>
      <c r="M185" s="30">
        <v>47.675347310342502</v>
      </c>
      <c r="N185" s="30">
        <v>138.85599725459301</v>
      </c>
      <c r="O185" s="30">
        <v>22.4284817555857</v>
      </c>
      <c r="P185" s="30">
        <v>125.031331313698</v>
      </c>
      <c r="Q185" s="30">
        <v>53.062589194605899</v>
      </c>
      <c r="R185" s="30">
        <v>8.0327497857331895</v>
      </c>
      <c r="S185" s="30">
        <v>91.984489229939896</v>
      </c>
      <c r="T185" s="30">
        <v>17.189990056084401</v>
      </c>
      <c r="U185" s="30">
        <v>129.906768046211</v>
      </c>
      <c r="V185" s="30">
        <v>33.220427004057903</v>
      </c>
      <c r="W185" s="30">
        <v>103.41533630313999</v>
      </c>
      <c r="X185" s="30">
        <v>13.2263456513477</v>
      </c>
      <c r="Y185" s="30">
        <v>73.008465413463895</v>
      </c>
      <c r="Z185" s="30">
        <v>7.9863389500170197</v>
      </c>
      <c r="AA185" s="30">
        <v>-9.6617290678552704E-4</v>
      </c>
      <c r="AB185" s="30">
        <v>8.2673642929653496E-4</v>
      </c>
      <c r="AC185" s="30">
        <v>4.8729366209901697</v>
      </c>
      <c r="AD185" s="30">
        <v>2.2097932292007298</v>
      </c>
      <c r="AE185" s="30">
        <v>0.855756820031355</v>
      </c>
      <c r="AF185" s="30">
        <v>3.9218483563354098</v>
      </c>
    </row>
    <row r="186" spans="1:32" s="2" customFormat="1">
      <c r="A186" s="23" t="s">
        <v>26</v>
      </c>
      <c r="B186" s="8" t="s">
        <v>213</v>
      </c>
      <c r="C186" s="9">
        <v>1.33590382981432</v>
      </c>
      <c r="D186" s="9">
        <v>5.7647784922680703E-2</v>
      </c>
      <c r="E186" s="9">
        <v>0.40828272876098598</v>
      </c>
      <c r="F186" s="9">
        <v>1.0399456631754201E-2</v>
      </c>
      <c r="G186" s="9">
        <v>0.39038188443628602</v>
      </c>
      <c r="H186" s="8"/>
      <c r="I186" s="29">
        <v>2692.9103754951502</v>
      </c>
      <c r="J186" s="30">
        <v>2.1196084800365602</v>
      </c>
      <c r="K186" s="29">
        <v>1682.6189919780099</v>
      </c>
      <c r="L186" s="30">
        <v>-1.17065085351083E-3</v>
      </c>
      <c r="M186" s="30">
        <v>164.37912863679</v>
      </c>
      <c r="N186" s="30">
        <v>486.11707169997499</v>
      </c>
      <c r="O186" s="30">
        <v>74.5742377096892</v>
      </c>
      <c r="P186" s="30">
        <v>393.876241654414</v>
      </c>
      <c r="Q186" s="30">
        <v>131.746958286611</v>
      </c>
      <c r="R186" s="30">
        <v>24.099254856428601</v>
      </c>
      <c r="S186" s="30">
        <v>172.18406154239801</v>
      </c>
      <c r="T186" s="30">
        <v>29.708661246471198</v>
      </c>
      <c r="U186" s="30">
        <v>212.45485108137601</v>
      </c>
      <c r="V186" s="30">
        <v>49.311423646754299</v>
      </c>
      <c r="W186" s="30">
        <v>151.52801314551101</v>
      </c>
      <c r="X186" s="30">
        <v>21.190138459282799</v>
      </c>
      <c r="Y186" s="30">
        <v>127.41333454730299</v>
      </c>
      <c r="Z186" s="30">
        <v>14.7546519460504</v>
      </c>
      <c r="AA186" s="30">
        <v>0.12548391629365499</v>
      </c>
      <c r="AB186" s="30">
        <v>5.98767082849624E-3</v>
      </c>
      <c r="AC186" s="30">
        <v>0.58136410936043903</v>
      </c>
      <c r="AD186" s="30">
        <v>16.489653788698401</v>
      </c>
      <c r="AE186" s="30">
        <v>5.4373237595243999</v>
      </c>
      <c r="AF186" s="30">
        <v>8.7863797843378197</v>
      </c>
    </row>
    <row r="187" spans="1:32" s="2" customFormat="1">
      <c r="A187" s="23" t="s">
        <v>26</v>
      </c>
      <c r="B187" s="8" t="s">
        <v>218</v>
      </c>
      <c r="C187" s="9">
        <v>1.3776459734381099</v>
      </c>
      <c r="D187" s="9">
        <v>6.2549741903343101E-2</v>
      </c>
      <c r="E187" s="9">
        <v>0.40605031038471001</v>
      </c>
      <c r="F187" s="9">
        <v>1.1223700140293001E-2</v>
      </c>
      <c r="G187" s="9">
        <v>0.50419557100515899</v>
      </c>
      <c r="H187" s="8"/>
      <c r="I187" s="29">
        <v>2763.5840287200799</v>
      </c>
      <c r="J187" s="30">
        <v>1.48479014383351</v>
      </c>
      <c r="K187" s="29">
        <v>1471.64201975171</v>
      </c>
      <c r="L187" s="30">
        <v>-3.5101844481758098E-3</v>
      </c>
      <c r="M187" s="30">
        <v>71.5471010046559</v>
      </c>
      <c r="N187" s="30">
        <v>210.33660158098601</v>
      </c>
      <c r="O187" s="30">
        <v>33.352484267191898</v>
      </c>
      <c r="P187" s="30">
        <v>187.44053956828199</v>
      </c>
      <c r="Q187" s="30">
        <v>76.466315352815002</v>
      </c>
      <c r="R187" s="30">
        <v>14.4814008526411</v>
      </c>
      <c r="S187" s="30">
        <v>128.01236608825801</v>
      </c>
      <c r="T187" s="30">
        <v>24.2193372792083</v>
      </c>
      <c r="U187" s="30">
        <v>183.919874503719</v>
      </c>
      <c r="V187" s="30">
        <v>45.064374305992203</v>
      </c>
      <c r="W187" s="30">
        <v>140.07116597876001</v>
      </c>
      <c r="X187" s="30">
        <v>18.765172577764201</v>
      </c>
      <c r="Y187" s="30">
        <v>110.220959256779</v>
      </c>
      <c r="Z187" s="30">
        <v>12.187564495625899</v>
      </c>
      <c r="AA187" s="30">
        <v>-9.7394663332772496E-4</v>
      </c>
      <c r="AB187" s="30">
        <v>-4.9808708945145799E-4</v>
      </c>
      <c r="AC187" s="30">
        <v>1.09238863851982</v>
      </c>
      <c r="AD187" s="30">
        <v>13.3305671986048</v>
      </c>
      <c r="AE187" s="30">
        <v>4.3797712643925104</v>
      </c>
      <c r="AF187" s="30">
        <v>6.6382783542796</v>
      </c>
    </row>
    <row r="188" spans="1:32" s="2" customFormat="1">
      <c r="A188" s="23" t="s">
        <v>26</v>
      </c>
      <c r="B188" s="8" t="s">
        <v>214</v>
      </c>
      <c r="C188" s="9">
        <v>0.68332915126063598</v>
      </c>
      <c r="D188" s="9">
        <v>4.3227439201840703E-2</v>
      </c>
      <c r="E188" s="9">
        <v>0.74173796011038096</v>
      </c>
      <c r="F188" s="9">
        <v>2.70922093130135E-2</v>
      </c>
      <c r="G188" s="9">
        <v>0.86488978381743697</v>
      </c>
      <c r="H188" s="8"/>
      <c r="I188" s="29">
        <v>2098.8157574101501</v>
      </c>
      <c r="J188" s="30">
        <v>0.36735227577903801</v>
      </c>
      <c r="K188" s="29">
        <v>958.45815955639796</v>
      </c>
      <c r="L188" s="30">
        <v>4.13107076083526E-3</v>
      </c>
      <c r="M188" s="30">
        <v>36.173292417081797</v>
      </c>
      <c r="N188" s="30">
        <v>105.40969416730501</v>
      </c>
      <c r="O188" s="30">
        <v>17.009724348129399</v>
      </c>
      <c r="P188" s="30">
        <v>95.898991081187404</v>
      </c>
      <c r="Q188" s="30">
        <v>41.0072198206921</v>
      </c>
      <c r="R188" s="30">
        <v>9.0678710619176304</v>
      </c>
      <c r="S188" s="30">
        <v>74.680790459835407</v>
      </c>
      <c r="T188" s="30">
        <v>14.748483243875601</v>
      </c>
      <c r="U188" s="30">
        <v>117.97271540024001</v>
      </c>
      <c r="V188" s="30">
        <v>29.458060980674801</v>
      </c>
      <c r="W188" s="30">
        <v>90.085656653266398</v>
      </c>
      <c r="X188" s="30">
        <v>11.744905154777999</v>
      </c>
      <c r="Y188" s="30">
        <v>67.356412037816995</v>
      </c>
      <c r="Z188" s="30">
        <v>7.4211983133292403</v>
      </c>
      <c r="AA188" s="30">
        <v>0.210998959020157</v>
      </c>
      <c r="AB188" s="30">
        <v>1.3728367500823199E-3</v>
      </c>
      <c r="AC188" s="30">
        <v>3.1695374694604799</v>
      </c>
      <c r="AD188" s="30">
        <v>2.3829316617467899</v>
      </c>
      <c r="AE188" s="30">
        <v>1.0278481395936001</v>
      </c>
      <c r="AF188" s="30">
        <v>4.0385302172892903</v>
      </c>
    </row>
    <row r="189" spans="1:32" s="2" customFormat="1">
      <c r="A189" s="23" t="s">
        <v>26</v>
      </c>
      <c r="B189" s="8" t="s">
        <v>219</v>
      </c>
      <c r="C189" s="9">
        <v>1.2728313920332199</v>
      </c>
      <c r="D189" s="9">
        <v>5.4773996064842803E-2</v>
      </c>
      <c r="E189" s="9">
        <v>0.39357659437986398</v>
      </c>
      <c r="F189" s="9">
        <v>9.3525140277707607E-3</v>
      </c>
      <c r="G189" s="9">
        <v>0.52663537680482597</v>
      </c>
      <c r="H189" s="8"/>
      <c r="I189" s="29">
        <v>2310.4280426269602</v>
      </c>
      <c r="J189" s="30">
        <v>0.45663184403905699</v>
      </c>
      <c r="K189" s="29">
        <v>1541.7872988640399</v>
      </c>
      <c r="L189" s="30">
        <v>-4.5610674924990002E-3</v>
      </c>
      <c r="M189" s="30">
        <v>237.06245617514699</v>
      </c>
      <c r="N189" s="30">
        <v>732.75370628804603</v>
      </c>
      <c r="O189" s="30">
        <v>111.134327324026</v>
      </c>
      <c r="P189" s="30">
        <v>575.11936432655204</v>
      </c>
      <c r="Q189" s="30">
        <v>194.89530897738601</v>
      </c>
      <c r="R189" s="30">
        <v>22.621009677729901</v>
      </c>
      <c r="S189" s="30">
        <v>225.22641310158599</v>
      </c>
      <c r="T189" s="30">
        <v>33.971858176942803</v>
      </c>
      <c r="U189" s="30">
        <v>213.250996103825</v>
      </c>
      <c r="V189" s="30">
        <v>45.515764164488701</v>
      </c>
      <c r="W189" s="30">
        <v>137.580888565984</v>
      </c>
      <c r="X189" s="30">
        <v>19.8000311458845</v>
      </c>
      <c r="Y189" s="30">
        <v>121.45978314026399</v>
      </c>
      <c r="Z189" s="30">
        <v>14.1064153352725</v>
      </c>
      <c r="AA189" s="30">
        <v>-9.9607551462122293E-4</v>
      </c>
      <c r="AB189" s="30">
        <v>5.89256868728951E-3</v>
      </c>
      <c r="AC189" s="30">
        <v>3.4530574195788602E-2</v>
      </c>
      <c r="AD189" s="30">
        <v>11.903034074796199</v>
      </c>
      <c r="AE189" s="30">
        <v>5.2506427478495201</v>
      </c>
      <c r="AF189" s="30">
        <v>7.85101684975829</v>
      </c>
    </row>
    <row r="190" spans="1:32" s="2" customFormat="1">
      <c r="A190" s="23" t="s">
        <v>26</v>
      </c>
      <c r="B190" s="8" t="s">
        <v>220</v>
      </c>
      <c r="C190" s="9">
        <v>1.09748341503326</v>
      </c>
      <c r="D190" s="9">
        <v>4.9416034600028198E-2</v>
      </c>
      <c r="E190" s="9">
        <v>0.45652597907592501</v>
      </c>
      <c r="F190" s="9">
        <v>1.27683529198641E-2</v>
      </c>
      <c r="G190" s="9">
        <v>0.61596575501582895</v>
      </c>
      <c r="H190" s="8"/>
      <c r="I190" s="29">
        <v>2346.0447134729402</v>
      </c>
      <c r="J190" s="30">
        <v>0.23125845651759999</v>
      </c>
      <c r="K190" s="29">
        <v>1672.8486820599801</v>
      </c>
      <c r="L190" s="30">
        <v>-4.6007302566039897E-3</v>
      </c>
      <c r="M190" s="30">
        <v>130.832308495066</v>
      </c>
      <c r="N190" s="30">
        <v>375.05758930225198</v>
      </c>
      <c r="O190" s="30">
        <v>57.550826105977897</v>
      </c>
      <c r="P190" s="30">
        <v>308.80294625761297</v>
      </c>
      <c r="Q190" s="30">
        <v>117.281413746403</v>
      </c>
      <c r="R190" s="30">
        <v>23.582314448277401</v>
      </c>
      <c r="S190" s="30">
        <v>176.706654758909</v>
      </c>
      <c r="T190" s="30">
        <v>30.7319485174812</v>
      </c>
      <c r="U190" s="30">
        <v>220.46952794644301</v>
      </c>
      <c r="V190" s="30">
        <v>51.027688329301199</v>
      </c>
      <c r="W190" s="30">
        <v>155.47830709108899</v>
      </c>
      <c r="X190" s="30">
        <v>21.360139004648399</v>
      </c>
      <c r="Y190" s="30">
        <v>128.14227606369801</v>
      </c>
      <c r="Z190" s="30">
        <v>14.784086936900801</v>
      </c>
      <c r="AA190" s="30">
        <v>-1.0073660515576299E-3</v>
      </c>
      <c r="AB190" s="30">
        <v>4.0941379149071001E-4</v>
      </c>
      <c r="AC190" s="30">
        <v>6.1372651212936703E-2</v>
      </c>
      <c r="AD190" s="30">
        <v>8.3701312044194101</v>
      </c>
      <c r="AE190" s="30">
        <v>3.96552508375947</v>
      </c>
      <c r="AF190" s="30">
        <v>6.9302184324462299</v>
      </c>
    </row>
    <row r="191" spans="1:32" s="1" customFormat="1">
      <c r="A191" s="23"/>
      <c r="B191" s="23"/>
      <c r="C191" s="24"/>
      <c r="D191" s="24"/>
      <c r="E191" s="24"/>
      <c r="F191" s="24"/>
      <c r="G191" s="24"/>
      <c r="H191" s="23"/>
      <c r="I191" s="27"/>
      <c r="J191" s="28"/>
      <c r="K191" s="27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s="2" customFormat="1">
      <c r="A192" s="23" t="s">
        <v>27</v>
      </c>
      <c r="B192" s="8" t="s">
        <v>236</v>
      </c>
      <c r="C192" s="9">
        <v>1.34173623403366</v>
      </c>
      <c r="D192" s="9">
        <v>8.3768048092043204E-2</v>
      </c>
      <c r="E192" s="9">
        <v>0.461087261362576</v>
      </c>
      <c r="F192" s="9">
        <v>1.4662662309538201E-2</v>
      </c>
      <c r="G192" s="9">
        <v>0.61503050849546803</v>
      </c>
      <c r="H192" s="8"/>
      <c r="I192" s="29">
        <v>7140.1979897810497</v>
      </c>
      <c r="J192" s="30">
        <v>2.2947589556100798</v>
      </c>
      <c r="K192" s="29">
        <v>9709.0604663345694</v>
      </c>
      <c r="L192" s="30">
        <v>4.0545986297460597E-2</v>
      </c>
      <c r="M192" s="30">
        <v>157.536917643566</v>
      </c>
      <c r="N192" s="30">
        <v>511.35767015807801</v>
      </c>
      <c r="O192" s="30">
        <v>86.610309578214</v>
      </c>
      <c r="P192" s="30">
        <v>498.99364966345399</v>
      </c>
      <c r="Q192" s="30">
        <v>292.00832242722902</v>
      </c>
      <c r="R192" s="30">
        <v>23.163395115128601</v>
      </c>
      <c r="S192" s="30">
        <v>672.64332721536698</v>
      </c>
      <c r="T192" s="30">
        <v>162.836316830123</v>
      </c>
      <c r="U192" s="30">
        <v>1258.26021158259</v>
      </c>
      <c r="V192" s="30">
        <v>271.95568637701598</v>
      </c>
      <c r="W192" s="30">
        <v>755.34720947906703</v>
      </c>
      <c r="X192" s="30">
        <v>97.880304565696306</v>
      </c>
      <c r="Y192" s="30">
        <v>616.57565204747505</v>
      </c>
      <c r="Z192" s="30">
        <v>79.620376605724303</v>
      </c>
      <c r="AA192" s="30">
        <v>0.138649655699388</v>
      </c>
      <c r="AB192" s="30">
        <v>3.7595583155469799E-2</v>
      </c>
      <c r="AC192" s="30">
        <v>1.69682863474426</v>
      </c>
      <c r="AD192" s="30">
        <v>38.989554206841497</v>
      </c>
      <c r="AE192" s="30">
        <v>6.7772517696783598</v>
      </c>
      <c r="AF192" s="30">
        <v>13.934502704358801</v>
      </c>
    </row>
    <row r="193" spans="1:32" s="2" customFormat="1">
      <c r="A193" s="23" t="s">
        <v>27</v>
      </c>
      <c r="B193" s="8" t="s">
        <v>224</v>
      </c>
      <c r="C193" s="9">
        <v>0.169926301602319</v>
      </c>
      <c r="D193" s="9">
        <v>1.6094698983444799E-2</v>
      </c>
      <c r="E193" s="9">
        <v>0.90677640487800704</v>
      </c>
      <c r="F193" s="9">
        <v>3.53420217420553E-2</v>
      </c>
      <c r="G193" s="9">
        <v>0.88747810027706697</v>
      </c>
      <c r="H193" s="8"/>
      <c r="I193" s="29">
        <v>2851.1644863845399</v>
      </c>
      <c r="J193" s="30">
        <v>0.71686838298086397</v>
      </c>
      <c r="K193" s="29">
        <v>2343.76376322738</v>
      </c>
      <c r="L193" s="30">
        <v>-1.6341232192646901E-3</v>
      </c>
      <c r="M193" s="30">
        <v>145.04852809737699</v>
      </c>
      <c r="N193" s="30">
        <v>409.73542319490701</v>
      </c>
      <c r="O193" s="30">
        <v>63.779672688426501</v>
      </c>
      <c r="P193" s="30">
        <v>337.392089049503</v>
      </c>
      <c r="Q193" s="30">
        <v>165.32334715264599</v>
      </c>
      <c r="R193" s="30">
        <v>5.5778464719416503</v>
      </c>
      <c r="S193" s="30">
        <v>268.12676101180102</v>
      </c>
      <c r="T193" s="30">
        <v>56.244494818428301</v>
      </c>
      <c r="U193" s="30">
        <v>364.53776063001101</v>
      </c>
      <c r="V193" s="30">
        <v>70.456667173308304</v>
      </c>
      <c r="W193" s="30">
        <v>182.067963217325</v>
      </c>
      <c r="X193" s="30">
        <v>22.6311213131284</v>
      </c>
      <c r="Y193" s="30">
        <v>128.58402072739901</v>
      </c>
      <c r="Z193" s="30">
        <v>15.9052354099826</v>
      </c>
      <c r="AA193" s="30">
        <v>6.5419868245995896E-2</v>
      </c>
      <c r="AB193" s="30">
        <v>1.16422382709351E-2</v>
      </c>
      <c r="AC193" s="30">
        <v>0.42156647716956203</v>
      </c>
      <c r="AD193" s="30">
        <v>1.23464433625431</v>
      </c>
      <c r="AE193" s="30">
        <v>0.29160690085194702</v>
      </c>
      <c r="AF193" s="30">
        <v>5.92852588341424</v>
      </c>
    </row>
    <row r="194" spans="1:32" s="2" customFormat="1">
      <c r="A194" s="23" t="s">
        <v>27</v>
      </c>
      <c r="B194" s="8" t="s">
        <v>225</v>
      </c>
      <c r="C194" s="9">
        <v>1.05758412949909</v>
      </c>
      <c r="D194" s="9">
        <v>7.5538912116244694E-2</v>
      </c>
      <c r="E194" s="9">
        <v>0.60620697179794403</v>
      </c>
      <c r="F194" s="9">
        <v>2.5171797275038401E-2</v>
      </c>
      <c r="G194" s="9">
        <v>0.72055394232319603</v>
      </c>
      <c r="H194" s="8"/>
      <c r="I194" s="29">
        <v>4332.8494597346798</v>
      </c>
      <c r="J194" s="30">
        <v>4.83338279461401E-2</v>
      </c>
      <c r="K194" s="29">
        <v>4502.1198163829504</v>
      </c>
      <c r="L194" s="30">
        <v>2.27456841348939E-2</v>
      </c>
      <c r="M194" s="30">
        <v>69.869342422067106</v>
      </c>
      <c r="N194" s="30">
        <v>196.387071073062</v>
      </c>
      <c r="O194" s="30">
        <v>31.6307382185778</v>
      </c>
      <c r="P194" s="30">
        <v>181.185139864028</v>
      </c>
      <c r="Q194" s="30">
        <v>117.875094818845</v>
      </c>
      <c r="R194" s="30">
        <v>15.630026542621801</v>
      </c>
      <c r="S194" s="30">
        <v>314.11534344411302</v>
      </c>
      <c r="T194" s="30">
        <v>77.037309237602003</v>
      </c>
      <c r="U194" s="30">
        <v>588.92119592289498</v>
      </c>
      <c r="V194" s="30">
        <v>126.54949592436201</v>
      </c>
      <c r="W194" s="30">
        <v>338.05764891123698</v>
      </c>
      <c r="X194" s="30">
        <v>41.182635119886598</v>
      </c>
      <c r="Y194" s="30">
        <v>241.418280468094</v>
      </c>
      <c r="Z194" s="30">
        <v>30.274764122275901</v>
      </c>
      <c r="AA194" s="30">
        <v>4.8732413097866299E-3</v>
      </c>
      <c r="AB194" s="30">
        <v>1.42969832993555E-2</v>
      </c>
      <c r="AC194" s="30">
        <v>0.73614518539268503</v>
      </c>
      <c r="AD194" s="30">
        <v>22.423310030133301</v>
      </c>
      <c r="AE194" s="30">
        <v>3.14333475123011</v>
      </c>
      <c r="AF194" s="30">
        <v>9.3781287615620101</v>
      </c>
    </row>
    <row r="195" spans="1:32" s="2" customFormat="1">
      <c r="A195" s="23" t="s">
        <v>27</v>
      </c>
      <c r="B195" s="8" t="s">
        <v>241</v>
      </c>
      <c r="C195" s="9">
        <v>0.76434797529147502</v>
      </c>
      <c r="D195" s="9">
        <v>6.7860286933075706E-2</v>
      </c>
      <c r="E195" s="9">
        <v>0.64631228598972901</v>
      </c>
      <c r="F195" s="9">
        <v>2.97131112172846E-2</v>
      </c>
      <c r="G195" s="9">
        <v>0.89852926412304701</v>
      </c>
      <c r="H195" s="8"/>
      <c r="I195" s="29">
        <v>4456.2425280561802</v>
      </c>
      <c r="J195" s="30">
        <v>32.048417607399003</v>
      </c>
      <c r="K195" s="29">
        <v>3881.00798465661</v>
      </c>
      <c r="L195" s="30">
        <v>0.56819857724258604</v>
      </c>
      <c r="M195" s="30">
        <v>75.489747906394598</v>
      </c>
      <c r="N195" s="30">
        <v>224.76755726387299</v>
      </c>
      <c r="O195" s="30">
        <v>36.775427646855</v>
      </c>
      <c r="P195" s="30">
        <v>207.85555827456801</v>
      </c>
      <c r="Q195" s="30">
        <v>122.27189130180599</v>
      </c>
      <c r="R195" s="30">
        <v>11.315030792541799</v>
      </c>
      <c r="S195" s="30">
        <v>287.13206926681897</v>
      </c>
      <c r="T195" s="30">
        <v>67.011238089141898</v>
      </c>
      <c r="U195" s="30">
        <v>501.14447871102999</v>
      </c>
      <c r="V195" s="30">
        <v>106.112425079678</v>
      </c>
      <c r="W195" s="30">
        <v>286.713756386292</v>
      </c>
      <c r="X195" s="30">
        <v>36.328868871262998</v>
      </c>
      <c r="Y195" s="30">
        <v>225.65968920633301</v>
      </c>
      <c r="Z195" s="30">
        <v>28.7545881695068</v>
      </c>
      <c r="AA195" s="30">
        <v>8.2090990516678897E-2</v>
      </c>
      <c r="AB195" s="30">
        <v>6.22631567703558E-2</v>
      </c>
      <c r="AC195" s="30">
        <v>1.25589374210336</v>
      </c>
      <c r="AD195" s="30">
        <v>29.7702512005114</v>
      </c>
      <c r="AE195" s="30">
        <v>2.2897890753165799</v>
      </c>
      <c r="AF195" s="30">
        <v>10.512660826473899</v>
      </c>
    </row>
    <row r="196" spans="1:32" s="2" customFormat="1">
      <c r="A196" s="23" t="s">
        <v>27</v>
      </c>
      <c r="B196" s="8" t="s">
        <v>226</v>
      </c>
      <c r="C196" s="9">
        <v>6.04194036356933E-2</v>
      </c>
      <c r="D196" s="9">
        <v>9.8888881477375897E-3</v>
      </c>
      <c r="E196" s="9">
        <v>0.98535654680483598</v>
      </c>
      <c r="F196" s="9">
        <v>5.64391431331977E-2</v>
      </c>
      <c r="G196" s="9">
        <v>0.97525431061432799</v>
      </c>
      <c r="H196" s="8"/>
      <c r="I196" s="29">
        <v>2326.6823202168798</v>
      </c>
      <c r="J196" s="30">
        <v>0.21158730850639901</v>
      </c>
      <c r="K196" s="29">
        <v>680.93420444864</v>
      </c>
      <c r="L196" s="30">
        <v>3.1040734577716101E-2</v>
      </c>
      <c r="M196" s="30">
        <v>26.4728212809861</v>
      </c>
      <c r="N196" s="30">
        <v>62.876307856944699</v>
      </c>
      <c r="O196" s="30">
        <v>8.5349989493454697</v>
      </c>
      <c r="P196" s="30">
        <v>37.102510289543098</v>
      </c>
      <c r="Q196" s="30">
        <v>17.988967423097002</v>
      </c>
      <c r="R196" s="30">
        <v>1.6986625556285699</v>
      </c>
      <c r="S196" s="30">
        <v>36.702431021175897</v>
      </c>
      <c r="T196" s="30">
        <v>10.033792872722399</v>
      </c>
      <c r="U196" s="30">
        <v>79.560258754807606</v>
      </c>
      <c r="V196" s="30">
        <v>17.650441874857901</v>
      </c>
      <c r="W196" s="30">
        <v>47.494133862854902</v>
      </c>
      <c r="X196" s="30">
        <v>5.65239635344465</v>
      </c>
      <c r="Y196" s="30">
        <v>31.439954038582801</v>
      </c>
      <c r="Z196" s="30">
        <v>3.7570512575161699</v>
      </c>
      <c r="AA196" s="30">
        <v>-1.1505447759678801E-3</v>
      </c>
      <c r="AB196" s="30">
        <v>-4.2064004296811302E-4</v>
      </c>
      <c r="AC196" s="30">
        <v>1.9951627778794601</v>
      </c>
      <c r="AD196" s="30">
        <v>-4.07341428413776E-2</v>
      </c>
      <c r="AE196" s="30">
        <v>9.0975227580258999E-2</v>
      </c>
      <c r="AF196" s="30">
        <v>5.2370196366155</v>
      </c>
    </row>
    <row r="197" spans="1:32" s="2" customFormat="1">
      <c r="A197" s="23" t="s">
        <v>27</v>
      </c>
      <c r="B197" s="8" t="s">
        <v>237</v>
      </c>
      <c r="C197" s="9">
        <v>0.13793236805256001</v>
      </c>
      <c r="D197" s="9">
        <v>1.4114872719722499E-2</v>
      </c>
      <c r="E197" s="9">
        <v>0.98465742862015404</v>
      </c>
      <c r="F197" s="9">
        <v>4.3976689980814797E-2</v>
      </c>
      <c r="G197" s="9">
        <v>0.89805750778810101</v>
      </c>
      <c r="H197" s="8"/>
      <c r="I197" s="29">
        <v>2421.49767290606</v>
      </c>
      <c r="J197" s="30">
        <v>1.1016438268020201</v>
      </c>
      <c r="K197" s="29">
        <v>2124.0760902436</v>
      </c>
      <c r="L197" s="30">
        <v>-3.86491656118461E-3</v>
      </c>
      <c r="M197" s="30">
        <v>66.780301226581301</v>
      </c>
      <c r="N197" s="30">
        <v>200.314604727839</v>
      </c>
      <c r="O197" s="30">
        <v>32.436037807081298</v>
      </c>
      <c r="P197" s="30">
        <v>181.02189602813601</v>
      </c>
      <c r="Q197" s="30">
        <v>99.874100213328703</v>
      </c>
      <c r="R197" s="30">
        <v>5.3291156390041801</v>
      </c>
      <c r="S197" s="30">
        <v>194.20362709053899</v>
      </c>
      <c r="T197" s="30">
        <v>41.793660423732</v>
      </c>
      <c r="U197" s="30">
        <v>287.28261272551498</v>
      </c>
      <c r="V197" s="30">
        <v>56.555987306890003</v>
      </c>
      <c r="W197" s="30">
        <v>146.73655325748101</v>
      </c>
      <c r="X197" s="30">
        <v>18.2967938985472</v>
      </c>
      <c r="Y197" s="30">
        <v>109.236249096938</v>
      </c>
      <c r="Z197" s="30">
        <v>14.031589588301101</v>
      </c>
      <c r="AA197" s="30">
        <v>1.1383302912812299E-2</v>
      </c>
      <c r="AB197" s="30">
        <v>5.6196215615037497E-3</v>
      </c>
      <c r="AC197" s="30">
        <v>2.62190984964124E-2</v>
      </c>
      <c r="AD197" s="30">
        <v>0.83501702266238598</v>
      </c>
      <c r="AE197" s="30">
        <v>0.218393044632573</v>
      </c>
      <c r="AF197" s="30">
        <v>5.6517311783548498</v>
      </c>
    </row>
    <row r="198" spans="1:32" s="2" customFormat="1">
      <c r="A198" s="23" t="s">
        <v>27</v>
      </c>
      <c r="B198" s="8" t="s">
        <v>227</v>
      </c>
      <c r="C198" s="9">
        <v>1.62178629824745</v>
      </c>
      <c r="D198" s="9">
        <v>0.114905616508186</v>
      </c>
      <c r="E198" s="9">
        <v>0.34994090744574802</v>
      </c>
      <c r="F198" s="9">
        <v>1.6654197528316501E-2</v>
      </c>
      <c r="G198" s="9">
        <v>0.74335527016423397</v>
      </c>
      <c r="H198" s="8"/>
      <c r="I198" s="29">
        <v>3646.3724895588398</v>
      </c>
      <c r="J198" s="30">
        <v>0.32395263615923497</v>
      </c>
      <c r="K198" s="29">
        <v>3394.87274298476</v>
      </c>
      <c r="L198" s="30">
        <v>1.6646761420940601E-2</v>
      </c>
      <c r="M198" s="30">
        <v>113.662949055379</v>
      </c>
      <c r="N198" s="30">
        <v>394.53284664809502</v>
      </c>
      <c r="O198" s="30">
        <v>71.0704297300679</v>
      </c>
      <c r="P198" s="30">
        <v>437.48958377707299</v>
      </c>
      <c r="Q198" s="30">
        <v>255.89451090406499</v>
      </c>
      <c r="R198" s="30">
        <v>8.9202232747102901</v>
      </c>
      <c r="S198" s="30">
        <v>467.56673499196302</v>
      </c>
      <c r="T198" s="30">
        <v>88.196623289316506</v>
      </c>
      <c r="U198" s="30">
        <v>571.70712458750302</v>
      </c>
      <c r="V198" s="30">
        <v>113.477794995956</v>
      </c>
      <c r="W198" s="30">
        <v>288.33908840506501</v>
      </c>
      <c r="X198" s="30">
        <v>35.2608857857212</v>
      </c>
      <c r="Y198" s="30">
        <v>209.53287725291099</v>
      </c>
      <c r="Z198" s="30">
        <v>26.160742078610301</v>
      </c>
      <c r="AA198" s="30">
        <v>5.6739111177918598E-2</v>
      </c>
      <c r="AB198" s="30">
        <v>1.93631152001176E-2</v>
      </c>
      <c r="AC198" s="30">
        <v>0.31318770245517402</v>
      </c>
      <c r="AD198" s="30">
        <v>36.360376023296197</v>
      </c>
      <c r="AE198" s="30">
        <v>12.3077177715664</v>
      </c>
      <c r="AF198" s="30">
        <v>16.105161743153499</v>
      </c>
    </row>
    <row r="199" spans="1:32" s="2" customFormat="1">
      <c r="A199" s="23" t="s">
        <v>27</v>
      </c>
      <c r="B199" s="8" t="s">
        <v>242</v>
      </c>
      <c r="C199" s="9">
        <v>1.9876555704699199</v>
      </c>
      <c r="D199" s="9">
        <v>0.118571934355018</v>
      </c>
      <c r="E199" s="9">
        <v>0.235023441841929</v>
      </c>
      <c r="F199" s="9">
        <v>8.2004300329180501E-3</v>
      </c>
      <c r="G199" s="9">
        <v>0.51861415159374902</v>
      </c>
      <c r="H199" s="8"/>
      <c r="I199" s="29">
        <v>5747.4268607991798</v>
      </c>
      <c r="J199" s="30">
        <v>1.88884843545876</v>
      </c>
      <c r="K199" s="29">
        <v>6048.6168460851304</v>
      </c>
      <c r="L199" s="30">
        <v>9.3304010215056493E-2</v>
      </c>
      <c r="M199" s="30">
        <v>214.27748886965</v>
      </c>
      <c r="N199" s="30">
        <v>750.59153221343195</v>
      </c>
      <c r="O199" s="30">
        <v>128.12540822914499</v>
      </c>
      <c r="P199" s="30">
        <v>742.09666306151598</v>
      </c>
      <c r="Q199" s="30">
        <v>378.87826481879699</v>
      </c>
      <c r="R199" s="30">
        <v>12.399826252799301</v>
      </c>
      <c r="S199" s="30">
        <v>631.96676417968399</v>
      </c>
      <c r="T199" s="30">
        <v>135.40638553030399</v>
      </c>
      <c r="U199" s="30">
        <v>933.68581514578898</v>
      </c>
      <c r="V199" s="30">
        <v>186.629601325473</v>
      </c>
      <c r="W199" s="30">
        <v>512.15895635973902</v>
      </c>
      <c r="X199" s="30">
        <v>65.520844071884397</v>
      </c>
      <c r="Y199" s="30">
        <v>407.15229065237497</v>
      </c>
      <c r="Z199" s="30">
        <v>50.510438608283401</v>
      </c>
      <c r="AA199" s="30">
        <v>6.9903742004992803E-2</v>
      </c>
      <c r="AB199" s="30">
        <v>2.5991567597090801E-2</v>
      </c>
      <c r="AC199" s="30">
        <v>0.33116723875655202</v>
      </c>
      <c r="AD199" s="30">
        <v>205.614405617752</v>
      </c>
      <c r="AE199" s="30">
        <v>36.939856848386</v>
      </c>
      <c r="AF199" s="30">
        <v>45.089573825384498</v>
      </c>
    </row>
    <row r="200" spans="1:32" s="2" customFormat="1">
      <c r="A200" s="23" t="s">
        <v>27</v>
      </c>
      <c r="B200" s="8" t="s">
        <v>228</v>
      </c>
      <c r="C200" s="9">
        <v>0.148330008850623</v>
      </c>
      <c r="D200" s="9">
        <v>1.41559282621897E-2</v>
      </c>
      <c r="E200" s="9">
        <v>0.94529284811265601</v>
      </c>
      <c r="F200" s="9">
        <v>4.25541129093066E-2</v>
      </c>
      <c r="G200" s="9">
        <v>0.91718348890189005</v>
      </c>
      <c r="H200" s="8"/>
      <c r="I200" s="29">
        <v>2494.1197727470499</v>
      </c>
      <c r="J200" s="30">
        <v>0.40418786028492298</v>
      </c>
      <c r="K200" s="29">
        <v>2177.6737000299599</v>
      </c>
      <c r="L200" s="30">
        <v>-3.9532959523642603E-3</v>
      </c>
      <c r="M200" s="30">
        <v>62.514699047102397</v>
      </c>
      <c r="N200" s="30">
        <v>176.005372096966</v>
      </c>
      <c r="O200" s="30">
        <v>27.964028882055601</v>
      </c>
      <c r="P200" s="30">
        <v>154.169573749839</v>
      </c>
      <c r="Q200" s="30">
        <v>88.987920139629793</v>
      </c>
      <c r="R200" s="30">
        <v>4.6176314740277604</v>
      </c>
      <c r="S200" s="30">
        <v>184.81455254342899</v>
      </c>
      <c r="T200" s="30">
        <v>42.136965456682397</v>
      </c>
      <c r="U200" s="30">
        <v>304.19750000955702</v>
      </c>
      <c r="V200" s="30">
        <v>63.267273405840498</v>
      </c>
      <c r="W200" s="30">
        <v>172.022750415254</v>
      </c>
      <c r="X200" s="30">
        <v>21.412799944397999</v>
      </c>
      <c r="Y200" s="30">
        <v>126.608025586106</v>
      </c>
      <c r="Z200" s="30">
        <v>15.8778893754143</v>
      </c>
      <c r="AA200" s="30">
        <v>1.7110727134043401E-3</v>
      </c>
      <c r="AB200" s="30">
        <v>7.1737407902449099E-3</v>
      </c>
      <c r="AC200" s="30">
        <v>3.7922503215858702E-2</v>
      </c>
      <c r="AD200" s="30">
        <v>0.99485672604172304</v>
      </c>
      <c r="AE200" s="30">
        <v>0.24742463075489299</v>
      </c>
      <c r="AF200" s="30">
        <v>5.3964475858215399</v>
      </c>
    </row>
    <row r="201" spans="1:32" s="2" customFormat="1">
      <c r="A201" s="23" t="s">
        <v>27</v>
      </c>
      <c r="B201" s="8" t="s">
        <v>238</v>
      </c>
      <c r="C201" s="9">
        <v>0.138696439307743</v>
      </c>
      <c r="D201" s="9">
        <v>1.53907987352469E-2</v>
      </c>
      <c r="E201" s="9">
        <v>0.95975478289037297</v>
      </c>
      <c r="F201" s="9">
        <v>4.3896403421975601E-2</v>
      </c>
      <c r="G201" s="9">
        <v>0.96271155496193594</v>
      </c>
      <c r="H201" s="8"/>
      <c r="I201" s="29">
        <v>2433.2483016288002</v>
      </c>
      <c r="J201" s="30">
        <v>0.42598997555415402</v>
      </c>
      <c r="K201" s="29">
        <v>1847.64374129968</v>
      </c>
      <c r="L201" s="30">
        <v>5.49915715728941E-3</v>
      </c>
      <c r="M201" s="30">
        <v>82.007483551449397</v>
      </c>
      <c r="N201" s="30">
        <v>215.905989698919</v>
      </c>
      <c r="O201" s="30">
        <v>33.063595915326097</v>
      </c>
      <c r="P201" s="30">
        <v>178.94759752524999</v>
      </c>
      <c r="Q201" s="30">
        <v>89.659310782685907</v>
      </c>
      <c r="R201" s="30">
        <v>5.0745448703413398</v>
      </c>
      <c r="S201" s="30">
        <v>173.947054661398</v>
      </c>
      <c r="T201" s="30">
        <v>34.903092849417703</v>
      </c>
      <c r="U201" s="30">
        <v>236.767832245709</v>
      </c>
      <c r="V201" s="30">
        <v>47.7178221722654</v>
      </c>
      <c r="W201" s="30">
        <v>121.02836533175</v>
      </c>
      <c r="X201" s="30">
        <v>14.525311947487999</v>
      </c>
      <c r="Y201" s="30">
        <v>84.391637220035307</v>
      </c>
      <c r="Z201" s="30">
        <v>10.683318221230399</v>
      </c>
      <c r="AA201" s="30">
        <v>-1.1829502533758499E-3</v>
      </c>
      <c r="AB201" s="30">
        <v>3.7714004117315098E-3</v>
      </c>
      <c r="AC201" s="30">
        <v>5.6233097317418698E-2</v>
      </c>
      <c r="AD201" s="30">
        <v>0.56476387885260004</v>
      </c>
      <c r="AE201" s="30">
        <v>0.248397182796116</v>
      </c>
      <c r="AF201" s="30">
        <v>5.9188296085928798</v>
      </c>
    </row>
    <row r="202" spans="1:32" s="2" customFormat="1">
      <c r="A202" s="23" t="s">
        <v>27</v>
      </c>
      <c r="B202" s="8" t="s">
        <v>229</v>
      </c>
      <c r="C202" s="9">
        <v>1.2401476859096201</v>
      </c>
      <c r="D202" s="9">
        <v>8.1441026284901102E-2</v>
      </c>
      <c r="E202" s="9">
        <v>0.48535813849953302</v>
      </c>
      <c r="F202" s="9">
        <v>1.75551090453973E-2</v>
      </c>
      <c r="G202" s="9">
        <v>0.37627207749886299</v>
      </c>
      <c r="H202" s="8"/>
      <c r="I202" s="29">
        <v>6454.6510060311803</v>
      </c>
      <c r="J202" s="30">
        <v>8.4021444050404597</v>
      </c>
      <c r="K202" s="29">
        <v>8627.24481154758</v>
      </c>
      <c r="L202" s="30">
        <v>0.166524492052151</v>
      </c>
      <c r="M202" s="30">
        <v>153.07481114762601</v>
      </c>
      <c r="N202" s="30">
        <v>473.93506413174998</v>
      </c>
      <c r="O202" s="30">
        <v>76.868036877176493</v>
      </c>
      <c r="P202" s="30">
        <v>428.80025958241703</v>
      </c>
      <c r="Q202" s="30">
        <v>258.99424123003001</v>
      </c>
      <c r="R202" s="30">
        <v>18.832577076445201</v>
      </c>
      <c r="S202" s="30">
        <v>619.74941308712698</v>
      </c>
      <c r="T202" s="30">
        <v>150.74617504788799</v>
      </c>
      <c r="U202" s="30">
        <v>1123.3606345758401</v>
      </c>
      <c r="V202" s="30">
        <v>234.27299002095799</v>
      </c>
      <c r="W202" s="30">
        <v>642.09043577834598</v>
      </c>
      <c r="X202" s="30">
        <v>82.9928476191577</v>
      </c>
      <c r="Y202" s="30">
        <v>511.23522906493901</v>
      </c>
      <c r="Z202" s="30">
        <v>64.648104328220199</v>
      </c>
      <c r="AA202" s="30">
        <v>6.5468995953355605E-2</v>
      </c>
      <c r="AB202" s="30">
        <v>3.1577281562473601E-2</v>
      </c>
      <c r="AC202" s="30">
        <v>0.56259731726379503</v>
      </c>
      <c r="AD202" s="30">
        <v>30.551764413538301</v>
      </c>
      <c r="AE202" s="30">
        <v>5.6119086717785196</v>
      </c>
      <c r="AF202" s="30">
        <v>11.783888627878801</v>
      </c>
    </row>
    <row r="203" spans="1:32" s="2" customFormat="1">
      <c r="A203" s="23" t="s">
        <v>27</v>
      </c>
      <c r="B203" s="8" t="s">
        <v>230</v>
      </c>
      <c r="C203" s="9">
        <v>0.89777384734743204</v>
      </c>
      <c r="D203" s="9">
        <v>6.4854181239018704E-2</v>
      </c>
      <c r="E203" s="9">
        <v>0.60491089882464799</v>
      </c>
      <c r="F203" s="9">
        <v>2.4726445438012699E-2</v>
      </c>
      <c r="G203" s="9">
        <v>0.618519393631217</v>
      </c>
      <c r="H203" s="8"/>
      <c r="I203" s="29">
        <v>3369.4609382128901</v>
      </c>
      <c r="J203" s="30">
        <v>6.1229753589764103E-3</v>
      </c>
      <c r="K203" s="29">
        <v>3817.5309876680299</v>
      </c>
      <c r="L203" s="30">
        <v>-3.8560163600684801E-3</v>
      </c>
      <c r="M203" s="30">
        <v>217.82232967285401</v>
      </c>
      <c r="N203" s="30">
        <v>623.42591962479298</v>
      </c>
      <c r="O203" s="30">
        <v>93.803136424698593</v>
      </c>
      <c r="P203" s="30">
        <v>510.802144216947</v>
      </c>
      <c r="Q203" s="30">
        <v>236.20573284185099</v>
      </c>
      <c r="R203" s="30">
        <v>8.6424218756950193</v>
      </c>
      <c r="S203" s="30">
        <v>417.02962101227502</v>
      </c>
      <c r="T203" s="30">
        <v>80.178190867080104</v>
      </c>
      <c r="U203" s="30">
        <v>533.69743556280298</v>
      </c>
      <c r="V203" s="30">
        <v>108.627163677376</v>
      </c>
      <c r="W203" s="30">
        <v>282.73241058488901</v>
      </c>
      <c r="X203" s="30">
        <v>35.706501319354302</v>
      </c>
      <c r="Y203" s="30">
        <v>219.374591617921</v>
      </c>
      <c r="Z203" s="30">
        <v>27.963538863911801</v>
      </c>
      <c r="AA203" s="30">
        <v>-1.17906577671097E-3</v>
      </c>
      <c r="AB203" s="30">
        <v>1.1287791641279099E-2</v>
      </c>
      <c r="AC203" s="30">
        <v>6.5303338916606293E-2</v>
      </c>
      <c r="AD203" s="30">
        <v>20.505064389988998</v>
      </c>
      <c r="AE203" s="30">
        <v>2.8483829397746798</v>
      </c>
      <c r="AF203" s="30">
        <v>9.4471552635857901</v>
      </c>
    </row>
    <row r="204" spans="1:32" s="2" customFormat="1">
      <c r="A204" s="23" t="s">
        <v>27</v>
      </c>
      <c r="B204" s="8" t="s">
        <v>231</v>
      </c>
      <c r="C204" s="9">
        <v>1.0236910655754701</v>
      </c>
      <c r="D204" s="9">
        <v>6.2921153402547003E-2</v>
      </c>
      <c r="E204" s="9">
        <v>0.53237681821247695</v>
      </c>
      <c r="F204" s="9">
        <v>1.8653659839499799E-2</v>
      </c>
      <c r="G204" s="9">
        <v>0.69092114313726405</v>
      </c>
      <c r="H204" s="8"/>
      <c r="I204" s="29">
        <v>7449.5305100858996</v>
      </c>
      <c r="J204" s="30">
        <v>2.1575660322664101</v>
      </c>
      <c r="K204" s="29">
        <v>9957.37514110339</v>
      </c>
      <c r="L204" s="30">
        <v>9.6662242350338795E-2</v>
      </c>
      <c r="M204" s="30">
        <v>267.88971537140901</v>
      </c>
      <c r="N204" s="30">
        <v>840.84551620452396</v>
      </c>
      <c r="O204" s="30">
        <v>133.619216423377</v>
      </c>
      <c r="P204" s="30">
        <v>722.65872692469497</v>
      </c>
      <c r="Q204" s="30">
        <v>383.49299211671303</v>
      </c>
      <c r="R204" s="30">
        <v>21.707808950939</v>
      </c>
      <c r="S204" s="30">
        <v>798.07770195951503</v>
      </c>
      <c r="T204" s="30">
        <v>184.667848178415</v>
      </c>
      <c r="U204" s="30">
        <v>1377.9515269799101</v>
      </c>
      <c r="V204" s="30">
        <v>283.11393423419401</v>
      </c>
      <c r="W204" s="30">
        <v>773.95332968222795</v>
      </c>
      <c r="X204" s="30">
        <v>102.43672756572001</v>
      </c>
      <c r="Y204" s="30">
        <v>641.03782591080198</v>
      </c>
      <c r="Z204" s="30">
        <v>82.925468884506103</v>
      </c>
      <c r="AA204" s="30">
        <v>0.14653805772380199</v>
      </c>
      <c r="AB204" s="30">
        <v>3.9895008430775099E-2</v>
      </c>
      <c r="AC204" s="30">
        <v>1.58622187451037</v>
      </c>
      <c r="AD204" s="30">
        <v>59.775199823104899</v>
      </c>
      <c r="AE204" s="30">
        <v>4.3739356179633697</v>
      </c>
      <c r="AF204" s="30">
        <v>15.3848920923298</v>
      </c>
    </row>
    <row r="205" spans="1:32" s="2" customFormat="1">
      <c r="A205" s="23" t="s">
        <v>27</v>
      </c>
      <c r="B205" s="8" t="s">
        <v>243</v>
      </c>
      <c r="C205" s="9">
        <v>0.10407099654336199</v>
      </c>
      <c r="D205" s="9">
        <v>1.3042209051059701E-2</v>
      </c>
      <c r="E205" s="9">
        <v>0.97431769032279403</v>
      </c>
      <c r="F205" s="9">
        <v>4.22121387456528E-2</v>
      </c>
      <c r="G205" s="9">
        <v>0.94120329938782099</v>
      </c>
      <c r="H205" s="8"/>
      <c r="I205" s="29">
        <v>2336.42414376344</v>
      </c>
      <c r="J205" s="30">
        <v>0.43006081098989202</v>
      </c>
      <c r="K205" s="29">
        <v>1792.7106300632599</v>
      </c>
      <c r="L205" s="30">
        <v>1.8516185046531599E-2</v>
      </c>
      <c r="M205" s="30">
        <v>43.901602451903102</v>
      </c>
      <c r="N205" s="30">
        <v>121.24162568259401</v>
      </c>
      <c r="O205" s="30">
        <v>19.455479075444799</v>
      </c>
      <c r="P205" s="30">
        <v>110.47866413425901</v>
      </c>
      <c r="Q205" s="30">
        <v>67.358082659143307</v>
      </c>
      <c r="R205" s="30">
        <v>5.5251946111260297</v>
      </c>
      <c r="S205" s="30">
        <v>154.773760256938</v>
      </c>
      <c r="T205" s="30">
        <v>34.401184475757098</v>
      </c>
      <c r="U205" s="30">
        <v>244.22997600822501</v>
      </c>
      <c r="V205" s="30">
        <v>48.746933380714999</v>
      </c>
      <c r="W205" s="30">
        <v>126.542634225745</v>
      </c>
      <c r="X205" s="30">
        <v>15.188642961834701</v>
      </c>
      <c r="Y205" s="30">
        <v>87.846709640477798</v>
      </c>
      <c r="Z205" s="30">
        <v>10.8414524641273</v>
      </c>
      <c r="AA205" s="30">
        <v>-1.1823382280929499E-3</v>
      </c>
      <c r="AB205" s="30">
        <v>6.6982224592645502E-3</v>
      </c>
      <c r="AC205" s="30">
        <v>1.4261428298769001</v>
      </c>
      <c r="AD205" s="30">
        <v>0.67469171456188404</v>
      </c>
      <c r="AE205" s="30">
        <v>0.163191243999046</v>
      </c>
      <c r="AF205" s="30">
        <v>5.3341309882135297</v>
      </c>
    </row>
    <row r="206" spans="1:32" s="2" customFormat="1">
      <c r="A206" s="23" t="s">
        <v>27</v>
      </c>
      <c r="B206" s="8" t="s">
        <v>239</v>
      </c>
      <c r="C206" s="9">
        <v>0.98103300210178002</v>
      </c>
      <c r="D206" s="9">
        <v>8.2769882711634393E-2</v>
      </c>
      <c r="E206" s="9">
        <v>0.59577169874410296</v>
      </c>
      <c r="F206" s="9">
        <v>3.0277027998528199E-2</v>
      </c>
      <c r="G206" s="9">
        <v>0.68378762310464603</v>
      </c>
      <c r="H206" s="8"/>
      <c r="I206" s="29">
        <v>3351.2173718436702</v>
      </c>
      <c r="J206" s="30">
        <v>0.213681855199018</v>
      </c>
      <c r="K206" s="29">
        <v>3648.5602153100399</v>
      </c>
      <c r="L206" s="30">
        <v>6.5556209084686396E-3</v>
      </c>
      <c r="M206" s="30">
        <v>86.993314409065803</v>
      </c>
      <c r="N206" s="30">
        <v>360.51781194199299</v>
      </c>
      <c r="O206" s="30">
        <v>69.473385195463294</v>
      </c>
      <c r="P206" s="30">
        <v>428.52263961897597</v>
      </c>
      <c r="Q206" s="30">
        <v>246.64888980561199</v>
      </c>
      <c r="R206" s="30">
        <v>8.1697299990955194</v>
      </c>
      <c r="S206" s="30">
        <v>450.09456101027803</v>
      </c>
      <c r="T206" s="30">
        <v>93.686653343291894</v>
      </c>
      <c r="U206" s="30">
        <v>608.00005053695202</v>
      </c>
      <c r="V206" s="30">
        <v>116.116684186871</v>
      </c>
      <c r="W206" s="30">
        <v>294.224047111863</v>
      </c>
      <c r="X206" s="30">
        <v>35.560917126853496</v>
      </c>
      <c r="Y206" s="30">
        <v>211.206558751361</v>
      </c>
      <c r="Z206" s="30">
        <v>25.0327615406771</v>
      </c>
      <c r="AA206" s="30">
        <v>-1.13666929032587E-3</v>
      </c>
      <c r="AB206" s="30">
        <v>1.4867132333579501E-2</v>
      </c>
      <c r="AC206" s="30">
        <v>0.15243885211504599</v>
      </c>
      <c r="AD206" s="30">
        <v>16.926938025402599</v>
      </c>
      <c r="AE206" s="30">
        <v>3.21723651090318</v>
      </c>
      <c r="AF206" s="30">
        <v>9.1965831431090699</v>
      </c>
    </row>
    <row r="207" spans="1:32" s="2" customFormat="1">
      <c r="A207" s="23" t="s">
        <v>27</v>
      </c>
      <c r="B207" s="8" t="s">
        <v>240</v>
      </c>
      <c r="C207" s="9">
        <v>1.0281413255371099</v>
      </c>
      <c r="D207" s="9">
        <v>6.65642060692994E-2</v>
      </c>
      <c r="E207" s="9">
        <v>0.56622017688193205</v>
      </c>
      <c r="F207" s="9">
        <v>2.0475889800050402E-2</v>
      </c>
      <c r="G207" s="9">
        <v>0.48459018823155597</v>
      </c>
      <c r="H207" s="8"/>
      <c r="I207" s="29">
        <v>6701.9139883391899</v>
      </c>
      <c r="J207" s="30">
        <v>0.463792847536522</v>
      </c>
      <c r="K207" s="29">
        <v>9404.7907250132794</v>
      </c>
      <c r="L207" s="30">
        <v>1.8222650211933401E-2</v>
      </c>
      <c r="M207" s="30">
        <v>159.25465883463499</v>
      </c>
      <c r="N207" s="30">
        <v>543.48281088112299</v>
      </c>
      <c r="O207" s="30">
        <v>93.734534030668399</v>
      </c>
      <c r="P207" s="30">
        <v>584.24469503181501</v>
      </c>
      <c r="Q207" s="30">
        <v>346.75498580525499</v>
      </c>
      <c r="R207" s="30">
        <v>20.1621402180579</v>
      </c>
      <c r="S207" s="30">
        <v>750.78395609668098</v>
      </c>
      <c r="T207" s="30">
        <v>170.89589578044999</v>
      </c>
      <c r="U207" s="30">
        <v>1272.28731841899</v>
      </c>
      <c r="V207" s="30">
        <v>263.71165670070201</v>
      </c>
      <c r="W207" s="30">
        <v>723.75202266996803</v>
      </c>
      <c r="X207" s="30">
        <v>95.9195317750318</v>
      </c>
      <c r="Y207" s="30">
        <v>610.86233081096998</v>
      </c>
      <c r="Z207" s="30">
        <v>78.775498495676302</v>
      </c>
      <c r="AA207" s="30">
        <v>0.147689977948606</v>
      </c>
      <c r="AB207" s="30">
        <v>3.8460697363791201E-2</v>
      </c>
      <c r="AC207" s="30">
        <v>1.0661292798240001</v>
      </c>
      <c r="AD207" s="30">
        <v>39.030333442741501</v>
      </c>
      <c r="AE207" s="30">
        <v>4.0367203189927201</v>
      </c>
      <c r="AF207" s="30">
        <v>12.811243835225801</v>
      </c>
    </row>
    <row r="208" spans="1:32" s="2" customFormat="1">
      <c r="A208" s="23" t="s">
        <v>27</v>
      </c>
      <c r="B208" s="8" t="s">
        <v>232</v>
      </c>
      <c r="C208" s="9">
        <v>0.84708886966951702</v>
      </c>
      <c r="D208" s="9">
        <v>5.5224527869853497E-2</v>
      </c>
      <c r="E208" s="9">
        <v>0.51450138530363498</v>
      </c>
      <c r="F208" s="9">
        <v>1.5671750867531101E-2</v>
      </c>
      <c r="G208" s="9">
        <v>0.74024349610142703</v>
      </c>
      <c r="H208" s="8"/>
      <c r="I208" s="29">
        <v>10193.869214482</v>
      </c>
      <c r="J208" s="30">
        <v>2.3411094206690399</v>
      </c>
      <c r="K208" s="29">
        <v>12791.804630485</v>
      </c>
      <c r="L208" s="30">
        <v>0.19751850493213999</v>
      </c>
      <c r="M208" s="30">
        <v>249.950046159002</v>
      </c>
      <c r="N208" s="30">
        <v>815.12265798878195</v>
      </c>
      <c r="O208" s="30">
        <v>141.82799705605299</v>
      </c>
      <c r="P208" s="30">
        <v>843.04917700386704</v>
      </c>
      <c r="Q208" s="30">
        <v>480.48969209935399</v>
      </c>
      <c r="R208" s="30">
        <v>27.625313072544099</v>
      </c>
      <c r="S208" s="30">
        <v>1060.7023164530001</v>
      </c>
      <c r="T208" s="30">
        <v>237.563970266181</v>
      </c>
      <c r="U208" s="30">
        <v>1787.0772286763199</v>
      </c>
      <c r="V208" s="30">
        <v>387.39055419975398</v>
      </c>
      <c r="W208" s="30">
        <v>1075.9892342355799</v>
      </c>
      <c r="X208" s="30">
        <v>138.01508921914399</v>
      </c>
      <c r="Y208" s="30">
        <v>864.76153736113702</v>
      </c>
      <c r="Z208" s="30">
        <v>109.467523488992</v>
      </c>
      <c r="AA208" s="30">
        <v>2.4725155227931701</v>
      </c>
      <c r="AB208" s="30">
        <v>6.1789028419755601E-2</v>
      </c>
      <c r="AC208" s="30">
        <v>3.7341862273324802</v>
      </c>
      <c r="AD208" s="30">
        <v>63.007231496280603</v>
      </c>
      <c r="AE208" s="30">
        <v>8.7731090990180203</v>
      </c>
      <c r="AF208" s="30">
        <v>28.282852026178801</v>
      </c>
    </row>
    <row r="209" spans="1:32" s="2" customFormat="1">
      <c r="A209" s="23" t="s">
        <v>27</v>
      </c>
      <c r="B209" s="8" t="s">
        <v>233</v>
      </c>
      <c r="C209" s="9">
        <v>0.117888416327263</v>
      </c>
      <c r="D209" s="9">
        <v>1.2479074039394999E-2</v>
      </c>
      <c r="E209" s="9">
        <v>0.98433975460337897</v>
      </c>
      <c r="F209" s="9">
        <v>4.21534211047912E-2</v>
      </c>
      <c r="G209" s="9">
        <v>0.95079658966373903</v>
      </c>
      <c r="H209" s="8"/>
      <c r="I209" s="29">
        <v>2099.6531187496398</v>
      </c>
      <c r="J209" s="30">
        <v>0.40904642960923698</v>
      </c>
      <c r="K209" s="29">
        <v>2377.2922335387898</v>
      </c>
      <c r="L209" s="30">
        <v>-3.86910774572573E-3</v>
      </c>
      <c r="M209" s="30">
        <v>60.345928379098602</v>
      </c>
      <c r="N209" s="30">
        <v>197.20124998483999</v>
      </c>
      <c r="O209" s="30">
        <v>33.6003627526377</v>
      </c>
      <c r="P209" s="30">
        <v>194.05322140725201</v>
      </c>
      <c r="Q209" s="30">
        <v>117.93952885722901</v>
      </c>
      <c r="R209" s="30">
        <v>4.3822774095358303</v>
      </c>
      <c r="S209" s="30">
        <v>225.73363793257201</v>
      </c>
      <c r="T209" s="30">
        <v>51.2513421059273</v>
      </c>
      <c r="U209" s="30">
        <v>350.59275055868699</v>
      </c>
      <c r="V209" s="30">
        <v>69.798982495370495</v>
      </c>
      <c r="W209" s="30">
        <v>185.401997272578</v>
      </c>
      <c r="X209" s="30">
        <v>23.057507251516402</v>
      </c>
      <c r="Y209" s="30">
        <v>131.75642587335301</v>
      </c>
      <c r="Z209" s="30">
        <v>16.360730036330398</v>
      </c>
      <c r="AA209" s="30">
        <v>2.259235323906E-2</v>
      </c>
      <c r="AB209" s="30">
        <v>1.00494199972763E-2</v>
      </c>
      <c r="AC209" s="30">
        <v>3.5158592918201899E-2</v>
      </c>
      <c r="AD209" s="30">
        <v>0.88922483296602195</v>
      </c>
      <c r="AE209" s="30">
        <v>0.20736780552190001</v>
      </c>
      <c r="AF209" s="30">
        <v>5.7194137967220904</v>
      </c>
    </row>
    <row r="210" spans="1:32" s="2" customFormat="1">
      <c r="A210" s="23" t="s">
        <v>27</v>
      </c>
      <c r="B210" s="8" t="s">
        <v>234</v>
      </c>
      <c r="C210" s="9">
        <v>2.0593009264641301E-2</v>
      </c>
      <c r="D210" s="9">
        <v>5.1130462404133104E-3</v>
      </c>
      <c r="E210" s="9">
        <v>1.0334111983365</v>
      </c>
      <c r="F210" s="9">
        <v>4.8323440021704599E-2</v>
      </c>
      <c r="G210" s="9">
        <v>0.97796332691751398</v>
      </c>
      <c r="H210" s="8"/>
      <c r="I210" s="29">
        <v>2093.0568534652198</v>
      </c>
      <c r="J210" s="30">
        <v>0.42107168505103099</v>
      </c>
      <c r="K210" s="29">
        <v>658.42150709761495</v>
      </c>
      <c r="L210" s="30">
        <v>1.17581558674607E-2</v>
      </c>
      <c r="M210" s="30">
        <v>24.773918846859999</v>
      </c>
      <c r="N210" s="30">
        <v>58.9358346311028</v>
      </c>
      <c r="O210" s="30">
        <v>8.1083907605417291</v>
      </c>
      <c r="P210" s="30">
        <v>37.482878961114203</v>
      </c>
      <c r="Q210" s="30">
        <v>20.227370382478099</v>
      </c>
      <c r="R210" s="30">
        <v>1.5388927127822301</v>
      </c>
      <c r="S210" s="30">
        <v>45.450142758218398</v>
      </c>
      <c r="T210" s="30">
        <v>11.5488223792656</v>
      </c>
      <c r="U210" s="30">
        <v>86.191835036708</v>
      </c>
      <c r="V210" s="30">
        <v>17.713841777636699</v>
      </c>
      <c r="W210" s="30">
        <v>45.694960374457402</v>
      </c>
      <c r="X210" s="30">
        <v>5.2418853918804897</v>
      </c>
      <c r="Y210" s="30">
        <v>28.884933351413601</v>
      </c>
      <c r="Z210" s="30">
        <v>3.3139312252139201</v>
      </c>
      <c r="AA210" s="30">
        <v>-1.2368424474908E-3</v>
      </c>
      <c r="AB210" s="30">
        <v>-4.1100252693781298E-4</v>
      </c>
      <c r="AC210" s="30">
        <v>1.1928729601621999</v>
      </c>
      <c r="AD210" s="30">
        <v>-0.14058885876225299</v>
      </c>
      <c r="AE210" s="30">
        <v>3.09184518517207E-2</v>
      </c>
      <c r="AF210" s="30">
        <v>5.1320773633016898</v>
      </c>
    </row>
    <row r="211" spans="1:32" s="2" customFormat="1">
      <c r="A211" s="23" t="s">
        <v>27</v>
      </c>
      <c r="B211" s="8" t="s">
        <v>235</v>
      </c>
      <c r="C211" s="9">
        <v>1.3872917767185999</v>
      </c>
      <c r="D211" s="9">
        <v>0.10092788330237</v>
      </c>
      <c r="E211" s="9">
        <v>0.42453780124109097</v>
      </c>
      <c r="F211" s="9">
        <v>1.8821136480957099E-2</v>
      </c>
      <c r="G211" s="9">
        <v>0.54490057961860605</v>
      </c>
      <c r="H211" s="8"/>
      <c r="I211" s="29">
        <v>7927.1134142697301</v>
      </c>
      <c r="J211" s="30">
        <v>4.2225889490631302E-2</v>
      </c>
      <c r="K211" s="29">
        <v>12886.1053796736</v>
      </c>
      <c r="L211" s="30">
        <v>2.5921079216260799E-3</v>
      </c>
      <c r="M211" s="30">
        <v>315.006820770758</v>
      </c>
      <c r="N211" s="30">
        <v>952.58241686344797</v>
      </c>
      <c r="O211" s="30">
        <v>148.433688616252</v>
      </c>
      <c r="P211" s="30">
        <v>793.76527827537097</v>
      </c>
      <c r="Q211" s="30">
        <v>451.40094585115901</v>
      </c>
      <c r="R211" s="30">
        <v>25.739619189383699</v>
      </c>
      <c r="S211" s="30">
        <v>983.46621176036899</v>
      </c>
      <c r="T211" s="30">
        <v>223.53877842982899</v>
      </c>
      <c r="U211" s="30">
        <v>1675.8611584687501</v>
      </c>
      <c r="V211" s="30">
        <v>355.42338857157699</v>
      </c>
      <c r="W211" s="30">
        <v>997.87015016661701</v>
      </c>
      <c r="X211" s="30">
        <v>130.435059075114</v>
      </c>
      <c r="Y211" s="30">
        <v>810.56207578294504</v>
      </c>
      <c r="Z211" s="30">
        <v>105.94812312506301</v>
      </c>
      <c r="AA211" s="30">
        <v>0.12933382056526899</v>
      </c>
      <c r="AB211" s="30">
        <v>3.8528619560017498E-2</v>
      </c>
      <c r="AC211" s="30">
        <v>0.21748394129181101</v>
      </c>
      <c r="AD211" s="30">
        <v>57.452570067342599</v>
      </c>
      <c r="AE211" s="30">
        <v>8.8287122678613592</v>
      </c>
      <c r="AF211" s="30">
        <v>17.3400511948076</v>
      </c>
    </row>
    <row r="212" spans="1:32" s="1" customFormat="1">
      <c r="A212" s="23"/>
      <c r="B212" s="23"/>
      <c r="C212" s="24"/>
      <c r="D212" s="24"/>
      <c r="E212" s="24"/>
      <c r="F212" s="24"/>
      <c r="G212" s="24"/>
      <c r="H212" s="23"/>
      <c r="I212" s="27"/>
      <c r="J212" s="28"/>
      <c r="K212" s="27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  <row r="213" spans="1:32" s="2" customFormat="1">
      <c r="A213" s="23" t="s">
        <v>36</v>
      </c>
      <c r="B213" s="8" t="s">
        <v>309</v>
      </c>
      <c r="C213" s="9">
        <v>1.4699844991540301</v>
      </c>
      <c r="D213" s="9">
        <v>8.0501849046549404E-2</v>
      </c>
      <c r="E213" s="9">
        <v>0.36599477345595499</v>
      </c>
      <c r="F213" s="9">
        <v>1.2526114197212E-2</v>
      </c>
      <c r="G213" s="9">
        <v>0.39625328779077101</v>
      </c>
      <c r="H213" s="8"/>
      <c r="I213" s="29">
        <v>2646.9572003745702</v>
      </c>
      <c r="J213" s="30">
        <v>0.44227371482511302</v>
      </c>
      <c r="K213" s="29">
        <v>614.91933346794406</v>
      </c>
      <c r="L213" s="30">
        <v>-3.0514545877971199E-3</v>
      </c>
      <c r="M213" s="30">
        <v>31.038792154563598</v>
      </c>
      <c r="N213" s="30">
        <v>89.420274965772407</v>
      </c>
      <c r="O213" s="30">
        <v>15.805979647079701</v>
      </c>
      <c r="P213" s="30">
        <v>107.466609067666</v>
      </c>
      <c r="Q213" s="30">
        <v>52.3876867340378</v>
      </c>
      <c r="R213" s="30">
        <v>24.060999173900999</v>
      </c>
      <c r="S213" s="30">
        <v>102.749547332338</v>
      </c>
      <c r="T213" s="30">
        <v>16.908911391023</v>
      </c>
      <c r="U213" s="30">
        <v>107.544382717373</v>
      </c>
      <c r="V213" s="30">
        <v>23.067572330949101</v>
      </c>
      <c r="W213" s="30">
        <v>60.076042046364599</v>
      </c>
      <c r="X213" s="30">
        <v>7.16463004508637</v>
      </c>
      <c r="Y213" s="30">
        <v>42.625429888943998</v>
      </c>
      <c r="Z213" s="30">
        <v>6.2181927828904797</v>
      </c>
      <c r="AA213" s="30">
        <v>-7.37649968313024E-4</v>
      </c>
      <c r="AB213" s="30">
        <v>-6.3194422314505295E-4</v>
      </c>
      <c r="AC213" s="30">
        <v>0.348494840711289</v>
      </c>
      <c r="AD213" s="30">
        <v>0.317205109711719</v>
      </c>
      <c r="AE213" s="30">
        <v>4.7959324512561103</v>
      </c>
      <c r="AF213" s="30">
        <v>4.88832014914124</v>
      </c>
    </row>
    <row r="214" spans="1:32" s="2" customFormat="1">
      <c r="A214" s="23" t="s">
        <v>36</v>
      </c>
      <c r="B214" s="8" t="s">
        <v>310</v>
      </c>
      <c r="C214" s="9">
        <v>1.55874334081997</v>
      </c>
      <c r="D214" s="9">
        <v>8.2933120825958398E-2</v>
      </c>
      <c r="E214" s="9">
        <v>0.28053548257073602</v>
      </c>
      <c r="F214" s="9">
        <v>8.4598030691201507E-3</v>
      </c>
      <c r="G214" s="9">
        <v>0.51764856224317701</v>
      </c>
      <c r="H214" s="8"/>
      <c r="I214" s="29">
        <v>2518.2193156262201</v>
      </c>
      <c r="J214" s="30">
        <v>0.28517463258839798</v>
      </c>
      <c r="K214" s="29">
        <v>803.416941440247</v>
      </c>
      <c r="L214" s="30">
        <v>-5.3754444616148297E-3</v>
      </c>
      <c r="M214" s="30">
        <v>53.4858737800539</v>
      </c>
      <c r="N214" s="30">
        <v>152.199044036733</v>
      </c>
      <c r="O214" s="30">
        <v>26.182407980192199</v>
      </c>
      <c r="P214" s="30">
        <v>171.06540555134899</v>
      </c>
      <c r="Q214" s="30">
        <v>74.610585328244397</v>
      </c>
      <c r="R214" s="30">
        <v>19.241560855764099</v>
      </c>
      <c r="S214" s="30">
        <v>136.65947334995201</v>
      </c>
      <c r="T214" s="30">
        <v>21.655714891797601</v>
      </c>
      <c r="U214" s="30">
        <v>136.48528370823101</v>
      </c>
      <c r="V214" s="30">
        <v>29.597363971325901</v>
      </c>
      <c r="W214" s="30">
        <v>78.264296903297407</v>
      </c>
      <c r="X214" s="30">
        <v>9.67279476374787</v>
      </c>
      <c r="Y214" s="30">
        <v>57.1248016011385</v>
      </c>
      <c r="Z214" s="30">
        <v>7.8523656110788398</v>
      </c>
      <c r="AA214" s="30">
        <v>2.2990628424166002E-3</v>
      </c>
      <c r="AB214" s="30">
        <v>2.3962183377954E-3</v>
      </c>
      <c r="AC214" s="30">
        <v>0.13950835133410699</v>
      </c>
      <c r="AD214" s="30">
        <v>0.45813792988804403</v>
      </c>
      <c r="AE214" s="30">
        <v>9.5691868230520498</v>
      </c>
      <c r="AF214" s="30">
        <v>7.5693103237792796</v>
      </c>
    </row>
    <row r="215" spans="1:32" s="2" customFormat="1">
      <c r="A215" s="23" t="s">
        <v>36</v>
      </c>
      <c r="B215" s="8" t="s">
        <v>311</v>
      </c>
      <c r="C215" s="9">
        <v>1.65222884043735</v>
      </c>
      <c r="D215" s="9">
        <v>8.4909502938793596E-2</v>
      </c>
      <c r="E215" s="9">
        <v>0.22667284489814599</v>
      </c>
      <c r="F215" s="9">
        <v>5.5892727171212098E-3</v>
      </c>
      <c r="G215" s="9">
        <v>0.53320918513842097</v>
      </c>
      <c r="H215" s="8"/>
      <c r="I215" s="29">
        <v>2875.9982345409398</v>
      </c>
      <c r="J215" s="30">
        <v>0.54886378480682996</v>
      </c>
      <c r="K215" s="29">
        <v>1248.39081526987</v>
      </c>
      <c r="L215" s="30">
        <v>4.5391934181168497E-3</v>
      </c>
      <c r="M215" s="30">
        <v>112.30174949163499</v>
      </c>
      <c r="N215" s="30">
        <v>333.831332499665</v>
      </c>
      <c r="O215" s="30">
        <v>57.869478614040901</v>
      </c>
      <c r="P215" s="30">
        <v>365.75328751764999</v>
      </c>
      <c r="Q215" s="30">
        <v>144.84980896943401</v>
      </c>
      <c r="R215" s="30">
        <v>31.117950073151</v>
      </c>
      <c r="S215" s="30">
        <v>235.76082483829501</v>
      </c>
      <c r="T215" s="30">
        <v>36.532352154537598</v>
      </c>
      <c r="U215" s="30">
        <v>227.107636562333</v>
      </c>
      <c r="V215" s="30">
        <v>46.061323943095999</v>
      </c>
      <c r="W215" s="30">
        <v>119.75599580088</v>
      </c>
      <c r="X215" s="30">
        <v>14.015181504124399</v>
      </c>
      <c r="Y215" s="30">
        <v>81.878714048551302</v>
      </c>
      <c r="Z215" s="30">
        <v>10.700979734674499</v>
      </c>
      <c r="AA215" s="30">
        <v>9.9031442951418497E-2</v>
      </c>
      <c r="AB215" s="30">
        <v>4.9661688891712496E-3</v>
      </c>
      <c r="AC215" s="30">
        <v>6.38488758732806E-2</v>
      </c>
      <c r="AD215" s="30">
        <v>1.2241510522852199</v>
      </c>
      <c r="AE215" s="30">
        <v>24.1284744059605</v>
      </c>
      <c r="AF215" s="30">
        <v>15.782863574058799</v>
      </c>
    </row>
    <row r="216" spans="1:32" s="2" customFormat="1">
      <c r="A216" s="23" t="s">
        <v>36</v>
      </c>
      <c r="B216" s="8" t="s">
        <v>321</v>
      </c>
      <c r="C216" s="9">
        <v>1.7030129548867301</v>
      </c>
      <c r="D216" s="9">
        <v>9.16561645033869E-2</v>
      </c>
      <c r="E216" s="9">
        <v>0.27065283169416698</v>
      </c>
      <c r="F216" s="9">
        <v>7.2940704339775897E-3</v>
      </c>
      <c r="G216" s="9">
        <v>0.40993174719201902</v>
      </c>
      <c r="H216" s="8"/>
      <c r="I216" s="29">
        <v>2627.6871753809301</v>
      </c>
      <c r="J216" s="30">
        <v>1.9017197620600399</v>
      </c>
      <c r="K216" s="29">
        <v>912.68756698935795</v>
      </c>
      <c r="L216" s="30">
        <v>-5.3928283086576703E-3</v>
      </c>
      <c r="M216" s="30">
        <v>86.891375881315398</v>
      </c>
      <c r="N216" s="30">
        <v>254.82377655377601</v>
      </c>
      <c r="O216" s="30">
        <v>43.017445176245502</v>
      </c>
      <c r="P216" s="30">
        <v>269.87014332017299</v>
      </c>
      <c r="Q216" s="30">
        <v>107.27022555826299</v>
      </c>
      <c r="R216" s="30">
        <v>24.020814648394602</v>
      </c>
      <c r="S216" s="30">
        <v>175.17541699816101</v>
      </c>
      <c r="T216" s="30">
        <v>26.7109139783181</v>
      </c>
      <c r="U216" s="30">
        <v>165.28329713189399</v>
      </c>
      <c r="V216" s="30">
        <v>34.208828466591697</v>
      </c>
      <c r="W216" s="30">
        <v>88.331088147315597</v>
      </c>
      <c r="X216" s="30">
        <v>10.314820327633599</v>
      </c>
      <c r="Y216" s="30">
        <v>59.203448244832998</v>
      </c>
      <c r="Z216" s="30">
        <v>7.9353419610169302</v>
      </c>
      <c r="AA216" s="30">
        <v>-7.5691445862353002E-4</v>
      </c>
      <c r="AB216" s="30">
        <v>4.58515011060382E-3</v>
      </c>
      <c r="AC216" s="30">
        <v>0.79404918398091995</v>
      </c>
      <c r="AD216" s="30">
        <v>1.2035622042518801</v>
      </c>
      <c r="AE216" s="30">
        <v>12.746510841435001</v>
      </c>
      <c r="AF216" s="30">
        <v>9.2613197641681193</v>
      </c>
    </row>
    <row r="217" spans="1:32" s="2" customFormat="1">
      <c r="A217" s="23" t="s">
        <v>36</v>
      </c>
      <c r="B217" s="8" t="s">
        <v>322</v>
      </c>
      <c r="C217" s="9">
        <v>1.5795609297395301</v>
      </c>
      <c r="D217" s="9">
        <v>8.0452929631365994E-2</v>
      </c>
      <c r="E217" s="9">
        <v>0.236141951655122</v>
      </c>
      <c r="F217" s="9">
        <v>5.5501831164774598E-3</v>
      </c>
      <c r="G217" s="9">
        <v>0.44956395222316298</v>
      </c>
      <c r="H217" s="8"/>
      <c r="I217" s="29">
        <v>2673.8451744293202</v>
      </c>
      <c r="J217" s="30">
        <v>0.69155176804259</v>
      </c>
      <c r="K217" s="29">
        <v>950.13176580293305</v>
      </c>
      <c r="L217" s="30">
        <v>-5.4250788525843797E-3</v>
      </c>
      <c r="M217" s="30">
        <v>92.499715472084802</v>
      </c>
      <c r="N217" s="30">
        <v>238.233570233308</v>
      </c>
      <c r="O217" s="30">
        <v>35.582262750867898</v>
      </c>
      <c r="P217" s="30">
        <v>190.95246788445201</v>
      </c>
      <c r="Q217" s="30">
        <v>76.877555093705197</v>
      </c>
      <c r="R217" s="30">
        <v>59.883261843428002</v>
      </c>
      <c r="S217" s="30">
        <v>137.66767410068201</v>
      </c>
      <c r="T217" s="30">
        <v>23.596050123774599</v>
      </c>
      <c r="U217" s="30">
        <v>157.471254444773</v>
      </c>
      <c r="V217" s="30">
        <v>34.694577792664397</v>
      </c>
      <c r="W217" s="30">
        <v>95.828798485736598</v>
      </c>
      <c r="X217" s="30">
        <v>11.6830995414724</v>
      </c>
      <c r="Y217" s="30">
        <v>68.535288406158102</v>
      </c>
      <c r="Z217" s="30">
        <v>9.6745388457689607</v>
      </c>
      <c r="AA217" s="30">
        <v>-7.6249464428210397E-4</v>
      </c>
      <c r="AB217" s="30">
        <v>3.9217164375368397E-3</v>
      </c>
      <c r="AC217" s="30">
        <v>0.11423051201180499</v>
      </c>
      <c r="AD217" s="30">
        <v>0.90983937920879898</v>
      </c>
      <c r="AE217" s="30">
        <v>22.805864451771502</v>
      </c>
      <c r="AF217" s="30">
        <v>15.861777735436601</v>
      </c>
    </row>
    <row r="218" spans="1:32" s="2" customFormat="1">
      <c r="A218" s="23" t="s">
        <v>36</v>
      </c>
      <c r="B218" s="8" t="s">
        <v>303</v>
      </c>
      <c r="C218" s="9">
        <v>1.6402057047976499</v>
      </c>
      <c r="D218" s="9">
        <v>8.3219697811156498E-2</v>
      </c>
      <c r="E218" s="9">
        <v>0.268232163511679</v>
      </c>
      <c r="F218" s="9">
        <v>7.1530304461035503E-3</v>
      </c>
      <c r="G218" s="9">
        <v>0.33239585859777498</v>
      </c>
      <c r="H218" s="8"/>
      <c r="I218" s="29">
        <v>2493.8056376988102</v>
      </c>
      <c r="J218" s="30">
        <v>0.47183503767276402</v>
      </c>
      <c r="K218" s="29">
        <v>892.88669560747996</v>
      </c>
      <c r="L218" s="30">
        <v>-5.3197363602415903E-3</v>
      </c>
      <c r="M218" s="30">
        <v>72.182870778788995</v>
      </c>
      <c r="N218" s="30">
        <v>201.503387586049</v>
      </c>
      <c r="O218" s="30">
        <v>33.388033251652203</v>
      </c>
      <c r="P218" s="30">
        <v>208.04551900840499</v>
      </c>
      <c r="Q218" s="30">
        <v>87.435685792923806</v>
      </c>
      <c r="R218" s="30">
        <v>23.2873325601348</v>
      </c>
      <c r="S218" s="30">
        <v>153.646043718437</v>
      </c>
      <c r="T218" s="30">
        <v>25.151922383010898</v>
      </c>
      <c r="U218" s="30">
        <v>156.85613641857401</v>
      </c>
      <c r="V218" s="30">
        <v>32.8161479492884</v>
      </c>
      <c r="W218" s="30">
        <v>85.055252025894305</v>
      </c>
      <c r="X218" s="30">
        <v>10.020456426449099</v>
      </c>
      <c r="Y218" s="30">
        <v>57.542726930721003</v>
      </c>
      <c r="Z218" s="30">
        <v>7.7239109363218903</v>
      </c>
      <c r="AA218" s="30">
        <v>2.4074662634855099E-2</v>
      </c>
      <c r="AB218" s="30">
        <v>1.29023875030141E-3</v>
      </c>
      <c r="AC218" s="30">
        <v>0.100388292349212</v>
      </c>
      <c r="AD218" s="30">
        <v>0.48503942316467502</v>
      </c>
      <c r="AE218" s="30">
        <v>10.795893147763399</v>
      </c>
      <c r="AF218" s="30">
        <v>8.2326185322882708</v>
      </c>
    </row>
    <row r="219" spans="1:32" s="2" customFormat="1">
      <c r="A219" s="23" t="s">
        <v>36</v>
      </c>
      <c r="B219" s="8" t="s">
        <v>304</v>
      </c>
      <c r="C219" s="9">
        <v>1.6413449440555801</v>
      </c>
      <c r="D219" s="9">
        <v>8.2477369737548101E-2</v>
      </c>
      <c r="E219" s="9">
        <v>0.26944900327056298</v>
      </c>
      <c r="F219" s="9">
        <v>7.7718682904550501E-3</v>
      </c>
      <c r="G219" s="9">
        <v>0.31805254527430599</v>
      </c>
      <c r="H219" s="8"/>
      <c r="I219" s="29">
        <v>2389.38343718435</v>
      </c>
      <c r="J219" s="30">
        <v>0.59929230279106005</v>
      </c>
      <c r="K219" s="29">
        <v>1052.99740420884</v>
      </c>
      <c r="L219" s="30">
        <v>1.25276993303753E-2</v>
      </c>
      <c r="M219" s="30">
        <v>58.513778355374299</v>
      </c>
      <c r="N219" s="30">
        <v>171.28787131268101</v>
      </c>
      <c r="O219" s="30">
        <v>29.684018660434599</v>
      </c>
      <c r="P219" s="30">
        <v>196.705431418465</v>
      </c>
      <c r="Q219" s="30">
        <v>88.632071215709004</v>
      </c>
      <c r="R219" s="30">
        <v>21.287673343744999</v>
      </c>
      <c r="S219" s="30">
        <v>163.10689824064801</v>
      </c>
      <c r="T219" s="30">
        <v>27.1961978526198</v>
      </c>
      <c r="U219" s="30">
        <v>176.16369200003899</v>
      </c>
      <c r="V219" s="30">
        <v>37.815056274387103</v>
      </c>
      <c r="W219" s="30">
        <v>101.252964108128</v>
      </c>
      <c r="X219" s="30">
        <v>12.3375380852244</v>
      </c>
      <c r="Y219" s="30">
        <v>73.177017340853396</v>
      </c>
      <c r="Z219" s="30">
        <v>9.79971713401779</v>
      </c>
      <c r="AA219" s="30">
        <v>-7.76945160219411E-4</v>
      </c>
      <c r="AB219" s="30">
        <v>6.6933618065226803E-3</v>
      </c>
      <c r="AC219" s="30">
        <v>0.107468082259343</v>
      </c>
      <c r="AD219" s="30">
        <v>0.59225001551672396</v>
      </c>
      <c r="AE219" s="30">
        <v>11.115912962319401</v>
      </c>
      <c r="AF219" s="30">
        <v>8.4608541015525294</v>
      </c>
    </row>
    <row r="220" spans="1:32" s="2" customFormat="1">
      <c r="A220" s="23" t="s">
        <v>36</v>
      </c>
      <c r="B220" s="8" t="s">
        <v>305</v>
      </c>
      <c r="C220" s="9">
        <v>1.49369320957778</v>
      </c>
      <c r="D220" s="9">
        <v>8.2560409026902995E-2</v>
      </c>
      <c r="E220" s="9">
        <v>0.33136370528977699</v>
      </c>
      <c r="F220" s="9">
        <v>1.6178850560608599E-2</v>
      </c>
      <c r="G220" s="9">
        <v>0.54891511279773197</v>
      </c>
      <c r="H220" s="8"/>
      <c r="I220" s="29">
        <v>2298.3016545247001</v>
      </c>
      <c r="J220" s="30">
        <v>0.56457937734045704</v>
      </c>
      <c r="K220" s="29">
        <v>732.45571422961496</v>
      </c>
      <c r="L220" s="30">
        <v>2.4289467764564501E-2</v>
      </c>
      <c r="M220" s="30">
        <v>60.698937623233299</v>
      </c>
      <c r="N220" s="30">
        <v>174.46651711761399</v>
      </c>
      <c r="O220" s="30">
        <v>29.791535348550301</v>
      </c>
      <c r="P220" s="30">
        <v>187.24910846809601</v>
      </c>
      <c r="Q220" s="30">
        <v>81.118336595772007</v>
      </c>
      <c r="R220" s="30">
        <v>20.145278627015699</v>
      </c>
      <c r="S220" s="30">
        <v>135.80666488115901</v>
      </c>
      <c r="T220" s="30">
        <v>21.364591965010501</v>
      </c>
      <c r="U220" s="30">
        <v>133.75044804525001</v>
      </c>
      <c r="V220" s="30">
        <v>27.136624869441999</v>
      </c>
      <c r="W220" s="30">
        <v>69.675839834512203</v>
      </c>
      <c r="X220" s="30">
        <v>8.1211523294474208</v>
      </c>
      <c r="Y220" s="30">
        <v>47.237609654772299</v>
      </c>
      <c r="Z220" s="30">
        <v>6.1835634059943496</v>
      </c>
      <c r="AA220" s="30">
        <v>-7.6329210909427099E-4</v>
      </c>
      <c r="AB220" s="30">
        <v>-3.6018243897771801E-4</v>
      </c>
      <c r="AC220" s="30">
        <v>0.16878722614225899</v>
      </c>
      <c r="AD220" s="30">
        <v>0.45173084514821599</v>
      </c>
      <c r="AE220" s="30">
        <v>6.3073983715505397</v>
      </c>
      <c r="AF220" s="30">
        <v>5.7542202346100799</v>
      </c>
    </row>
    <row r="221" spans="1:32" s="2" customFormat="1">
      <c r="A221" s="23" t="s">
        <v>36</v>
      </c>
      <c r="B221" s="8" t="s">
        <v>312</v>
      </c>
      <c r="C221" s="9">
        <v>0.95883414512984</v>
      </c>
      <c r="D221" s="9">
        <v>5.78298286397224E-2</v>
      </c>
      <c r="E221" s="9">
        <v>0.61626303133856297</v>
      </c>
      <c r="F221" s="9">
        <v>2.60257902577802E-2</v>
      </c>
      <c r="G221" s="9">
        <v>0.50474992166371602</v>
      </c>
      <c r="H221" s="8"/>
      <c r="I221" s="29">
        <v>2228.5169135218598</v>
      </c>
      <c r="J221" s="30">
        <v>0.53181757888207404</v>
      </c>
      <c r="K221" s="29">
        <v>469.82936708454503</v>
      </c>
      <c r="L221" s="30">
        <v>6.1275038692413901E-3</v>
      </c>
      <c r="M221" s="30">
        <v>20.715681559771799</v>
      </c>
      <c r="N221" s="30">
        <v>60.131990124339701</v>
      </c>
      <c r="O221" s="30">
        <v>11.0991282409012</v>
      </c>
      <c r="P221" s="30">
        <v>76.121108958560797</v>
      </c>
      <c r="Q221" s="30">
        <v>35.874145123668697</v>
      </c>
      <c r="R221" s="30">
        <v>10.7774464616366</v>
      </c>
      <c r="S221" s="30">
        <v>72.110853834775099</v>
      </c>
      <c r="T221" s="30">
        <v>12.072014028619099</v>
      </c>
      <c r="U221" s="30">
        <v>79.777414573902007</v>
      </c>
      <c r="V221" s="30">
        <v>17.348677856062601</v>
      </c>
      <c r="W221" s="30">
        <v>46.4893117773074</v>
      </c>
      <c r="X221" s="30">
        <v>5.3300787786170201</v>
      </c>
      <c r="Y221" s="30">
        <v>30.7308429956067</v>
      </c>
      <c r="Z221" s="30">
        <v>4.0699919422922504</v>
      </c>
      <c r="AA221" s="30">
        <v>-7.5993061936628105E-4</v>
      </c>
      <c r="AB221" s="30">
        <v>-6.3276609241303295E-4</v>
      </c>
      <c r="AC221" s="30">
        <v>0.77104221760388703</v>
      </c>
      <c r="AD221" s="30">
        <v>9.7949241585486999E-2</v>
      </c>
      <c r="AE221" s="30">
        <v>1.48142417342135</v>
      </c>
      <c r="AF221" s="30">
        <v>3.6318657661087101</v>
      </c>
    </row>
    <row r="222" spans="1:32" s="2" customFormat="1">
      <c r="A222" s="23" t="s">
        <v>36</v>
      </c>
      <c r="B222" s="8" t="s">
        <v>313</v>
      </c>
      <c r="C222" s="9">
        <v>1.81195023672473</v>
      </c>
      <c r="D222" s="9">
        <v>8.96957297637518E-2</v>
      </c>
      <c r="E222" s="9">
        <v>0.217389653510486</v>
      </c>
      <c r="F222" s="9">
        <v>4.4076638077776399E-3</v>
      </c>
      <c r="G222" s="9">
        <v>0.52633615547597101</v>
      </c>
      <c r="H222" s="8"/>
      <c r="I222" s="29">
        <v>2719.5042796156599</v>
      </c>
      <c r="J222" s="30">
        <v>0.82004713462377599</v>
      </c>
      <c r="K222" s="29">
        <v>1285.09268324394</v>
      </c>
      <c r="L222" s="30">
        <v>-5.9500783396958896E-4</v>
      </c>
      <c r="M222" s="30">
        <v>104.37603819540401</v>
      </c>
      <c r="N222" s="30">
        <v>287.47411370132397</v>
      </c>
      <c r="O222" s="30">
        <v>43.866348827908297</v>
      </c>
      <c r="P222" s="30">
        <v>243.584695766755</v>
      </c>
      <c r="Q222" s="30">
        <v>99.759396184722505</v>
      </c>
      <c r="R222" s="30">
        <v>27.832115829094501</v>
      </c>
      <c r="S222" s="30">
        <v>172.72551538935701</v>
      </c>
      <c r="T222" s="30">
        <v>30.895635091016999</v>
      </c>
      <c r="U222" s="30">
        <v>209.89908332087001</v>
      </c>
      <c r="V222" s="30">
        <v>45.204218877125399</v>
      </c>
      <c r="W222" s="30">
        <v>125.921059174468</v>
      </c>
      <c r="X222" s="30">
        <v>16.165557878244002</v>
      </c>
      <c r="Y222" s="30">
        <v>97.904660670753202</v>
      </c>
      <c r="Z222" s="30">
        <v>13.298289521021299</v>
      </c>
      <c r="AA222" s="30">
        <v>-7.6092594014326605E-4</v>
      </c>
      <c r="AB222" s="30">
        <v>4.2874662207265197E-3</v>
      </c>
      <c r="AC222" s="30">
        <v>9.1224660182569903E-2</v>
      </c>
      <c r="AD222" s="30">
        <v>1.76833006474225</v>
      </c>
      <c r="AE222" s="30">
        <v>32.876575512971499</v>
      </c>
      <c r="AF222" s="30">
        <v>20.4536616731374</v>
      </c>
    </row>
    <row r="223" spans="1:32" s="2" customFormat="1">
      <c r="A223" s="23" t="s">
        <v>36</v>
      </c>
      <c r="B223" s="8" t="s">
        <v>314</v>
      </c>
      <c r="C223" s="9">
        <v>1.34651579423655</v>
      </c>
      <c r="D223" s="9">
        <v>7.15135613332155E-2</v>
      </c>
      <c r="E223" s="9">
        <v>0.40893857700488501</v>
      </c>
      <c r="F223" s="9">
        <v>1.6068254952766099E-2</v>
      </c>
      <c r="G223" s="9">
        <v>0.36841514766458799</v>
      </c>
      <c r="H223" s="8"/>
      <c r="I223" s="29">
        <v>2673.7749626442301</v>
      </c>
      <c r="J223" s="30">
        <v>0.49532124307049202</v>
      </c>
      <c r="K223" s="29">
        <v>782.97832950826898</v>
      </c>
      <c r="L223" s="30">
        <v>2.1353956404752902E-2</v>
      </c>
      <c r="M223" s="30">
        <v>16.2121224609925</v>
      </c>
      <c r="N223" s="30">
        <v>50.8466334779188</v>
      </c>
      <c r="O223" s="30">
        <v>9.5534189810626504</v>
      </c>
      <c r="P223" s="30">
        <v>66.100580992251906</v>
      </c>
      <c r="Q223" s="30">
        <v>41.824095030153302</v>
      </c>
      <c r="R223" s="30">
        <v>23.251819930867399</v>
      </c>
      <c r="S223" s="30">
        <v>100.991599704115</v>
      </c>
      <c r="T223" s="30">
        <v>18.133604559831699</v>
      </c>
      <c r="U223" s="30">
        <v>125.446646099687</v>
      </c>
      <c r="V223" s="30">
        <v>27.689763479855699</v>
      </c>
      <c r="W223" s="30">
        <v>76.313968142493096</v>
      </c>
      <c r="X223" s="30">
        <v>9.2595744401460394</v>
      </c>
      <c r="Y223" s="30">
        <v>55.411719196910397</v>
      </c>
      <c r="Z223" s="30">
        <v>7.7660333205527596</v>
      </c>
      <c r="AA223" s="30">
        <v>-7.5664843650824595E-4</v>
      </c>
      <c r="AB223" s="30">
        <v>-3.49702522399844E-4</v>
      </c>
      <c r="AC223" s="30">
        <v>0.29211595524870898</v>
      </c>
      <c r="AD223" s="30">
        <v>0.239809903528067</v>
      </c>
      <c r="AE223" s="30">
        <v>3.4428794724535998</v>
      </c>
      <c r="AF223" s="30">
        <v>4.3803493830025797</v>
      </c>
    </row>
    <row r="224" spans="1:32" s="2" customFormat="1">
      <c r="A224" s="23" t="s">
        <v>36</v>
      </c>
      <c r="B224" s="8" t="s">
        <v>315</v>
      </c>
      <c r="C224" s="9">
        <v>1.7938357209040801</v>
      </c>
      <c r="D224" s="9">
        <v>8.7131268041010804E-2</v>
      </c>
      <c r="E224" s="9">
        <v>0.21612022626588001</v>
      </c>
      <c r="F224" s="9">
        <v>4.0943271273146502E-3</v>
      </c>
      <c r="G224" s="9">
        <v>0.54427283879945598</v>
      </c>
      <c r="H224" s="8"/>
      <c r="I224" s="29">
        <v>3119.0773841024902</v>
      </c>
      <c r="J224" s="30">
        <v>0.672303210310076</v>
      </c>
      <c r="K224" s="29">
        <v>1697.36295881873</v>
      </c>
      <c r="L224" s="30">
        <v>-5.3802331409184296E-3</v>
      </c>
      <c r="M224" s="30">
        <v>166.12698192250099</v>
      </c>
      <c r="N224" s="30">
        <v>493.94074354236398</v>
      </c>
      <c r="O224" s="30">
        <v>83.047517155187506</v>
      </c>
      <c r="P224" s="30">
        <v>495.77921750615201</v>
      </c>
      <c r="Q224" s="30">
        <v>195.27331311173799</v>
      </c>
      <c r="R224" s="30">
        <v>33.098958323798698</v>
      </c>
      <c r="S224" s="30">
        <v>297.39527078271198</v>
      </c>
      <c r="T224" s="30">
        <v>47.7357387043496</v>
      </c>
      <c r="U224" s="30">
        <v>300.75409770978598</v>
      </c>
      <c r="V224" s="30">
        <v>62.312506560513</v>
      </c>
      <c r="W224" s="30">
        <v>164.56940794811399</v>
      </c>
      <c r="X224" s="30">
        <v>20.548630578931899</v>
      </c>
      <c r="Y224" s="30">
        <v>122.438943992251</v>
      </c>
      <c r="Z224" s="30">
        <v>16.345701490864599</v>
      </c>
      <c r="AA224" s="30">
        <v>5.7299347529924799E-3</v>
      </c>
      <c r="AB224" s="30">
        <v>4.2144932718142999E-3</v>
      </c>
      <c r="AC224" s="30">
        <v>2.8908801211038601E-2</v>
      </c>
      <c r="AD224" s="30">
        <v>1.9511477524837999</v>
      </c>
      <c r="AE224" s="30">
        <v>47.781841990855099</v>
      </c>
      <c r="AF224" s="30">
        <v>29.096871623924802</v>
      </c>
    </row>
    <row r="225" spans="1:32" s="2" customFormat="1">
      <c r="A225" s="23" t="s">
        <v>36</v>
      </c>
      <c r="B225" s="8" t="s">
        <v>306</v>
      </c>
      <c r="C225" s="9">
        <v>1.7213419632639499</v>
      </c>
      <c r="D225" s="9">
        <v>8.2788882686096896E-2</v>
      </c>
      <c r="E225" s="9">
        <v>0.22256188702573601</v>
      </c>
      <c r="F225" s="9">
        <v>5.0791839506474697E-3</v>
      </c>
      <c r="G225" s="9">
        <v>0.43479190453218902</v>
      </c>
      <c r="H225" s="8"/>
      <c r="I225" s="29">
        <v>2675.83944388086</v>
      </c>
      <c r="J225" s="30">
        <v>1.4785779795893801</v>
      </c>
      <c r="K225" s="29">
        <v>1044.92591751189</v>
      </c>
      <c r="L225" s="30">
        <v>6.13639739153422E-3</v>
      </c>
      <c r="M225" s="30">
        <v>125.621873469064</v>
      </c>
      <c r="N225" s="30">
        <v>313.400508089384</v>
      </c>
      <c r="O225" s="30">
        <v>44.604121003216598</v>
      </c>
      <c r="P225" s="30">
        <v>229.05952210907299</v>
      </c>
      <c r="Q225" s="30">
        <v>88.601273606063202</v>
      </c>
      <c r="R225" s="30">
        <v>36.758564805475203</v>
      </c>
      <c r="S225" s="30">
        <v>151.34787921853399</v>
      </c>
      <c r="T225" s="30">
        <v>27.0310091772885</v>
      </c>
      <c r="U225" s="30">
        <v>177.64160642477799</v>
      </c>
      <c r="V225" s="30">
        <v>38.394723426208202</v>
      </c>
      <c r="W225" s="30">
        <v>103.64426623369</v>
      </c>
      <c r="X225" s="30">
        <v>12.7300498931068</v>
      </c>
      <c r="Y225" s="30">
        <v>76.654358480206696</v>
      </c>
      <c r="Z225" s="30">
        <v>10.4082038938077</v>
      </c>
      <c r="AA225" s="30">
        <v>0.20063862509785399</v>
      </c>
      <c r="AB225" s="30">
        <v>5.1965061516244899E-3</v>
      </c>
      <c r="AC225" s="30">
        <v>7.5987748249604803E-2</v>
      </c>
      <c r="AD225" s="30">
        <v>0.85085661328776696</v>
      </c>
      <c r="AE225" s="30">
        <v>26.248178135263501</v>
      </c>
      <c r="AF225" s="30">
        <v>17.1687426405731</v>
      </c>
    </row>
    <row r="226" spans="1:32" s="2" customFormat="1">
      <c r="A226" s="23" t="s">
        <v>36</v>
      </c>
      <c r="B226" s="8" t="s">
        <v>316</v>
      </c>
      <c r="C226" s="9">
        <v>1.50149100034858</v>
      </c>
      <c r="D226" s="9">
        <v>8.0091488278784095E-2</v>
      </c>
      <c r="E226" s="9">
        <v>0.30210015801552698</v>
      </c>
      <c r="F226" s="9">
        <v>1.18450285291698E-2</v>
      </c>
      <c r="G226" s="9">
        <v>0.466092680275905</v>
      </c>
      <c r="H226" s="8"/>
      <c r="I226" s="29">
        <v>2383.3201785079</v>
      </c>
      <c r="J226" s="30">
        <v>0.29391404524481002</v>
      </c>
      <c r="K226" s="29">
        <v>811.69837795092599</v>
      </c>
      <c r="L226" s="30">
        <v>1.89491627726113E-2</v>
      </c>
      <c r="M226" s="30">
        <v>32.596436041832803</v>
      </c>
      <c r="N226" s="30">
        <v>100.372383267898</v>
      </c>
      <c r="O226" s="30">
        <v>18.173605187517801</v>
      </c>
      <c r="P226" s="30">
        <v>121.719009586985</v>
      </c>
      <c r="Q226" s="30">
        <v>59.884557957414302</v>
      </c>
      <c r="R226" s="30">
        <v>21.790345364533</v>
      </c>
      <c r="S226" s="30">
        <v>114.17465159618899</v>
      </c>
      <c r="T226" s="30">
        <v>19.661591425967199</v>
      </c>
      <c r="U226" s="30">
        <v>129.888933145251</v>
      </c>
      <c r="V226" s="30">
        <v>28.9662456459826</v>
      </c>
      <c r="W226" s="30">
        <v>80.181931315834106</v>
      </c>
      <c r="X226" s="30">
        <v>10.059297378905001</v>
      </c>
      <c r="Y226" s="30">
        <v>60.414577601591297</v>
      </c>
      <c r="Z226" s="30">
        <v>8.2848651738708501</v>
      </c>
      <c r="AA226" s="30">
        <v>4.5066133677010199E-2</v>
      </c>
      <c r="AB226" s="30">
        <v>4.9797455246273603E-4</v>
      </c>
      <c r="AC226" s="30">
        <v>7.2903866660834996E-2</v>
      </c>
      <c r="AD226" s="30">
        <v>0.66626173471880001</v>
      </c>
      <c r="AE226" s="30">
        <v>6.9482517807362001</v>
      </c>
      <c r="AF226" s="30">
        <v>5.9424366451127701</v>
      </c>
    </row>
    <row r="227" spans="1:32" s="2" customFormat="1">
      <c r="A227" s="23" t="s">
        <v>36</v>
      </c>
      <c r="B227" s="8" t="s">
        <v>317</v>
      </c>
      <c r="C227" s="9">
        <v>1.6101057936648699</v>
      </c>
      <c r="D227" s="9">
        <v>8.0804690558493403E-2</v>
      </c>
      <c r="E227" s="9">
        <v>0.24514368804224501</v>
      </c>
      <c r="F227" s="9">
        <v>6.1390870279163304E-3</v>
      </c>
      <c r="G227" s="9">
        <v>0.50429701498082602</v>
      </c>
      <c r="H227" s="8"/>
      <c r="I227" s="29">
        <v>2650.8013822835801</v>
      </c>
      <c r="J227" s="30">
        <v>0.82655761569446895</v>
      </c>
      <c r="K227" s="29">
        <v>836.42912225452403</v>
      </c>
      <c r="L227" s="30">
        <v>2.89444503682139E-2</v>
      </c>
      <c r="M227" s="30">
        <v>83.826599400015795</v>
      </c>
      <c r="N227" s="30">
        <v>259.29100584840597</v>
      </c>
      <c r="O227" s="30">
        <v>43.607834969290799</v>
      </c>
      <c r="P227" s="30">
        <v>258.38202334004001</v>
      </c>
      <c r="Q227" s="30">
        <v>97.377661831445394</v>
      </c>
      <c r="R227" s="30">
        <v>23.7953406150849</v>
      </c>
      <c r="S227" s="30">
        <v>150.38342550105901</v>
      </c>
      <c r="T227" s="30">
        <v>23.7824573602933</v>
      </c>
      <c r="U227" s="30">
        <v>149.959676328809</v>
      </c>
      <c r="V227" s="30">
        <v>31.4926906308649</v>
      </c>
      <c r="W227" s="30">
        <v>83.386652391093705</v>
      </c>
      <c r="X227" s="30">
        <v>9.6385944310613798</v>
      </c>
      <c r="Y227" s="30">
        <v>54.1724488286171</v>
      </c>
      <c r="Z227" s="30">
        <v>7.1525795719333898</v>
      </c>
      <c r="AA227" s="30">
        <v>1.9785557572010198E-2</v>
      </c>
      <c r="AB227" s="30">
        <v>9.0564218310986103E-3</v>
      </c>
      <c r="AC227" s="30">
        <v>0.194379877300244</v>
      </c>
      <c r="AD227" s="30">
        <v>0.457824786760896</v>
      </c>
      <c r="AE227" s="30">
        <v>15.2914322593757</v>
      </c>
      <c r="AF227" s="30">
        <v>10.8036141993791</v>
      </c>
    </row>
    <row r="228" spans="1:32" s="2" customFormat="1">
      <c r="A228" s="23" t="s">
        <v>36</v>
      </c>
      <c r="B228" s="8" t="s">
        <v>318</v>
      </c>
      <c r="C228" s="9">
        <v>1.3388067607619401</v>
      </c>
      <c r="D228" s="9">
        <v>7.6264226080013098E-2</v>
      </c>
      <c r="E228" s="9">
        <v>0.42080533776969498</v>
      </c>
      <c r="F228" s="9">
        <v>1.4229114865434E-2</v>
      </c>
      <c r="G228" s="9">
        <v>0.41708361278407602</v>
      </c>
      <c r="H228" s="8"/>
      <c r="I228" s="29">
        <v>2381.9036812170598</v>
      </c>
      <c r="J228" s="30">
        <v>0.140166160314601</v>
      </c>
      <c r="K228" s="29">
        <v>679.806408059109</v>
      </c>
      <c r="L228" s="30">
        <v>3.4016694630305003E-2</v>
      </c>
      <c r="M228" s="30">
        <v>13.1925239073221</v>
      </c>
      <c r="N228" s="30">
        <v>45.020677548044297</v>
      </c>
      <c r="O228" s="30">
        <v>9.6093552630919703</v>
      </c>
      <c r="P228" s="30">
        <v>79.088975021406398</v>
      </c>
      <c r="Q228" s="30">
        <v>49.884343140600102</v>
      </c>
      <c r="R228" s="30">
        <v>19.277583612150099</v>
      </c>
      <c r="S228" s="30">
        <v>105.896185355066</v>
      </c>
      <c r="T228" s="30">
        <v>18.094100840269299</v>
      </c>
      <c r="U228" s="30">
        <v>116.963435832044</v>
      </c>
      <c r="V228" s="30">
        <v>25.4382187347349</v>
      </c>
      <c r="W228" s="30">
        <v>67.281509468737497</v>
      </c>
      <c r="X228" s="30">
        <v>7.7095022847339498</v>
      </c>
      <c r="Y228" s="30">
        <v>43.259070301694301</v>
      </c>
      <c r="Z228" s="30">
        <v>5.6548853918173902</v>
      </c>
      <c r="AA228" s="30">
        <v>2.6909498779523E-3</v>
      </c>
      <c r="AB228" s="30">
        <v>-3.1797489593767702E-4</v>
      </c>
      <c r="AC228" s="30">
        <v>1.28082918171301</v>
      </c>
      <c r="AD228" s="30">
        <v>0.21548676643474801</v>
      </c>
      <c r="AE228" s="30">
        <v>3.5348675071795599</v>
      </c>
      <c r="AF228" s="30">
        <v>4.4155476266187996</v>
      </c>
    </row>
    <row r="229" spans="1:32" s="2" customFormat="1">
      <c r="A229" s="23" t="s">
        <v>36</v>
      </c>
      <c r="B229" s="8" t="s">
        <v>319</v>
      </c>
      <c r="C229" s="9">
        <v>1.21645796885851</v>
      </c>
      <c r="D229" s="9">
        <v>7.9068103323725297E-2</v>
      </c>
      <c r="E229" s="9">
        <v>0.46713052671753702</v>
      </c>
      <c r="F229" s="9">
        <v>2.2994765018431899E-2</v>
      </c>
      <c r="G229" s="9">
        <v>0.52073453653663104</v>
      </c>
      <c r="H229" s="8"/>
      <c r="I229" s="29">
        <v>2144.0753212774998</v>
      </c>
      <c r="J229" s="30">
        <v>0.73342310448096104</v>
      </c>
      <c r="K229" s="29">
        <v>551.51539395848397</v>
      </c>
      <c r="L229" s="30">
        <v>4.9320008307024796E-3</v>
      </c>
      <c r="M229" s="30">
        <v>29.553516520175499</v>
      </c>
      <c r="N229" s="30">
        <v>82.916330761701701</v>
      </c>
      <c r="O229" s="30">
        <v>13.5247461746675</v>
      </c>
      <c r="P229" s="30">
        <v>88.856663854977995</v>
      </c>
      <c r="Q229" s="30">
        <v>42.904809339549303</v>
      </c>
      <c r="R229" s="30">
        <v>17.6659513690424</v>
      </c>
      <c r="S229" s="30">
        <v>88.534653573439101</v>
      </c>
      <c r="T229" s="30">
        <v>14.868056416254801</v>
      </c>
      <c r="U229" s="30">
        <v>98.133601710281098</v>
      </c>
      <c r="V229" s="30">
        <v>20.928252526912601</v>
      </c>
      <c r="W229" s="30">
        <v>54.757093040475603</v>
      </c>
      <c r="X229" s="30">
        <v>6.2556454430551396</v>
      </c>
      <c r="Y229" s="30">
        <v>33.077896227826201</v>
      </c>
      <c r="Z229" s="30">
        <v>4.4833804778568602</v>
      </c>
      <c r="AA229" s="30">
        <v>-7.5024946283772998E-4</v>
      </c>
      <c r="AB229" s="30">
        <v>3.44796059587975E-3</v>
      </c>
      <c r="AC229" s="30">
        <v>0.37538813805863003</v>
      </c>
      <c r="AD229" s="30">
        <v>0.19951532910897801</v>
      </c>
      <c r="AE229" s="30">
        <v>2.3111128065110602</v>
      </c>
      <c r="AF229" s="30">
        <v>3.4126894109357702</v>
      </c>
    </row>
    <row r="230" spans="1:32" s="2" customFormat="1">
      <c r="A230" s="23" t="s">
        <v>36</v>
      </c>
      <c r="B230" s="8" t="s">
        <v>307</v>
      </c>
      <c r="C230" s="9">
        <v>1.71406468507682</v>
      </c>
      <c r="D230" s="9">
        <v>8.5293318738069501E-2</v>
      </c>
      <c r="E230" s="9">
        <v>0.224415970051798</v>
      </c>
      <c r="F230" s="9">
        <v>4.5303740650953304E-3</v>
      </c>
      <c r="G230" s="9">
        <v>0.54033078093860598</v>
      </c>
      <c r="H230" s="8"/>
      <c r="I230" s="29">
        <v>2599.8744390838801</v>
      </c>
      <c r="J230" s="30">
        <v>0.83606692280782402</v>
      </c>
      <c r="K230" s="29">
        <v>1028.01786357477</v>
      </c>
      <c r="L230" s="30">
        <v>8.1018586658182599E-3</v>
      </c>
      <c r="M230" s="30">
        <v>168.56189468053699</v>
      </c>
      <c r="N230" s="30">
        <v>376.68393091999502</v>
      </c>
      <c r="O230" s="30">
        <v>48.027827672800399</v>
      </c>
      <c r="P230" s="30">
        <v>226.35411703576401</v>
      </c>
      <c r="Q230" s="30">
        <v>80.8306347027779</v>
      </c>
      <c r="R230" s="30">
        <v>34.723959949753798</v>
      </c>
      <c r="S230" s="30">
        <v>139.72858703192199</v>
      </c>
      <c r="T230" s="30">
        <v>25.0228843947318</v>
      </c>
      <c r="U230" s="30">
        <v>171.21218213015501</v>
      </c>
      <c r="V230" s="30">
        <v>37.5976391185499</v>
      </c>
      <c r="W230" s="30">
        <v>103.16705181633699</v>
      </c>
      <c r="X230" s="30">
        <v>12.826792069825499</v>
      </c>
      <c r="Y230" s="30">
        <v>77.058151562687101</v>
      </c>
      <c r="Z230" s="30">
        <v>10.6501137152878</v>
      </c>
      <c r="AA230" s="30">
        <v>-7.7846232692553E-4</v>
      </c>
      <c r="AB230" s="30">
        <v>-6.2472349804397595E-4</v>
      </c>
      <c r="AC230" s="30">
        <v>0.14905157358989499</v>
      </c>
      <c r="AD230" s="30">
        <v>0.56374953091767799</v>
      </c>
      <c r="AE230" s="30">
        <v>33.423002948112199</v>
      </c>
      <c r="AF230" s="30">
        <v>20.891340527767898</v>
      </c>
    </row>
    <row r="231" spans="1:32" s="2" customFormat="1">
      <c r="A231" s="23" t="s">
        <v>36</v>
      </c>
      <c r="B231" s="8" t="s">
        <v>308</v>
      </c>
      <c r="C231" s="9">
        <v>1.6411322646189701</v>
      </c>
      <c r="D231" s="9">
        <v>7.9901203644243399E-2</v>
      </c>
      <c r="E231" s="9">
        <v>0.229741020642212</v>
      </c>
      <c r="F231" s="9">
        <v>4.7860596840558602E-3</v>
      </c>
      <c r="G231" s="9">
        <v>0.37388171511715002</v>
      </c>
      <c r="H231" s="8"/>
      <c r="I231" s="29">
        <v>2878.1115137496199</v>
      </c>
      <c r="J231" s="30">
        <v>0.14359161502651299</v>
      </c>
      <c r="K231" s="29">
        <v>1235.6667331076201</v>
      </c>
      <c r="L231" s="30">
        <v>-5.3593060336956299E-3</v>
      </c>
      <c r="M231" s="30">
        <v>150.482645650607</v>
      </c>
      <c r="N231" s="30">
        <v>442.61209183842902</v>
      </c>
      <c r="O231" s="30">
        <v>73.273307045542595</v>
      </c>
      <c r="P231" s="30">
        <v>433.81570924504501</v>
      </c>
      <c r="Q231" s="30">
        <v>160.224180493316</v>
      </c>
      <c r="R231" s="30">
        <v>28.220396397937201</v>
      </c>
      <c r="S231" s="30">
        <v>239.960318789447</v>
      </c>
      <c r="T231" s="30">
        <v>37.306073452365901</v>
      </c>
      <c r="U231" s="30">
        <v>224.97638921379701</v>
      </c>
      <c r="V231" s="30">
        <v>46.243656688698302</v>
      </c>
      <c r="W231" s="30">
        <v>120.25110570705399</v>
      </c>
      <c r="X231" s="30">
        <v>14.2165132750829</v>
      </c>
      <c r="Y231" s="30">
        <v>82.495292848864906</v>
      </c>
      <c r="Z231" s="30">
        <v>10.9253520712049</v>
      </c>
      <c r="AA231" s="30">
        <v>6.3218428547104502E-3</v>
      </c>
      <c r="AB231" s="30">
        <v>6.2217048952941199E-3</v>
      </c>
      <c r="AC231" s="30">
        <v>3.5658180349166603E-2</v>
      </c>
      <c r="AD231" s="30">
        <v>1.0640338307372099</v>
      </c>
      <c r="AE231" s="30">
        <v>25.1724859075001</v>
      </c>
      <c r="AF231" s="30">
        <v>17.073429292730498</v>
      </c>
    </row>
    <row r="232" spans="1:32" s="2" customFormat="1">
      <c r="A232" s="23" t="s">
        <v>36</v>
      </c>
      <c r="B232" s="8" t="s">
        <v>320</v>
      </c>
      <c r="C232" s="9">
        <v>1.74650363945083</v>
      </c>
      <c r="D232" s="9">
        <v>8.87701307412017E-2</v>
      </c>
      <c r="E232" s="9">
        <v>0.21932660858546499</v>
      </c>
      <c r="F232" s="9">
        <v>4.6887833909317099E-3</v>
      </c>
      <c r="G232" s="9">
        <v>0.54562827704170302</v>
      </c>
      <c r="H232" s="8"/>
      <c r="I232" s="29">
        <v>2926.88765139819</v>
      </c>
      <c r="J232" s="30">
        <v>0.87755288472151705</v>
      </c>
      <c r="K232" s="29">
        <v>1420.19588909921</v>
      </c>
      <c r="L232" s="30">
        <v>-5.2701286811703899E-3</v>
      </c>
      <c r="M232" s="30">
        <v>121.78904911356599</v>
      </c>
      <c r="N232" s="30">
        <v>376.89136492422699</v>
      </c>
      <c r="O232" s="30">
        <v>61.742033941799903</v>
      </c>
      <c r="P232" s="30">
        <v>341.28371735713603</v>
      </c>
      <c r="Q232" s="30">
        <v>124.999912028784</v>
      </c>
      <c r="R232" s="30">
        <v>47.596339078007198</v>
      </c>
      <c r="S232" s="30">
        <v>209.86555943240199</v>
      </c>
      <c r="T232" s="30">
        <v>35.8827218402649</v>
      </c>
      <c r="U232" s="30">
        <v>235.172552225846</v>
      </c>
      <c r="V232" s="30">
        <v>51.243146009005301</v>
      </c>
      <c r="W232" s="30">
        <v>141.894984738197</v>
      </c>
      <c r="X232" s="30">
        <v>17.294319763304799</v>
      </c>
      <c r="Y232" s="30">
        <v>104.838890770546</v>
      </c>
      <c r="Z232" s="30">
        <v>14.086202036294599</v>
      </c>
      <c r="AA232" s="30">
        <v>1.1428603238268701E-2</v>
      </c>
      <c r="AB232" s="30">
        <v>8.4115749215552902E-3</v>
      </c>
      <c r="AC232" s="30">
        <v>6.1448704739150199E-2</v>
      </c>
      <c r="AD232" s="30">
        <v>1.8621961300424501</v>
      </c>
      <c r="AE232" s="30">
        <v>40.945780316510202</v>
      </c>
      <c r="AF232" s="30">
        <v>25.583233869434501</v>
      </c>
    </row>
    <row r="233" spans="1:32" s="2" customFormat="1">
      <c r="A233" s="23" t="s">
        <v>36</v>
      </c>
      <c r="B233" s="8" t="s">
        <v>418</v>
      </c>
      <c r="C233" s="9">
        <v>1.70065505051048</v>
      </c>
      <c r="D233" s="9">
        <v>8.4684662218959594E-2</v>
      </c>
      <c r="E233" s="9">
        <v>0.24228452868157899</v>
      </c>
      <c r="F233" s="9">
        <v>7.38934844855912E-3</v>
      </c>
      <c r="G233" s="9">
        <v>0.56035465134801898</v>
      </c>
      <c r="H233" s="8"/>
      <c r="I233" s="29">
        <v>2916.9944732206</v>
      </c>
      <c r="J233" s="30">
        <v>5.2607586533496997</v>
      </c>
      <c r="K233" s="29">
        <v>863.783557203746</v>
      </c>
      <c r="L233" s="30">
        <v>2.8566231929317101E-3</v>
      </c>
      <c r="M233" s="30">
        <v>95.422661256352796</v>
      </c>
      <c r="N233" s="30">
        <v>289.97258053775198</v>
      </c>
      <c r="O233" s="30">
        <v>47.6303234324117</v>
      </c>
      <c r="P233" s="30">
        <v>289.73175830295003</v>
      </c>
      <c r="Q233" s="30">
        <v>114.49705586881799</v>
      </c>
      <c r="R233" s="30">
        <v>24.9653472544904</v>
      </c>
      <c r="S233" s="30">
        <v>175.49810481717199</v>
      </c>
      <c r="T233" s="30">
        <v>26.488883674632099</v>
      </c>
      <c r="U233" s="30">
        <v>162.14875932885101</v>
      </c>
      <c r="V233" s="30">
        <v>32.860770765634697</v>
      </c>
      <c r="W233" s="30">
        <v>83.521561706793506</v>
      </c>
      <c r="X233" s="30">
        <v>9.9156655651212908</v>
      </c>
      <c r="Y233" s="30">
        <v>55.975131995056202</v>
      </c>
      <c r="Z233" s="30">
        <v>7.5373497911696203</v>
      </c>
      <c r="AA233" s="30">
        <v>0.86581375452924503</v>
      </c>
      <c r="AB233" s="30">
        <v>6.2240111481039204E-3</v>
      </c>
      <c r="AC233" s="30">
        <v>1.4146069440501901</v>
      </c>
      <c r="AD233" s="30">
        <v>0.94034740236568004</v>
      </c>
      <c r="AE233" s="30">
        <v>18.4415612193364</v>
      </c>
      <c r="AF233" s="30">
        <v>12.6478801675305</v>
      </c>
    </row>
    <row r="234" spans="1:32" s="1" customFormat="1">
      <c r="A234" s="23"/>
      <c r="B234" s="23"/>
      <c r="C234" s="24"/>
      <c r="D234" s="24"/>
      <c r="E234" s="24"/>
      <c r="F234" s="24"/>
      <c r="G234" s="24"/>
      <c r="H234" s="8"/>
      <c r="I234" s="27"/>
      <c r="J234" s="28"/>
      <c r="K234" s="27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</row>
    <row r="235" spans="1:32" s="2" customFormat="1">
      <c r="A235" s="23" t="s">
        <v>41</v>
      </c>
      <c r="B235" s="8" t="s">
        <v>363</v>
      </c>
      <c r="C235" s="9">
        <v>1.56072612500358</v>
      </c>
      <c r="D235" s="9">
        <v>0.12387952085462001</v>
      </c>
      <c r="E235" s="9">
        <v>0.28584760263763798</v>
      </c>
      <c r="F235" s="9">
        <v>1.4357378120187701E-2</v>
      </c>
      <c r="G235" s="9">
        <v>0.39081716091869101</v>
      </c>
      <c r="H235" s="8"/>
      <c r="I235" s="29">
        <v>2647.8851870467001</v>
      </c>
      <c r="J235" s="30">
        <v>0.63710586649166701</v>
      </c>
      <c r="K235" s="29">
        <v>704.06036704478799</v>
      </c>
      <c r="L235" s="30">
        <v>-5.59891028395346E-3</v>
      </c>
      <c r="M235" s="30">
        <v>269.223121598739</v>
      </c>
      <c r="N235" s="30">
        <v>805.59386465111595</v>
      </c>
      <c r="O235" s="30">
        <v>111.776485314783</v>
      </c>
      <c r="P235" s="30">
        <v>508.68553274200099</v>
      </c>
      <c r="Q235" s="30">
        <v>149.00876784795199</v>
      </c>
      <c r="R235" s="30">
        <v>19.917629968313602</v>
      </c>
      <c r="S235" s="30">
        <v>160.34491097201601</v>
      </c>
      <c r="T235" s="30">
        <v>23.183563088861099</v>
      </c>
      <c r="U235" s="30">
        <v>128.73842086480099</v>
      </c>
      <c r="V235" s="30">
        <v>24.509995818140599</v>
      </c>
      <c r="W235" s="30">
        <v>64.596919971698497</v>
      </c>
      <c r="X235" s="30">
        <v>8.6515456083125599</v>
      </c>
      <c r="Y235" s="30">
        <v>53.7092121047205</v>
      </c>
      <c r="Z235" s="30">
        <v>6.4388677977059103</v>
      </c>
      <c r="AA235" s="30">
        <v>-8.5029931121977705E-4</v>
      </c>
      <c r="AB235" s="30">
        <v>3.13901636769756E-3</v>
      </c>
      <c r="AC235" s="30">
        <v>1.7726885334098198E-2</v>
      </c>
      <c r="AD235" s="30">
        <v>6.6035693214410998</v>
      </c>
      <c r="AE235" s="30">
        <v>11.4318714886028</v>
      </c>
      <c r="AF235" s="30">
        <v>10.274731716229301</v>
      </c>
    </row>
    <row r="236" spans="1:32" s="2" customFormat="1">
      <c r="A236" s="23" t="s">
        <v>41</v>
      </c>
      <c r="B236" s="8" t="s">
        <v>376</v>
      </c>
      <c r="C236" s="9">
        <v>1.3928797233882699</v>
      </c>
      <c r="D236" s="9">
        <v>0.12628386821626</v>
      </c>
      <c r="E236" s="9">
        <v>0.47412790016467099</v>
      </c>
      <c r="F236" s="9">
        <v>3.0180426574473E-2</v>
      </c>
      <c r="G236" s="9">
        <v>0.40851454840434898</v>
      </c>
      <c r="H236" s="8"/>
      <c r="I236" s="29">
        <v>2547.84796980278</v>
      </c>
      <c r="J236" s="30">
        <v>0.939539648589653</v>
      </c>
      <c r="K236" s="29">
        <v>390.60482022716701</v>
      </c>
      <c r="L236" s="30">
        <v>-4.3110342431559798E-3</v>
      </c>
      <c r="M236" s="30">
        <v>100.038620522363</v>
      </c>
      <c r="N236" s="30">
        <v>298.97159790105701</v>
      </c>
      <c r="O236" s="30">
        <v>45.556922310989101</v>
      </c>
      <c r="P236" s="30">
        <v>227.085755077719</v>
      </c>
      <c r="Q236" s="30">
        <v>73.044852749946998</v>
      </c>
      <c r="R236" s="30">
        <v>13.674775792544599</v>
      </c>
      <c r="S236" s="30">
        <v>89.408902676546305</v>
      </c>
      <c r="T236" s="30">
        <v>13.1294550480495</v>
      </c>
      <c r="U236" s="30">
        <v>74.796778871504301</v>
      </c>
      <c r="V236" s="30">
        <v>14.648090450422499</v>
      </c>
      <c r="W236" s="30">
        <v>37.591309876196497</v>
      </c>
      <c r="X236" s="30">
        <v>4.59160092225114</v>
      </c>
      <c r="Y236" s="30">
        <v>25.9759158166265</v>
      </c>
      <c r="Z236" s="30">
        <v>3.0408566576016498</v>
      </c>
      <c r="AA236" s="30">
        <v>-8.09492156612127E-4</v>
      </c>
      <c r="AB236" s="30">
        <v>3.5225250604687801E-4</v>
      </c>
      <c r="AC236" s="30">
        <v>0.39735314042202802</v>
      </c>
      <c r="AD236" s="30">
        <v>2.3460395208573801</v>
      </c>
      <c r="AE236" s="30">
        <v>3.1762227932533</v>
      </c>
      <c r="AF236" s="30">
        <v>4.5412308502446503</v>
      </c>
    </row>
    <row r="237" spans="1:32" s="2" customFormat="1">
      <c r="A237" s="23" t="s">
        <v>41</v>
      </c>
      <c r="B237" s="8" t="s">
        <v>377</v>
      </c>
      <c r="C237" s="9">
        <v>1.2147915056143099</v>
      </c>
      <c r="D237" s="9">
        <v>0.11269906020807299</v>
      </c>
      <c r="E237" s="9">
        <v>0.57657097289340897</v>
      </c>
      <c r="F237" s="9">
        <v>3.3791084190208799E-2</v>
      </c>
      <c r="G237" s="9">
        <v>0.44672338170376003</v>
      </c>
      <c r="H237" s="8"/>
      <c r="I237" s="29">
        <v>2516.2724986291901</v>
      </c>
      <c r="J237" s="30">
        <v>0.23018040279162699</v>
      </c>
      <c r="K237" s="29">
        <v>429.09449941554601</v>
      </c>
      <c r="L237" s="30">
        <v>-5.4474414671344899E-3</v>
      </c>
      <c r="M237" s="30">
        <v>66.236875498990898</v>
      </c>
      <c r="N237" s="30">
        <v>233.62023433202</v>
      </c>
      <c r="O237" s="30">
        <v>41.559510307096197</v>
      </c>
      <c r="P237" s="30">
        <v>237.15529993191399</v>
      </c>
      <c r="Q237" s="30">
        <v>80.740466553275496</v>
      </c>
      <c r="R237" s="30">
        <v>12.745921886601399</v>
      </c>
      <c r="S237" s="30">
        <v>104.37147346165</v>
      </c>
      <c r="T237" s="30">
        <v>15.2677643193867</v>
      </c>
      <c r="U237" s="30">
        <v>87.151731563046297</v>
      </c>
      <c r="V237" s="30">
        <v>16.7726186681648</v>
      </c>
      <c r="W237" s="30">
        <v>42.099962942984</v>
      </c>
      <c r="X237" s="30">
        <v>5.0109975290777804</v>
      </c>
      <c r="Y237" s="30">
        <v>26.352147781084</v>
      </c>
      <c r="Z237" s="30">
        <v>2.9477636530373301</v>
      </c>
      <c r="AA237" s="30">
        <v>-8.2681301115170697E-4</v>
      </c>
      <c r="AB237" s="30">
        <v>3.8572558018474799E-3</v>
      </c>
      <c r="AC237" s="30">
        <v>0.46585008197578798</v>
      </c>
      <c r="AD237" s="30">
        <v>2.6576097728106798</v>
      </c>
      <c r="AE237" s="30">
        <v>2.9309158400663602</v>
      </c>
      <c r="AF237" s="30">
        <v>5.5561672474079904</v>
      </c>
    </row>
    <row r="238" spans="1:32" s="2" customFormat="1">
      <c r="A238" s="23" t="s">
        <v>41</v>
      </c>
      <c r="B238" s="8" t="s">
        <v>378</v>
      </c>
      <c r="C238" s="9">
        <v>1.4847973478284</v>
      </c>
      <c r="D238" s="9">
        <v>0.118673298714026</v>
      </c>
      <c r="E238" s="9">
        <v>0.35528083169203301</v>
      </c>
      <c r="F238" s="9">
        <v>1.69256230134253E-2</v>
      </c>
      <c r="G238" s="9">
        <v>0.36698140663828699</v>
      </c>
      <c r="H238" s="8"/>
      <c r="I238" s="29">
        <v>2707.4417923246401</v>
      </c>
      <c r="J238" s="30">
        <v>0.66362436314933604</v>
      </c>
      <c r="K238" s="29">
        <v>632.23166781820601</v>
      </c>
      <c r="L238" s="30">
        <v>-1.98467559385837E-3</v>
      </c>
      <c r="M238" s="30">
        <v>245.02289620521</v>
      </c>
      <c r="N238" s="30">
        <v>735.88352083568498</v>
      </c>
      <c r="O238" s="30">
        <v>102.618962033665</v>
      </c>
      <c r="P238" s="30">
        <v>472.68236573084499</v>
      </c>
      <c r="Q238" s="30">
        <v>138.73617291736801</v>
      </c>
      <c r="R238" s="30">
        <v>19.464198507716599</v>
      </c>
      <c r="S238" s="30">
        <v>142.927336069147</v>
      </c>
      <c r="T238" s="30">
        <v>20.5272833552607</v>
      </c>
      <c r="U238" s="30">
        <v>115.30592836884399</v>
      </c>
      <c r="V238" s="30">
        <v>21.478231663435899</v>
      </c>
      <c r="W238" s="30">
        <v>57.428192480848303</v>
      </c>
      <c r="X238" s="30">
        <v>7.8176581811976602</v>
      </c>
      <c r="Y238" s="30">
        <v>48.440965108965003</v>
      </c>
      <c r="Z238" s="30">
        <v>6.0601342320939802</v>
      </c>
      <c r="AA238" s="30">
        <v>-8.2443614462684805E-4</v>
      </c>
      <c r="AB238" s="30">
        <v>6.1457388963047001E-3</v>
      </c>
      <c r="AC238" s="30">
        <v>5.4660839235234501E-2</v>
      </c>
      <c r="AD238" s="30">
        <v>5.0493998106554399</v>
      </c>
      <c r="AE238" s="30">
        <v>5.9265968498925803</v>
      </c>
      <c r="AF238" s="30">
        <v>6.3490890066897601</v>
      </c>
    </row>
    <row r="239" spans="1:32" s="2" customFormat="1">
      <c r="A239" s="23" t="s">
        <v>41</v>
      </c>
      <c r="B239" s="8" t="s">
        <v>379</v>
      </c>
      <c r="C239" s="9">
        <v>1.5407838467219499</v>
      </c>
      <c r="D239" s="9">
        <v>0.127150103747109</v>
      </c>
      <c r="E239" s="9">
        <v>0.34314749330282601</v>
      </c>
      <c r="F239" s="9">
        <v>2.3764133818612199E-2</v>
      </c>
      <c r="G239" s="9">
        <v>0.47976613557799103</v>
      </c>
      <c r="H239" s="8"/>
      <c r="I239" s="29">
        <v>2737.8570328300498</v>
      </c>
      <c r="J239" s="30">
        <v>0.40160270067419501</v>
      </c>
      <c r="K239" s="29">
        <v>841.46854298392998</v>
      </c>
      <c r="L239" s="30">
        <v>-5.4384651088963797E-3</v>
      </c>
      <c r="M239" s="30">
        <v>266.71416964830502</v>
      </c>
      <c r="N239" s="30">
        <v>800.72972031601296</v>
      </c>
      <c r="O239" s="30">
        <v>112.86375786134001</v>
      </c>
      <c r="P239" s="30">
        <v>521.99032533493801</v>
      </c>
      <c r="Q239" s="30">
        <v>158.35723825092799</v>
      </c>
      <c r="R239" s="30">
        <v>21.445101649750001</v>
      </c>
      <c r="S239" s="30">
        <v>180.580717700208</v>
      </c>
      <c r="T239" s="30">
        <v>26.6521977070189</v>
      </c>
      <c r="U239" s="30">
        <v>153.917519469783</v>
      </c>
      <c r="V239" s="30">
        <v>29.341397686612702</v>
      </c>
      <c r="W239" s="30">
        <v>77.711096426691</v>
      </c>
      <c r="X239" s="30">
        <v>10.0775579140575</v>
      </c>
      <c r="Y239" s="30">
        <v>61.966213782346401</v>
      </c>
      <c r="Z239" s="30">
        <v>7.1964595860779701</v>
      </c>
      <c r="AA239" s="30">
        <v>-8.3235306914113095E-4</v>
      </c>
      <c r="AB239" s="30">
        <v>1.0150794496558101E-3</v>
      </c>
      <c r="AC239" s="30">
        <v>3.12943959166226E-2</v>
      </c>
      <c r="AD239" s="30">
        <v>7.1394524159319399</v>
      </c>
      <c r="AE239" s="30">
        <v>7.8032530518435204</v>
      </c>
      <c r="AF239" s="30">
        <v>7.7161786543998101</v>
      </c>
    </row>
    <row r="240" spans="1:32" s="2" customFormat="1">
      <c r="A240" s="23" t="s">
        <v>41</v>
      </c>
      <c r="B240" s="8" t="s">
        <v>364</v>
      </c>
      <c r="C240" s="9">
        <v>1.66560672653652</v>
      </c>
      <c r="D240" s="9">
        <v>0.13988710389790199</v>
      </c>
      <c r="E240" s="9">
        <v>0.30838704383481103</v>
      </c>
      <c r="F240" s="9">
        <v>1.7362299257351201E-2</v>
      </c>
      <c r="G240" s="9">
        <v>0.397864681199742</v>
      </c>
      <c r="H240" s="8"/>
      <c r="I240" s="29">
        <v>2831.1236740371501</v>
      </c>
      <c r="J240" s="30">
        <v>2.2443690043969502</v>
      </c>
      <c r="K240" s="29">
        <v>589.41629930541205</v>
      </c>
      <c r="L240" s="30">
        <v>1.6333204191401399E-2</v>
      </c>
      <c r="M240" s="30">
        <v>149.272291549426</v>
      </c>
      <c r="N240" s="30">
        <v>445.04371617302297</v>
      </c>
      <c r="O240" s="30">
        <v>66.406826816911007</v>
      </c>
      <c r="P240" s="30">
        <v>319.86166973508102</v>
      </c>
      <c r="Q240" s="30">
        <v>100.949732225945</v>
      </c>
      <c r="R240" s="30">
        <v>19.0400308758317</v>
      </c>
      <c r="S240" s="30">
        <v>115.99729675670601</v>
      </c>
      <c r="T240" s="30">
        <v>17.4373243124552</v>
      </c>
      <c r="U240" s="30">
        <v>104.319573675165</v>
      </c>
      <c r="V240" s="30">
        <v>20.436158555621802</v>
      </c>
      <c r="W240" s="30">
        <v>55.755227303377097</v>
      </c>
      <c r="X240" s="30">
        <v>7.3207200237558103</v>
      </c>
      <c r="Y240" s="30">
        <v>44.639728494392799</v>
      </c>
      <c r="Z240" s="30">
        <v>5.3170679893679402</v>
      </c>
      <c r="AA240" s="30">
        <v>3.5995862566594601E-2</v>
      </c>
      <c r="AB240" s="30">
        <v>5.2125263491962998E-3</v>
      </c>
      <c r="AC240" s="30">
        <v>0.216780463279447</v>
      </c>
      <c r="AD240" s="30">
        <v>6.9954099808231298</v>
      </c>
      <c r="AE240" s="30">
        <v>7.4371031464464803</v>
      </c>
      <c r="AF240" s="30">
        <v>6.8001150732258298</v>
      </c>
    </row>
    <row r="241" spans="1:32" s="2" customFormat="1">
      <c r="A241" s="23" t="s">
        <v>41</v>
      </c>
      <c r="B241" s="8" t="s">
        <v>365</v>
      </c>
      <c r="C241" s="9">
        <v>1.4673345690650701</v>
      </c>
      <c r="D241" s="9">
        <v>0.135015502064217</v>
      </c>
      <c r="E241" s="9">
        <v>0.32523108357622899</v>
      </c>
      <c r="F241" s="9">
        <v>1.89434349227477E-2</v>
      </c>
      <c r="G241" s="9">
        <v>0.582250197264363</v>
      </c>
      <c r="H241" s="8"/>
      <c r="I241" s="29">
        <v>2725.5820613129599</v>
      </c>
      <c r="J241" s="30">
        <v>0.52981743918762803</v>
      </c>
      <c r="K241" s="29">
        <v>701.32809978377304</v>
      </c>
      <c r="L241" s="30">
        <v>-5.4207268555528602E-3</v>
      </c>
      <c r="M241" s="30">
        <v>253.47913597413901</v>
      </c>
      <c r="N241" s="30">
        <v>737.73952127910604</v>
      </c>
      <c r="O241" s="30">
        <v>103.480559825481</v>
      </c>
      <c r="P241" s="30">
        <v>454.65143997500098</v>
      </c>
      <c r="Q241" s="30">
        <v>127.354174312997</v>
      </c>
      <c r="R241" s="30">
        <v>19.9521790691491</v>
      </c>
      <c r="S241" s="30">
        <v>134.252957642182</v>
      </c>
      <c r="T241" s="30">
        <v>20.8328975827724</v>
      </c>
      <c r="U241" s="30">
        <v>121.84606277688999</v>
      </c>
      <c r="V241" s="30">
        <v>23.334832321390198</v>
      </c>
      <c r="W241" s="30">
        <v>64.504982507973395</v>
      </c>
      <c r="X241" s="30">
        <v>8.7806188083647392</v>
      </c>
      <c r="Y241" s="30">
        <v>54.801618867709301</v>
      </c>
      <c r="Z241" s="30">
        <v>6.65348333908877</v>
      </c>
      <c r="AA241" s="30">
        <v>-8.33635665938996E-4</v>
      </c>
      <c r="AB241" s="30">
        <v>7.7195847862108005E-4</v>
      </c>
      <c r="AC241" s="30">
        <v>5.5149754413517799E-2</v>
      </c>
      <c r="AD241" s="30">
        <v>5.4044776943025097</v>
      </c>
      <c r="AE241" s="30">
        <v>7.5853754659396104</v>
      </c>
      <c r="AF241" s="30">
        <v>7.6412119239986502</v>
      </c>
    </row>
    <row r="242" spans="1:32" s="2" customFormat="1">
      <c r="A242" s="23" t="s">
        <v>41</v>
      </c>
      <c r="B242" s="8" t="s">
        <v>366</v>
      </c>
      <c r="C242" s="9">
        <v>1.6439274353337401</v>
      </c>
      <c r="D242" s="9">
        <v>0.14264886276388899</v>
      </c>
      <c r="E242" s="9">
        <v>0.35165398114704999</v>
      </c>
      <c r="F242" s="9">
        <v>2.5111795745489999E-2</v>
      </c>
      <c r="G242" s="9">
        <v>0.36307709868698601</v>
      </c>
      <c r="H242" s="8"/>
      <c r="I242" s="29">
        <v>2828.6961765513402</v>
      </c>
      <c r="J242" s="30">
        <v>0.78630330093999801</v>
      </c>
      <c r="K242" s="29">
        <v>873.84244799054704</v>
      </c>
      <c r="L242" s="30">
        <v>1.55145327021571E-3</v>
      </c>
      <c r="M242" s="30">
        <v>106.031919028251</v>
      </c>
      <c r="N242" s="30">
        <v>345.73890559628899</v>
      </c>
      <c r="O242" s="30">
        <v>58.474372585990601</v>
      </c>
      <c r="P242" s="30">
        <v>325.57652310515198</v>
      </c>
      <c r="Q242" s="30">
        <v>129.267725252384</v>
      </c>
      <c r="R242" s="30">
        <v>16.734039669250802</v>
      </c>
      <c r="S242" s="30">
        <v>176.98381631074301</v>
      </c>
      <c r="T242" s="30">
        <v>28.2929073622423</v>
      </c>
      <c r="U242" s="30">
        <v>155.10686015797</v>
      </c>
      <c r="V242" s="30">
        <v>27.483233090352201</v>
      </c>
      <c r="W242" s="30">
        <v>69.558184109664793</v>
      </c>
      <c r="X242" s="30">
        <v>8.8653897390153809</v>
      </c>
      <c r="Y242" s="30">
        <v>51.614940178218497</v>
      </c>
      <c r="Z242" s="30">
        <v>6.0093600014277104</v>
      </c>
      <c r="AA242" s="30">
        <v>-8.0430123544291895E-4</v>
      </c>
      <c r="AB242" s="30">
        <v>6.5974570281755801E-3</v>
      </c>
      <c r="AC242" s="30">
        <v>0.16440267865852901</v>
      </c>
      <c r="AD242" s="30">
        <v>5.9952748779328298</v>
      </c>
      <c r="AE242" s="30">
        <v>5.9905502754789897</v>
      </c>
      <c r="AF242" s="30">
        <v>6.1020431072476198</v>
      </c>
    </row>
    <row r="243" spans="1:32" s="2" customFormat="1">
      <c r="A243" s="23" t="s">
        <v>41</v>
      </c>
      <c r="B243" s="8" t="s">
        <v>367</v>
      </c>
      <c r="C243" s="9">
        <v>1.68890972914741</v>
      </c>
      <c r="D243" s="9">
        <v>0.15569493137752199</v>
      </c>
      <c r="E243" s="9">
        <v>0.309637914072244</v>
      </c>
      <c r="F243" s="9">
        <v>2.8335424663313999E-2</v>
      </c>
      <c r="G243" s="9">
        <v>0.61543158400551701</v>
      </c>
      <c r="H243" s="8"/>
      <c r="I243" s="29">
        <v>2722.0053308721499</v>
      </c>
      <c r="J243" s="30">
        <v>0.285047159482821</v>
      </c>
      <c r="K243" s="29">
        <v>851.10981678314499</v>
      </c>
      <c r="L243" s="30">
        <v>-5.6140327813669804E-3</v>
      </c>
      <c r="M243" s="30">
        <v>299.24907643391799</v>
      </c>
      <c r="N243" s="30">
        <v>883.84397050375696</v>
      </c>
      <c r="O243" s="30">
        <v>124.965464405943</v>
      </c>
      <c r="P243" s="30">
        <v>568.94403856003998</v>
      </c>
      <c r="Q243" s="30">
        <v>170.64972945714001</v>
      </c>
      <c r="R243" s="30">
        <v>22.257462072697301</v>
      </c>
      <c r="S243" s="30">
        <v>186.38428718815399</v>
      </c>
      <c r="T243" s="30">
        <v>28.276169135160501</v>
      </c>
      <c r="U243" s="30">
        <v>158.740902541531</v>
      </c>
      <c r="V243" s="30">
        <v>29.887750780316001</v>
      </c>
      <c r="W243" s="30">
        <v>79.551631291037907</v>
      </c>
      <c r="X243" s="30">
        <v>10.5634826417174</v>
      </c>
      <c r="Y243" s="30">
        <v>64.359534306902205</v>
      </c>
      <c r="Z243" s="30">
        <v>7.8102637132548098</v>
      </c>
      <c r="AA243" s="30">
        <v>-8.7004856498858901E-4</v>
      </c>
      <c r="AB243" s="30">
        <v>2.3096769726188801E-3</v>
      </c>
      <c r="AC243" s="30">
        <v>1.2201839558250801E-2</v>
      </c>
      <c r="AD243" s="30">
        <v>11.355331488063801</v>
      </c>
      <c r="AE243" s="30">
        <v>10.6180789570945</v>
      </c>
      <c r="AF243" s="30">
        <v>9.7737897370443196</v>
      </c>
    </row>
    <row r="244" spans="1:32" s="2" customFormat="1">
      <c r="A244" s="23" t="s">
        <v>41</v>
      </c>
      <c r="B244" s="8" t="s">
        <v>368</v>
      </c>
      <c r="C244" s="9">
        <v>1.64068389034338</v>
      </c>
      <c r="D244" s="9">
        <v>0.14075569192534099</v>
      </c>
      <c r="E244" s="9">
        <v>0.33093201062127398</v>
      </c>
      <c r="F244" s="9">
        <v>1.87243849758503E-2</v>
      </c>
      <c r="G244" s="9">
        <v>0.43366520073820802</v>
      </c>
      <c r="H244" s="8"/>
      <c r="I244" s="29">
        <v>2560.5627887116402</v>
      </c>
      <c r="J244" s="30">
        <v>0.24214556857838501</v>
      </c>
      <c r="K244" s="29">
        <v>686.74655583248295</v>
      </c>
      <c r="L244" s="30">
        <v>-2.1792271763284399E-3</v>
      </c>
      <c r="M244" s="30">
        <v>273.50959584277098</v>
      </c>
      <c r="N244" s="30">
        <v>829.60512361654196</v>
      </c>
      <c r="O244" s="30">
        <v>116.782700412982</v>
      </c>
      <c r="P244" s="30">
        <v>532.92391484956204</v>
      </c>
      <c r="Q244" s="30">
        <v>150.85667323101001</v>
      </c>
      <c r="R244" s="30">
        <v>20.201575406769098</v>
      </c>
      <c r="S244" s="30">
        <v>146.10984263234101</v>
      </c>
      <c r="T244" s="30">
        <v>21.691282502008299</v>
      </c>
      <c r="U244" s="30">
        <v>121.692693582492</v>
      </c>
      <c r="V244" s="30">
        <v>22.9743585621605</v>
      </c>
      <c r="W244" s="30">
        <v>63.367734609235598</v>
      </c>
      <c r="X244" s="30">
        <v>8.6645066108437394</v>
      </c>
      <c r="Y244" s="30">
        <v>55.8254765619198</v>
      </c>
      <c r="Z244" s="30">
        <v>6.7362458918615502</v>
      </c>
      <c r="AA244" s="30">
        <v>-8.2808841063769696E-4</v>
      </c>
      <c r="AB244" s="30">
        <v>-6.2581591573619103E-4</v>
      </c>
      <c r="AC244" s="30">
        <v>0.194153949675099</v>
      </c>
      <c r="AD244" s="30">
        <v>7.5759612227130804</v>
      </c>
      <c r="AE244" s="30">
        <v>7.8884185194629701</v>
      </c>
      <c r="AF244" s="30">
        <v>7.9996939929614603</v>
      </c>
    </row>
    <row r="245" spans="1:32" s="2" customFormat="1">
      <c r="A245" s="23" t="s">
        <v>41</v>
      </c>
      <c r="B245" s="8" t="s">
        <v>369</v>
      </c>
      <c r="C245" s="9">
        <v>1.59795284048534</v>
      </c>
      <c r="D245" s="9">
        <v>0.13411944185157099</v>
      </c>
      <c r="E245" s="9">
        <v>0.326346058590819</v>
      </c>
      <c r="F245" s="9">
        <v>1.52328833254306E-2</v>
      </c>
      <c r="G245" s="9">
        <v>0.41576843206750203</v>
      </c>
      <c r="H245" s="8"/>
      <c r="I245" s="29">
        <v>2521.1960687681499</v>
      </c>
      <c r="J245" s="30">
        <v>0.97439036007912405</v>
      </c>
      <c r="K245" s="29">
        <v>629.019467995524</v>
      </c>
      <c r="L245" s="30">
        <v>7.5276831864748298E-3</v>
      </c>
      <c r="M245" s="30">
        <v>265.96785967985801</v>
      </c>
      <c r="N245" s="30">
        <v>792.41913929563304</v>
      </c>
      <c r="O245" s="30">
        <v>110.028974422114</v>
      </c>
      <c r="P245" s="30">
        <v>496.53164998746502</v>
      </c>
      <c r="Q245" s="30">
        <v>136.69398616853101</v>
      </c>
      <c r="R245" s="30">
        <v>19.1017361627189</v>
      </c>
      <c r="S245" s="30">
        <v>135.62390505486999</v>
      </c>
      <c r="T245" s="30">
        <v>19.702087915785398</v>
      </c>
      <c r="U245" s="30">
        <v>111.261431648634</v>
      </c>
      <c r="V245" s="30">
        <v>21.1341079867194</v>
      </c>
      <c r="W245" s="30">
        <v>57.877790272568497</v>
      </c>
      <c r="X245" s="30">
        <v>7.92627262176571</v>
      </c>
      <c r="Y245" s="30">
        <v>51.324717743189602</v>
      </c>
      <c r="Z245" s="30">
        <v>6.3382307508552698</v>
      </c>
      <c r="AA245" s="30">
        <v>3.0049684568544299E-2</v>
      </c>
      <c r="AB245" s="30">
        <v>2.84282809389712E-3</v>
      </c>
      <c r="AC245" s="30">
        <v>5.2960855076932899E-2</v>
      </c>
      <c r="AD245" s="30">
        <v>6.2165105433354801</v>
      </c>
      <c r="AE245" s="30">
        <v>8.2755382286329198</v>
      </c>
      <c r="AF245" s="30">
        <v>8.3149228421503505</v>
      </c>
    </row>
    <row r="246" spans="1:32" s="2" customFormat="1">
      <c r="A246" s="23" t="s">
        <v>41</v>
      </c>
      <c r="B246" s="8" t="s">
        <v>380</v>
      </c>
      <c r="C246" s="9">
        <v>1.62983488612395</v>
      </c>
      <c r="D246" s="9">
        <v>0.14266968053805901</v>
      </c>
      <c r="E246" s="9">
        <v>0.36472435683894999</v>
      </c>
      <c r="F246" s="9">
        <v>2.16172495603832E-2</v>
      </c>
      <c r="G246" s="9">
        <v>0.409790864320769</v>
      </c>
      <c r="H246" s="8"/>
      <c r="I246" s="29">
        <v>2338.1623190642599</v>
      </c>
      <c r="J246" s="30">
        <v>0.67764800783373602</v>
      </c>
      <c r="K246" s="29">
        <v>568.95427667360104</v>
      </c>
      <c r="L246" s="30">
        <v>-5.4916552000668596E-3</v>
      </c>
      <c r="M246" s="30">
        <v>192.035576232772</v>
      </c>
      <c r="N246" s="30">
        <v>567.77201631240496</v>
      </c>
      <c r="O246" s="30">
        <v>82.3161883558179</v>
      </c>
      <c r="P246" s="30">
        <v>397.03210299046498</v>
      </c>
      <c r="Q246" s="30">
        <v>122.644630942178</v>
      </c>
      <c r="R246" s="30">
        <v>17.240559544457302</v>
      </c>
      <c r="S246" s="30">
        <v>132.28226003396301</v>
      </c>
      <c r="T246" s="30">
        <v>18.672527108931501</v>
      </c>
      <c r="U246" s="30">
        <v>103.56774054115201</v>
      </c>
      <c r="V246" s="30">
        <v>19.305700086884301</v>
      </c>
      <c r="W246" s="30">
        <v>52.360668954784899</v>
      </c>
      <c r="X246" s="30">
        <v>7.0718164713355902</v>
      </c>
      <c r="Y246" s="30">
        <v>44.431865838370399</v>
      </c>
      <c r="Z246" s="30">
        <v>5.3520860789429499</v>
      </c>
      <c r="AA246" s="30">
        <v>0.40291057095052402</v>
      </c>
      <c r="AB246" s="30">
        <v>1.84157735595257E-3</v>
      </c>
      <c r="AC246" s="30">
        <v>0.12897408421742601</v>
      </c>
      <c r="AD246" s="30">
        <v>4.2791030952576001</v>
      </c>
      <c r="AE246" s="30">
        <v>5.4352970641973499</v>
      </c>
      <c r="AF246" s="30">
        <v>5.8413833333385101</v>
      </c>
    </row>
    <row r="247" spans="1:32" s="2" customFormat="1">
      <c r="A247" s="23" t="s">
        <v>41</v>
      </c>
      <c r="B247" s="8" t="s">
        <v>381</v>
      </c>
      <c r="C247" s="9">
        <v>1.8597659359263701</v>
      </c>
      <c r="D247" s="9">
        <v>0.14889218952803401</v>
      </c>
      <c r="E247" s="9">
        <v>0.26513607473318801</v>
      </c>
      <c r="F247" s="9">
        <v>1.16261719742416E-2</v>
      </c>
      <c r="G247" s="9">
        <v>0.251845760792618</v>
      </c>
      <c r="H247" s="8"/>
      <c r="I247" s="29">
        <v>2781.0663576137099</v>
      </c>
      <c r="J247" s="30">
        <v>0.60971470270831396</v>
      </c>
      <c r="K247" s="29">
        <v>865.30449122235405</v>
      </c>
      <c r="L247" s="30">
        <v>-5.4378296975902303E-3</v>
      </c>
      <c r="M247" s="30">
        <v>256.30206353243801</v>
      </c>
      <c r="N247" s="30">
        <v>764.10260253065599</v>
      </c>
      <c r="O247" s="30">
        <v>108.99788418503699</v>
      </c>
      <c r="P247" s="30">
        <v>492.05361872781498</v>
      </c>
      <c r="Q247" s="30">
        <v>141.515222016525</v>
      </c>
      <c r="R247" s="30">
        <v>23.829029041095001</v>
      </c>
      <c r="S247" s="30">
        <v>147.93276524772801</v>
      </c>
      <c r="T247" s="30">
        <v>23.693221897145101</v>
      </c>
      <c r="U247" s="30">
        <v>144.909736768719</v>
      </c>
      <c r="V247" s="30">
        <v>28.4582800232862</v>
      </c>
      <c r="W247" s="30">
        <v>80.827062780673003</v>
      </c>
      <c r="X247" s="30">
        <v>11.0902475646767</v>
      </c>
      <c r="Y247" s="30">
        <v>70.075231071351496</v>
      </c>
      <c r="Z247" s="30">
        <v>8.3590611068386895</v>
      </c>
      <c r="AA247" s="30">
        <v>5.0994549196246498E-2</v>
      </c>
      <c r="AB247" s="30">
        <v>4.6158995017298097E-4</v>
      </c>
      <c r="AC247" s="30">
        <v>0.63953315969682201</v>
      </c>
      <c r="AD247" s="30">
        <v>12.804553897967001</v>
      </c>
      <c r="AE247" s="30">
        <v>13.4038484248504</v>
      </c>
      <c r="AF247" s="30">
        <v>11.015006035326699</v>
      </c>
    </row>
    <row r="248" spans="1:32" s="2" customFormat="1">
      <c r="A248" s="23" t="s">
        <v>41</v>
      </c>
      <c r="B248" s="8" t="s">
        <v>370</v>
      </c>
      <c r="C248" s="9">
        <v>1.80101000146465</v>
      </c>
      <c r="D248" s="9">
        <v>0.14316525012121001</v>
      </c>
      <c r="E248" s="9">
        <v>0.25613922729705402</v>
      </c>
      <c r="F248" s="9">
        <v>1.16343887341678E-2</v>
      </c>
      <c r="G248" s="9">
        <v>0.47867575654758598</v>
      </c>
      <c r="H248" s="8"/>
      <c r="I248" s="29">
        <v>2519.8480299695302</v>
      </c>
      <c r="J248" s="30">
        <v>1.28676799381697</v>
      </c>
      <c r="K248" s="29">
        <v>572.39081410355698</v>
      </c>
      <c r="L248" s="30">
        <v>1.1149592760940699E-2</v>
      </c>
      <c r="M248" s="30">
        <v>168.054479864059</v>
      </c>
      <c r="N248" s="30">
        <v>493.20555065873998</v>
      </c>
      <c r="O248" s="30">
        <v>68.352270870903993</v>
      </c>
      <c r="P248" s="30">
        <v>311.266267459495</v>
      </c>
      <c r="Q248" s="30">
        <v>88.708606301266698</v>
      </c>
      <c r="R248" s="30">
        <v>19.1654916345373</v>
      </c>
      <c r="S248" s="30">
        <v>96.396586163341595</v>
      </c>
      <c r="T248" s="30">
        <v>15.5813645932949</v>
      </c>
      <c r="U248" s="30">
        <v>92.758730905175</v>
      </c>
      <c r="V248" s="30">
        <v>18.5125267389522</v>
      </c>
      <c r="W248" s="30">
        <v>51.458998175239898</v>
      </c>
      <c r="X248" s="30">
        <v>7.2163614133002998</v>
      </c>
      <c r="Y248" s="30">
        <v>46.151999622236403</v>
      </c>
      <c r="Z248" s="30">
        <v>5.5022925104289397</v>
      </c>
      <c r="AA248" s="30">
        <v>-7.7163028608106805E-4</v>
      </c>
      <c r="AB248" s="30">
        <v>4.49138679564739E-3</v>
      </c>
      <c r="AC248" s="30">
        <v>0.70087212090344597</v>
      </c>
      <c r="AD248" s="30">
        <v>8.9106370692897805</v>
      </c>
      <c r="AE248" s="30">
        <v>13.811501845670399</v>
      </c>
      <c r="AF248" s="30">
        <v>10.883300431717499</v>
      </c>
    </row>
    <row r="249" spans="1:32" s="2" customFormat="1">
      <c r="A249" s="23" t="s">
        <v>41</v>
      </c>
      <c r="B249" s="8" t="s">
        <v>371</v>
      </c>
      <c r="C249" s="9">
        <v>1.5112373745809</v>
      </c>
      <c r="D249" s="9">
        <v>0.13181031802444601</v>
      </c>
      <c r="E249" s="9">
        <v>0.321751615861462</v>
      </c>
      <c r="F249" s="9">
        <v>1.9308091958215201E-2</v>
      </c>
      <c r="G249" s="9">
        <v>0.409119947241736</v>
      </c>
      <c r="H249" s="8"/>
      <c r="I249" s="29">
        <v>2380.85127720931</v>
      </c>
      <c r="J249" s="30">
        <v>0.455548534476025</v>
      </c>
      <c r="K249" s="29">
        <v>807.92201245010006</v>
      </c>
      <c r="L249" s="30">
        <v>-8.2185280205634905E-4</v>
      </c>
      <c r="M249" s="30">
        <v>268.58614930854799</v>
      </c>
      <c r="N249" s="30">
        <v>819.337886321518</v>
      </c>
      <c r="O249" s="30">
        <v>116.79594675777901</v>
      </c>
      <c r="P249" s="30">
        <v>551.09325578721996</v>
      </c>
      <c r="Q249" s="30">
        <v>172.39074529805501</v>
      </c>
      <c r="R249" s="30">
        <v>20.190026356230401</v>
      </c>
      <c r="S249" s="30">
        <v>190.68453347891699</v>
      </c>
      <c r="T249" s="30">
        <v>27.9433579423998</v>
      </c>
      <c r="U249" s="30">
        <v>155.425369356744</v>
      </c>
      <c r="V249" s="30">
        <v>28.9109042883446</v>
      </c>
      <c r="W249" s="30">
        <v>75.042779845887594</v>
      </c>
      <c r="X249" s="30">
        <v>9.8185140176822596</v>
      </c>
      <c r="Y249" s="30">
        <v>60.697901213079</v>
      </c>
      <c r="Z249" s="30">
        <v>7.1679688870222504</v>
      </c>
      <c r="AA249" s="30">
        <v>4.5487629442567297E-2</v>
      </c>
      <c r="AB249" s="30">
        <v>-6.3340186892029196E-4</v>
      </c>
      <c r="AC249" s="30">
        <v>1.8091074218660901E-2</v>
      </c>
      <c r="AD249" s="30">
        <v>7.0626252849856197</v>
      </c>
      <c r="AE249" s="30">
        <v>7.4063471701153603</v>
      </c>
      <c r="AF249" s="30">
        <v>7.7781693532107301</v>
      </c>
    </row>
    <row r="250" spans="1:32" s="2" customFormat="1">
      <c r="A250" s="23" t="s">
        <v>41</v>
      </c>
      <c r="B250" s="8" t="s">
        <v>372</v>
      </c>
      <c r="C250" s="9">
        <v>1.6361045948239601</v>
      </c>
      <c r="D250" s="9">
        <v>0.14915405303631199</v>
      </c>
      <c r="E250" s="9">
        <v>0.315708618511235</v>
      </c>
      <c r="F250" s="9">
        <v>1.7440573751400599E-2</v>
      </c>
      <c r="G250" s="9">
        <v>0.44678056107207498</v>
      </c>
      <c r="H250" s="8"/>
      <c r="I250" s="29">
        <v>2382.0430386107701</v>
      </c>
      <c r="J250" s="30">
        <v>1.4240074465399599</v>
      </c>
      <c r="K250" s="29">
        <v>705.62184432215497</v>
      </c>
      <c r="L250" s="30">
        <v>-1.5115832133200499E-3</v>
      </c>
      <c r="M250" s="30">
        <v>185.54039406264101</v>
      </c>
      <c r="N250" s="30">
        <v>559.00616839946099</v>
      </c>
      <c r="O250" s="30">
        <v>79.423214928394998</v>
      </c>
      <c r="P250" s="30">
        <v>375.21773812707198</v>
      </c>
      <c r="Q250" s="30">
        <v>111.460221187496</v>
      </c>
      <c r="R250" s="30">
        <v>18.864301584592901</v>
      </c>
      <c r="S250" s="30">
        <v>123.005637671427</v>
      </c>
      <c r="T250" s="30">
        <v>20.134654230567602</v>
      </c>
      <c r="U250" s="30">
        <v>120.278610682473</v>
      </c>
      <c r="V250" s="30">
        <v>24.096662246116001</v>
      </c>
      <c r="W250" s="30">
        <v>66.804981197598394</v>
      </c>
      <c r="X250" s="30">
        <v>8.9102966131592005</v>
      </c>
      <c r="Y250" s="30">
        <v>56.117610039552901</v>
      </c>
      <c r="Z250" s="30">
        <v>6.7018244335715904</v>
      </c>
      <c r="AA250" s="30">
        <v>-8.7000640877756301E-4</v>
      </c>
      <c r="AB250" s="30">
        <v>-2.53140700583991E-4</v>
      </c>
      <c r="AC250" s="30">
        <v>0.66472856329806995</v>
      </c>
      <c r="AD250" s="30">
        <v>7.0160416191524</v>
      </c>
      <c r="AE250" s="30">
        <v>7.73074596824772</v>
      </c>
      <c r="AF250" s="30">
        <v>7.4740553280706497</v>
      </c>
    </row>
    <row r="251" spans="1:32" s="2" customFormat="1">
      <c r="A251" s="23" t="s">
        <v>41</v>
      </c>
      <c r="B251" s="8" t="s">
        <v>373</v>
      </c>
      <c r="C251" s="9">
        <v>1.3772713405602199</v>
      </c>
      <c r="D251" s="9">
        <v>0.122658335518274</v>
      </c>
      <c r="E251" s="9">
        <v>0.38970172390678198</v>
      </c>
      <c r="F251" s="9">
        <v>2.2918225273133402E-2</v>
      </c>
      <c r="G251" s="9">
        <v>0.314220091593299</v>
      </c>
      <c r="H251" s="8"/>
      <c r="I251" s="29">
        <v>1929.5132152466499</v>
      </c>
      <c r="J251" s="30">
        <v>0.43156367456571698</v>
      </c>
      <c r="K251" s="29">
        <v>627.11531172921605</v>
      </c>
      <c r="L251" s="30">
        <v>-5.4171783308883696E-3</v>
      </c>
      <c r="M251" s="30">
        <v>231.00928469582399</v>
      </c>
      <c r="N251" s="30">
        <v>689.48497111895199</v>
      </c>
      <c r="O251" s="30">
        <v>95.787405293045893</v>
      </c>
      <c r="P251" s="30">
        <v>427.07607362687702</v>
      </c>
      <c r="Q251" s="30">
        <v>120.20969372422999</v>
      </c>
      <c r="R251" s="30">
        <v>19.017673758322999</v>
      </c>
      <c r="S251" s="30">
        <v>124.192883406837</v>
      </c>
      <c r="T251" s="30">
        <v>18.9588088126801</v>
      </c>
      <c r="U251" s="30">
        <v>111.540468489147</v>
      </c>
      <c r="V251" s="30">
        <v>21.530892443528899</v>
      </c>
      <c r="W251" s="30">
        <v>58.934234691745601</v>
      </c>
      <c r="X251" s="30">
        <v>7.94437478269242</v>
      </c>
      <c r="Y251" s="30">
        <v>49.372325443100799</v>
      </c>
      <c r="Z251" s="30">
        <v>5.8815768754010396</v>
      </c>
      <c r="AA251" s="30">
        <v>-8.6440423138552905E-4</v>
      </c>
      <c r="AB251" s="30">
        <v>1.43404158820669E-3</v>
      </c>
      <c r="AC251" s="30">
        <v>6.1825423650160902E-2</v>
      </c>
      <c r="AD251" s="30">
        <v>5.0692625172809702</v>
      </c>
      <c r="AE251" s="30">
        <v>4.8793959417865898</v>
      </c>
      <c r="AF251" s="30">
        <v>6.5449570512396198</v>
      </c>
    </row>
    <row r="252" spans="1:32" s="2" customFormat="1">
      <c r="A252" s="23" t="s">
        <v>41</v>
      </c>
      <c r="B252" s="8" t="s">
        <v>382</v>
      </c>
      <c r="C252" s="9">
        <v>1.43217998804434</v>
      </c>
      <c r="D252" s="9">
        <v>0.119194386879235</v>
      </c>
      <c r="E252" s="9">
        <v>0.32700386914722601</v>
      </c>
      <c r="F252" s="9">
        <v>1.88153470624698E-2</v>
      </c>
      <c r="G252" s="9">
        <v>0.62674379969123795</v>
      </c>
      <c r="H252" s="8"/>
      <c r="I252" s="29">
        <v>2040.42108287663</v>
      </c>
      <c r="J252" s="30">
        <v>0.40533596112220499</v>
      </c>
      <c r="K252" s="29">
        <v>761.09978905648995</v>
      </c>
      <c r="L252" s="30">
        <v>-5.4332622261117703E-3</v>
      </c>
      <c r="M252" s="30">
        <v>278.78864737353302</v>
      </c>
      <c r="N252" s="30">
        <v>806.16196986637897</v>
      </c>
      <c r="O252" s="30">
        <v>111.210791933851</v>
      </c>
      <c r="P252" s="30">
        <v>495.10581202953102</v>
      </c>
      <c r="Q252" s="30">
        <v>144.218229928803</v>
      </c>
      <c r="R252" s="30">
        <v>19.8504389385038</v>
      </c>
      <c r="S252" s="30">
        <v>157.93181584358001</v>
      </c>
      <c r="T252" s="30">
        <v>24.274295092509298</v>
      </c>
      <c r="U252" s="30">
        <v>136.03329116113099</v>
      </c>
      <c r="V252" s="30">
        <v>26.2955988191889</v>
      </c>
      <c r="W252" s="30">
        <v>69.090939772412099</v>
      </c>
      <c r="X252" s="30">
        <v>8.9274818023469802</v>
      </c>
      <c r="Y252" s="30">
        <v>54.926678189023001</v>
      </c>
      <c r="Z252" s="30">
        <v>6.5852779979798104</v>
      </c>
      <c r="AA252" s="30">
        <v>-8.6635861855513096E-4</v>
      </c>
      <c r="AB252" s="30">
        <v>4.9488597544274202E-4</v>
      </c>
      <c r="AC252" s="30">
        <v>3.1285029649833701E-3</v>
      </c>
      <c r="AD252" s="30">
        <v>6.2568321095292001</v>
      </c>
      <c r="AE252" s="30">
        <v>7.7422426858284501</v>
      </c>
      <c r="AF252" s="30">
        <v>7.9286906469561496</v>
      </c>
    </row>
    <row r="253" spans="1:32" s="2" customFormat="1">
      <c r="A253" s="23" t="s">
        <v>41</v>
      </c>
      <c r="B253" s="8" t="s">
        <v>374</v>
      </c>
      <c r="C253" s="9">
        <v>1.46861163944267</v>
      </c>
      <c r="D253" s="9">
        <v>0.12873012901110001</v>
      </c>
      <c r="E253" s="9">
        <v>0.33744943119439902</v>
      </c>
      <c r="F253" s="9">
        <v>2.12782906290176E-2</v>
      </c>
      <c r="G253" s="9">
        <v>0.50043015940038005</v>
      </c>
      <c r="H253" s="8"/>
      <c r="I253" s="29">
        <v>1930.40498937295</v>
      </c>
      <c r="J253" s="30">
        <v>0.38373578580614098</v>
      </c>
      <c r="K253" s="29">
        <v>541.94973874151901</v>
      </c>
      <c r="L253" s="30">
        <v>1.7634913623190401E-3</v>
      </c>
      <c r="M253" s="30">
        <v>173.598061017627</v>
      </c>
      <c r="N253" s="30">
        <v>532.73733607674501</v>
      </c>
      <c r="O253" s="30">
        <v>75.486248985628706</v>
      </c>
      <c r="P253" s="30">
        <v>350.26296089731699</v>
      </c>
      <c r="Q253" s="30">
        <v>98.5212918037507</v>
      </c>
      <c r="R253" s="30">
        <v>19.108692885851699</v>
      </c>
      <c r="S253" s="30">
        <v>100.63181045688501</v>
      </c>
      <c r="T253" s="30">
        <v>15.300882795342901</v>
      </c>
      <c r="U253" s="30">
        <v>91.065894005550405</v>
      </c>
      <c r="V253" s="30">
        <v>18.261443152540998</v>
      </c>
      <c r="W253" s="30">
        <v>51.124699045959701</v>
      </c>
      <c r="X253" s="30">
        <v>7.1610890695745901</v>
      </c>
      <c r="Y253" s="30">
        <v>44.215319017380601</v>
      </c>
      <c r="Z253" s="30">
        <v>5.4745012224723304</v>
      </c>
      <c r="AA253" s="30">
        <v>-8.6218327005653799E-4</v>
      </c>
      <c r="AB253" s="30">
        <v>-6.2432120859302203E-4</v>
      </c>
      <c r="AC253" s="30">
        <v>0.43121758204986899</v>
      </c>
      <c r="AD253" s="30">
        <v>5.3343350114177603</v>
      </c>
      <c r="AE253" s="30">
        <v>6.29972873658072</v>
      </c>
      <c r="AF253" s="30">
        <v>6.5984086900865897</v>
      </c>
    </row>
    <row r="254" spans="1:32" s="2" customFormat="1">
      <c r="A254" s="23" t="s">
        <v>41</v>
      </c>
      <c r="B254" s="8" t="s">
        <v>375</v>
      </c>
      <c r="C254" s="9">
        <v>1.7444372213583099</v>
      </c>
      <c r="D254" s="9">
        <v>0.137952398825857</v>
      </c>
      <c r="E254" s="9">
        <v>0.256341976502175</v>
      </c>
      <c r="F254" s="9">
        <v>1.4262294645325699E-2</v>
      </c>
      <c r="G254" s="9">
        <v>0.38718085255877299</v>
      </c>
      <c r="H254" s="8"/>
      <c r="I254" s="29">
        <v>1956.5012545679699</v>
      </c>
      <c r="J254" s="30">
        <v>0.66735297883857003</v>
      </c>
      <c r="K254" s="29">
        <v>552.22141540628502</v>
      </c>
      <c r="L254" s="30">
        <v>-5.3790305273069298E-3</v>
      </c>
      <c r="M254" s="30">
        <v>174.55727195620599</v>
      </c>
      <c r="N254" s="30">
        <v>523.32107063920603</v>
      </c>
      <c r="O254" s="30">
        <v>73.686284694087206</v>
      </c>
      <c r="P254" s="30">
        <v>322.27200488690897</v>
      </c>
      <c r="Q254" s="30">
        <v>89.843367385601994</v>
      </c>
      <c r="R254" s="30">
        <v>22.426595412345101</v>
      </c>
      <c r="S254" s="30">
        <v>92.364825871246893</v>
      </c>
      <c r="T254" s="30">
        <v>14.519950476302901</v>
      </c>
      <c r="U254" s="30">
        <v>89.468656155583602</v>
      </c>
      <c r="V254" s="30">
        <v>18.111320300586499</v>
      </c>
      <c r="W254" s="30">
        <v>51.416908569992103</v>
      </c>
      <c r="X254" s="30">
        <v>7.2374410876055402</v>
      </c>
      <c r="Y254" s="30">
        <v>46.716907213637597</v>
      </c>
      <c r="Z254" s="30">
        <v>5.6328246877250603</v>
      </c>
      <c r="AA254" s="30">
        <v>-8.6060323389918001E-4</v>
      </c>
      <c r="AB254" s="30">
        <v>-6.2406397157899196E-4</v>
      </c>
      <c r="AC254" s="30">
        <v>0.25264513127812299</v>
      </c>
      <c r="AD254" s="30">
        <v>9.8245035374529301</v>
      </c>
      <c r="AE254" s="30">
        <v>14.2676885773955</v>
      </c>
      <c r="AF254" s="30">
        <v>10.820223822458599</v>
      </c>
    </row>
    <row r="255" spans="1:32" s="2" customFormat="1">
      <c r="A255" s="23"/>
      <c r="B255" s="8"/>
      <c r="C255" s="9"/>
      <c r="D255" s="9"/>
      <c r="E255" s="9"/>
      <c r="F255" s="9"/>
      <c r="G255" s="9"/>
      <c r="H255" s="8"/>
      <c r="I255" s="29"/>
      <c r="J255" s="30"/>
      <c r="K255" s="29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 spans="1:32" s="2" customFormat="1">
      <c r="A256" s="23" t="s">
        <v>403</v>
      </c>
      <c r="B256" s="8"/>
      <c r="C256" s="9"/>
      <c r="D256" s="9"/>
      <c r="E256" s="9"/>
      <c r="F256" s="9"/>
      <c r="G256" s="9"/>
      <c r="H256" s="8"/>
      <c r="I256" s="29"/>
      <c r="J256" s="30"/>
      <c r="K256" s="29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 spans="1:32" s="2" customFormat="1">
      <c r="A257" s="23" t="s">
        <v>419</v>
      </c>
      <c r="B257" s="13" t="s">
        <v>420</v>
      </c>
      <c r="C257" s="9">
        <v>8.8495597841801796</v>
      </c>
      <c r="D257" s="9">
        <v>0.29006167180070003</v>
      </c>
      <c r="E257" s="9">
        <v>0.16698518017283001</v>
      </c>
      <c r="F257" s="9">
        <v>3.71869042249881E-3</v>
      </c>
      <c r="G257" s="9">
        <v>0.371034600237862</v>
      </c>
      <c r="H257" s="8"/>
      <c r="I257" s="25">
        <v>9948.5380000000005</v>
      </c>
      <c r="J257" s="26">
        <v>1.253325</v>
      </c>
      <c r="K257" s="25">
        <v>211.5187</v>
      </c>
      <c r="L257" s="26">
        <v>0.79737100000000005</v>
      </c>
      <c r="M257" s="26">
        <v>1695.866</v>
      </c>
      <c r="N257" s="26">
        <v>3403.6930000000002</v>
      </c>
      <c r="O257" s="26">
        <v>354.63760000000002</v>
      </c>
      <c r="P257" s="26">
        <v>1193.5930000000001</v>
      </c>
      <c r="Q257" s="26">
        <v>149.77160000000001</v>
      </c>
      <c r="R257" s="26">
        <v>20.077220000000001</v>
      </c>
      <c r="S257" s="26">
        <v>86.379840000000002</v>
      </c>
      <c r="T257" s="26">
        <v>9.0387740000000001</v>
      </c>
      <c r="U257" s="26">
        <v>42.462159999999997</v>
      </c>
      <c r="V257" s="26">
        <v>7.3845409999999996</v>
      </c>
      <c r="W257" s="26">
        <v>17.87471</v>
      </c>
      <c r="X257" s="26">
        <v>2.035631</v>
      </c>
      <c r="Y257" s="26">
        <v>11.645</v>
      </c>
      <c r="Z257" s="26">
        <v>1.436088</v>
      </c>
      <c r="AA257" s="26">
        <v>-9.9999999999999997E-29</v>
      </c>
      <c r="AB257" s="26">
        <v>9.2639999999999997E-3</v>
      </c>
      <c r="AC257" s="26">
        <v>2.79182</v>
      </c>
      <c r="AD257" s="26">
        <v>1919.1869999999999</v>
      </c>
      <c r="AE257" s="26">
        <v>75.59836</v>
      </c>
      <c r="AF257" s="26">
        <v>57.510249999999999</v>
      </c>
    </row>
    <row r="258" spans="1:32" s="2" customFormat="1">
      <c r="A258" s="23" t="s">
        <v>419</v>
      </c>
      <c r="B258" s="13" t="s">
        <v>421</v>
      </c>
      <c r="C258" s="9">
        <v>8.5162341275433295</v>
      </c>
      <c r="D258" s="9">
        <v>0.27665050662074397</v>
      </c>
      <c r="E258" s="9">
        <v>0.17712164843036801</v>
      </c>
      <c r="F258" s="9">
        <v>3.6324349971930598E-3</v>
      </c>
      <c r="G258" s="9">
        <v>0.27281044183572101</v>
      </c>
      <c r="H258" s="8"/>
      <c r="I258" s="25">
        <v>9748.0830000000005</v>
      </c>
      <c r="J258" s="26">
        <v>1.8726560000000001</v>
      </c>
      <c r="K258" s="25">
        <v>207.4744</v>
      </c>
      <c r="L258" s="26">
        <v>0.67907499999999998</v>
      </c>
      <c r="M258" s="26">
        <v>1672.9680000000001</v>
      </c>
      <c r="N258" s="26">
        <v>3362.2330000000002</v>
      </c>
      <c r="O258" s="26">
        <v>349.92959999999999</v>
      </c>
      <c r="P258" s="26">
        <v>1190.271</v>
      </c>
      <c r="Q258" s="26">
        <v>147.33189999999999</v>
      </c>
      <c r="R258" s="26">
        <v>20.047740000000001</v>
      </c>
      <c r="S258" s="26">
        <v>85.80547</v>
      </c>
      <c r="T258" s="26">
        <v>9.0520270000000007</v>
      </c>
      <c r="U258" s="26">
        <v>41.983800000000002</v>
      </c>
      <c r="V258" s="26">
        <v>7.1405750000000001</v>
      </c>
      <c r="W258" s="26">
        <v>17.148319999999998</v>
      </c>
      <c r="X258" s="26">
        <v>1.956099</v>
      </c>
      <c r="Y258" s="26">
        <v>11.13176</v>
      </c>
      <c r="Z258" s="26">
        <v>1.3695550000000001</v>
      </c>
      <c r="AA258" s="26">
        <v>3.74E-28</v>
      </c>
      <c r="AB258" s="26">
        <v>9.2390000000000007E-3</v>
      </c>
      <c r="AC258" s="26">
        <v>2.4399440000000001</v>
      </c>
      <c r="AD258" s="26">
        <v>1678.807</v>
      </c>
      <c r="AE258" s="26">
        <v>68.63673</v>
      </c>
      <c r="AF258" s="26">
        <v>51.686990000000002</v>
      </c>
    </row>
    <row r="259" spans="1:32" s="2" customFormat="1">
      <c r="A259" s="23" t="s">
        <v>419</v>
      </c>
      <c r="B259" s="13" t="s">
        <v>422</v>
      </c>
      <c r="C259" s="9">
        <v>8.7145547998099708</v>
      </c>
      <c r="D259" s="9">
        <v>0.291881030684013</v>
      </c>
      <c r="E259" s="9">
        <v>0.15772478549734401</v>
      </c>
      <c r="F259" s="9">
        <v>2.7817110885195802E-3</v>
      </c>
      <c r="G259" s="9">
        <v>0.28269069145435199</v>
      </c>
      <c r="H259" s="8"/>
      <c r="I259" s="25">
        <v>15391.81</v>
      </c>
      <c r="J259" s="26">
        <v>2.825488</v>
      </c>
      <c r="K259" s="25">
        <v>394.87299999999999</v>
      </c>
      <c r="L259" s="26">
        <v>1.7550429999999999</v>
      </c>
      <c r="M259" s="26">
        <v>3191.2959999999998</v>
      </c>
      <c r="N259" s="26">
        <v>6446.7889999999998</v>
      </c>
      <c r="O259" s="26">
        <v>675.20950000000005</v>
      </c>
      <c r="P259" s="26">
        <v>2218.0639999999999</v>
      </c>
      <c r="Q259" s="26">
        <v>281.38310000000001</v>
      </c>
      <c r="R259" s="26">
        <v>38.26896</v>
      </c>
      <c r="S259" s="26">
        <v>164.8749</v>
      </c>
      <c r="T259" s="26">
        <v>16.941120000000002</v>
      </c>
      <c r="U259" s="26">
        <v>77.780420000000007</v>
      </c>
      <c r="V259" s="26">
        <v>13.238289999999999</v>
      </c>
      <c r="W259" s="26">
        <v>32.201009999999997</v>
      </c>
      <c r="X259" s="26">
        <v>3.714388</v>
      </c>
      <c r="Y259" s="26">
        <v>20.88946</v>
      </c>
      <c r="Z259" s="26">
        <v>2.6610480000000001</v>
      </c>
      <c r="AA259" s="26">
        <v>0.108846</v>
      </c>
      <c r="AB259" s="26">
        <v>2.0912E-2</v>
      </c>
      <c r="AC259" s="26">
        <v>2.7854770000000002</v>
      </c>
      <c r="AD259" s="26">
        <v>2936.2860000000001</v>
      </c>
      <c r="AE259" s="26">
        <v>143.81460000000001</v>
      </c>
      <c r="AF259" s="26">
        <v>93.843180000000004</v>
      </c>
    </row>
    <row r="260" spans="1:32" s="2" customFormat="1">
      <c r="A260" s="23" t="s">
        <v>419</v>
      </c>
      <c r="B260" s="13" t="s">
        <v>423</v>
      </c>
      <c r="C260" s="9">
        <v>9.1594031393656206</v>
      </c>
      <c r="D260" s="9">
        <v>0.29179468663489999</v>
      </c>
      <c r="E260" s="9">
        <v>0.14181065820712599</v>
      </c>
      <c r="F260" s="9">
        <v>2.78791088519361E-3</v>
      </c>
      <c r="G260" s="9">
        <v>0.23172300419233099</v>
      </c>
      <c r="H260" s="8"/>
      <c r="I260" s="25">
        <v>14118.83</v>
      </c>
      <c r="J260" s="26">
        <v>2.315032</v>
      </c>
      <c r="K260" s="25">
        <v>359.5702</v>
      </c>
      <c r="L260" s="26">
        <v>1.3467089999999999</v>
      </c>
      <c r="M260" s="26">
        <v>2955.663</v>
      </c>
      <c r="N260" s="26">
        <v>5962.884</v>
      </c>
      <c r="O260" s="26">
        <v>625.87070000000006</v>
      </c>
      <c r="P260" s="26">
        <v>2045.433</v>
      </c>
      <c r="Q260" s="26">
        <v>257.2099</v>
      </c>
      <c r="R260" s="26">
        <v>35.128540000000001</v>
      </c>
      <c r="S260" s="26">
        <v>150.15559999999999</v>
      </c>
      <c r="T260" s="26">
        <v>15.5854</v>
      </c>
      <c r="U260" s="26">
        <v>71.388170000000002</v>
      </c>
      <c r="V260" s="26">
        <v>12.0342</v>
      </c>
      <c r="W260" s="26">
        <v>29.214839999999999</v>
      </c>
      <c r="X260" s="26">
        <v>3.4144540000000001</v>
      </c>
      <c r="Y260" s="26">
        <v>18.916820000000001</v>
      </c>
      <c r="Z260" s="26">
        <v>2.449446</v>
      </c>
      <c r="AA260" s="26">
        <v>6.1630999999999998E-2</v>
      </c>
      <c r="AB260" s="26">
        <v>2.1399000000000001E-2</v>
      </c>
      <c r="AC260" s="26">
        <v>3.9599739999999999</v>
      </c>
      <c r="AD260" s="26">
        <v>3089.654</v>
      </c>
      <c r="AE260" s="26">
        <v>142.7295</v>
      </c>
      <c r="AF260" s="26">
        <v>94.786209999999997</v>
      </c>
    </row>
    <row r="261" spans="1:32" s="2" customFormat="1">
      <c r="A261" s="23" t="s">
        <v>419</v>
      </c>
      <c r="B261" s="13" t="s">
        <v>424</v>
      </c>
      <c r="C261" s="9">
        <v>10.304041061697999</v>
      </c>
      <c r="D261" s="9">
        <v>0.32688202042212799</v>
      </c>
      <c r="E261" s="9">
        <v>8.5225706457385697E-2</v>
      </c>
      <c r="F261" s="9">
        <v>1.95539565030719E-3</v>
      </c>
      <c r="G261" s="9">
        <v>0.268357334366082</v>
      </c>
      <c r="H261" s="8"/>
      <c r="I261" s="25">
        <v>13264.94</v>
      </c>
      <c r="J261" s="26">
        <v>1.4030560000000001</v>
      </c>
      <c r="K261" s="25">
        <v>394.37959999999998</v>
      </c>
      <c r="L261" s="26">
        <v>1.636266</v>
      </c>
      <c r="M261" s="26">
        <v>3150.5219999999999</v>
      </c>
      <c r="N261" s="26">
        <v>6385.3029999999999</v>
      </c>
      <c r="O261" s="26">
        <v>669.75739999999996</v>
      </c>
      <c r="P261" s="26">
        <v>2228.9839999999999</v>
      </c>
      <c r="Q261" s="26">
        <v>278.7011</v>
      </c>
      <c r="R261" s="26">
        <v>37.688400000000001</v>
      </c>
      <c r="S261" s="26">
        <v>162.86619999999999</v>
      </c>
      <c r="T261" s="26">
        <v>17.047930000000001</v>
      </c>
      <c r="U261" s="26">
        <v>77.259519999999995</v>
      </c>
      <c r="V261" s="26">
        <v>13.143459999999999</v>
      </c>
      <c r="W261" s="26">
        <v>31.55537</v>
      </c>
      <c r="X261" s="26">
        <v>3.7365300000000001</v>
      </c>
      <c r="Y261" s="26">
        <v>20.833570000000002</v>
      </c>
      <c r="Z261" s="26">
        <v>2.6805020000000002</v>
      </c>
      <c r="AA261" s="26">
        <v>8.8093000000000005E-2</v>
      </c>
      <c r="AB261" s="26">
        <v>2.0958999999999998E-2</v>
      </c>
      <c r="AC261" s="26">
        <v>3.6410309999999999</v>
      </c>
      <c r="AD261" s="26">
        <v>2983.9560000000001</v>
      </c>
      <c r="AE261" s="26">
        <v>139.6311</v>
      </c>
      <c r="AF261" s="26">
        <v>85.266229999999993</v>
      </c>
    </row>
    <row r="262" spans="1:32" s="2" customFormat="1">
      <c r="A262" s="23" t="s">
        <v>419</v>
      </c>
      <c r="B262" s="13" t="s">
        <v>425</v>
      </c>
      <c r="C262" s="9">
        <v>9.6754853120606406</v>
      </c>
      <c r="D262" s="9">
        <v>0.308234726564175</v>
      </c>
      <c r="E262" s="9">
        <v>0.127595126089279</v>
      </c>
      <c r="F262" s="9">
        <v>2.2009653566511102E-3</v>
      </c>
      <c r="G262" s="9">
        <v>0.221073755821933</v>
      </c>
      <c r="H262" s="8"/>
      <c r="I262" s="25">
        <v>10713.67</v>
      </c>
      <c r="J262" s="26">
        <v>1.8585199999999999</v>
      </c>
      <c r="K262" s="25">
        <v>307.09699999999998</v>
      </c>
      <c r="L262" s="26">
        <v>1.266124</v>
      </c>
      <c r="M262" s="26">
        <v>2444.7150000000001</v>
      </c>
      <c r="N262" s="26">
        <v>4920.6139999999996</v>
      </c>
      <c r="O262" s="26">
        <v>521.06200000000001</v>
      </c>
      <c r="P262" s="26">
        <v>1741.5930000000001</v>
      </c>
      <c r="Q262" s="26">
        <v>220.30600000000001</v>
      </c>
      <c r="R262" s="26">
        <v>29.184989999999999</v>
      </c>
      <c r="S262" s="26">
        <v>128.49340000000001</v>
      </c>
      <c r="T262" s="26">
        <v>13.333449999999999</v>
      </c>
      <c r="U262" s="26">
        <v>61.614409999999999</v>
      </c>
      <c r="V262" s="26">
        <v>10.28969</v>
      </c>
      <c r="W262" s="26">
        <v>24.429950000000002</v>
      </c>
      <c r="X262" s="26">
        <v>2.8617840000000001</v>
      </c>
      <c r="Y262" s="26">
        <v>15.86149</v>
      </c>
      <c r="Z262" s="26">
        <v>2.0192899999999998</v>
      </c>
      <c r="AA262" s="26">
        <v>7.5800000000000003E-26</v>
      </c>
      <c r="AB262" s="26">
        <v>1.6725E-2</v>
      </c>
      <c r="AC262" s="26">
        <v>3.9935640000000001</v>
      </c>
      <c r="AD262" s="26">
        <v>3110.8719999999998</v>
      </c>
      <c r="AE262" s="26">
        <v>132.12819999999999</v>
      </c>
      <c r="AF262" s="26">
        <v>90.205719999999999</v>
      </c>
    </row>
    <row r="263" spans="1:32" s="2" customFormat="1">
      <c r="A263" s="23" t="s">
        <v>419</v>
      </c>
      <c r="B263" s="13" t="s">
        <v>426</v>
      </c>
      <c r="C263" s="9">
        <v>8.4437698964346808</v>
      </c>
      <c r="D263" s="9">
        <v>0.28206110774540599</v>
      </c>
      <c r="E263" s="9">
        <v>0.17933425137270501</v>
      </c>
      <c r="F263" s="9">
        <v>3.4588801609332699E-3</v>
      </c>
      <c r="G263" s="9">
        <v>0.43650309856455199</v>
      </c>
      <c r="H263" s="8"/>
      <c r="I263" s="25">
        <v>10048.6</v>
      </c>
      <c r="J263" s="26">
        <v>1.6686570000000001</v>
      </c>
      <c r="K263" s="25">
        <v>218.39580000000001</v>
      </c>
      <c r="L263" s="26">
        <v>0.96926299999999999</v>
      </c>
      <c r="M263" s="26">
        <v>1683.248</v>
      </c>
      <c r="N263" s="26">
        <v>3439.7440000000001</v>
      </c>
      <c r="O263" s="26">
        <v>360.87909999999999</v>
      </c>
      <c r="P263" s="26">
        <v>1229.9000000000001</v>
      </c>
      <c r="Q263" s="26">
        <v>153.27690000000001</v>
      </c>
      <c r="R263" s="26">
        <v>20.33145</v>
      </c>
      <c r="S263" s="26">
        <v>90.550470000000004</v>
      </c>
      <c r="T263" s="26">
        <v>9.2790040000000005</v>
      </c>
      <c r="U263" s="26">
        <v>43.687019999999997</v>
      </c>
      <c r="V263" s="26">
        <v>7.5068149999999996</v>
      </c>
      <c r="W263" s="26">
        <v>17.984059999999999</v>
      </c>
      <c r="X263" s="26">
        <v>2.1592950000000002</v>
      </c>
      <c r="Y263" s="26">
        <v>12.08831</v>
      </c>
      <c r="Z263" s="26">
        <v>1.5047029999999999</v>
      </c>
      <c r="AA263" s="26">
        <v>3.0690000000000001E-3</v>
      </c>
      <c r="AB263" s="26">
        <v>1.3289E-2</v>
      </c>
      <c r="AC263" s="26">
        <v>2.7012849999999999</v>
      </c>
      <c r="AD263" s="26">
        <v>2010.5129999999999</v>
      </c>
      <c r="AE263" s="26">
        <v>74.221729999999994</v>
      </c>
      <c r="AF263" s="26">
        <v>61.449489999999997</v>
      </c>
    </row>
    <row r="264" spans="1:32" s="2" customFormat="1">
      <c r="A264" s="23" t="s">
        <v>419</v>
      </c>
      <c r="B264" s="13" t="s">
        <v>427</v>
      </c>
      <c r="C264" s="9">
        <v>9.0319630007570506</v>
      </c>
      <c r="D264" s="9">
        <v>0.30636119045099403</v>
      </c>
      <c r="E264" s="9">
        <v>0.159263720418685</v>
      </c>
      <c r="F264" s="9">
        <v>4.1521064888994999E-3</v>
      </c>
      <c r="G264" s="9">
        <v>0.30581817563777502</v>
      </c>
      <c r="H264" s="8"/>
      <c r="I264" s="25">
        <v>10142.299999999999</v>
      </c>
      <c r="J264" s="26">
        <v>2.5590679999999999</v>
      </c>
      <c r="K264" s="25">
        <v>207.42939999999999</v>
      </c>
      <c r="L264" s="26">
        <v>0.83424200000000004</v>
      </c>
      <c r="M264" s="26">
        <v>1676.6590000000001</v>
      </c>
      <c r="N264" s="26">
        <v>3341.8809999999999</v>
      </c>
      <c r="O264" s="26">
        <v>348.94189999999998</v>
      </c>
      <c r="P264" s="26">
        <v>1166.8689999999999</v>
      </c>
      <c r="Q264" s="26">
        <v>144.6122</v>
      </c>
      <c r="R264" s="26">
        <v>19.779019999999999</v>
      </c>
      <c r="S264" s="26">
        <v>84.745739999999998</v>
      </c>
      <c r="T264" s="26">
        <v>8.9544969999999999</v>
      </c>
      <c r="U264" s="26">
        <v>41.569409999999998</v>
      </c>
      <c r="V264" s="26">
        <v>7.1060150000000002</v>
      </c>
      <c r="W264" s="26">
        <v>17.212009999999999</v>
      </c>
      <c r="X264" s="26">
        <v>2.0319669999999999</v>
      </c>
      <c r="Y264" s="26">
        <v>11.21613</v>
      </c>
      <c r="Z264" s="26">
        <v>1.3912059999999999</v>
      </c>
      <c r="AA264" s="26">
        <v>3.019E-3</v>
      </c>
      <c r="AB264" s="26">
        <v>9.8740000000000008E-3</v>
      </c>
      <c r="AC264" s="26">
        <v>2.7485469999999999</v>
      </c>
      <c r="AD264" s="26">
        <v>2048.5360000000001</v>
      </c>
      <c r="AE264" s="26">
        <v>72.332310000000007</v>
      </c>
      <c r="AF264" s="26">
        <v>60.13626</v>
      </c>
    </row>
    <row r="265" spans="1:32" s="2" customFormat="1">
      <c r="A265" s="23" t="s">
        <v>419</v>
      </c>
      <c r="B265" s="13" t="s">
        <v>428</v>
      </c>
      <c r="C265" s="9">
        <v>9.0623596611855799</v>
      </c>
      <c r="D265" s="9">
        <v>0.29749464861838498</v>
      </c>
      <c r="E265" s="9">
        <v>0.160789443158323</v>
      </c>
      <c r="F265" s="9">
        <v>4.0211587866975703E-3</v>
      </c>
      <c r="G265" s="9">
        <v>0.30876772117496698</v>
      </c>
      <c r="H265" s="8"/>
      <c r="I265" s="25">
        <v>10146.040000000001</v>
      </c>
      <c r="J265" s="26">
        <v>1.809339</v>
      </c>
      <c r="K265" s="25">
        <v>215.7902</v>
      </c>
      <c r="L265" s="26">
        <v>0.72803700000000005</v>
      </c>
      <c r="M265" s="26">
        <v>1751.24</v>
      </c>
      <c r="N265" s="26">
        <v>3505.2730000000001</v>
      </c>
      <c r="O265" s="26">
        <v>360.67230000000001</v>
      </c>
      <c r="P265" s="26">
        <v>1223.7760000000001</v>
      </c>
      <c r="Q265" s="26">
        <v>152.07919999999999</v>
      </c>
      <c r="R265" s="26">
        <v>20.679559999999999</v>
      </c>
      <c r="S265" s="26">
        <v>89.723849999999999</v>
      </c>
      <c r="T265" s="26">
        <v>9.0937029999999996</v>
      </c>
      <c r="U265" s="26">
        <v>42.788849999999996</v>
      </c>
      <c r="V265" s="26">
        <v>7.1747870000000002</v>
      </c>
      <c r="W265" s="26">
        <v>17.541440000000001</v>
      </c>
      <c r="X265" s="26">
        <v>2.0769700000000002</v>
      </c>
      <c r="Y265" s="26">
        <v>11.56832</v>
      </c>
      <c r="Z265" s="26">
        <v>1.4115899999999999</v>
      </c>
      <c r="AA265" s="26">
        <v>5.64E-11</v>
      </c>
      <c r="AB265" s="26">
        <v>9.5040000000000003E-3</v>
      </c>
      <c r="AC265" s="26">
        <v>2.6409400000000001</v>
      </c>
      <c r="AD265" s="26">
        <v>1783.16</v>
      </c>
      <c r="AE265" s="26">
        <v>68.873260000000002</v>
      </c>
      <c r="AF265" s="26">
        <v>52.279229999999998</v>
      </c>
    </row>
    <row r="266" spans="1:32" s="2" customFormat="1">
      <c r="A266" s="23" t="s">
        <v>419</v>
      </c>
      <c r="B266" s="13" t="s">
        <v>429</v>
      </c>
      <c r="C266" s="9">
        <v>8.7911721872081898</v>
      </c>
      <c r="D266" s="9">
        <v>0.291395242274891</v>
      </c>
      <c r="E266" s="9">
        <v>0.16503588521955101</v>
      </c>
      <c r="F266" s="9">
        <v>3.9429257522613599E-3</v>
      </c>
      <c r="G266" s="9">
        <v>0.35050128307725198</v>
      </c>
      <c r="H266" s="8"/>
      <c r="I266" s="25">
        <v>10165.74</v>
      </c>
      <c r="J266" s="26">
        <v>1.2814939999999999</v>
      </c>
      <c r="K266" s="25">
        <v>214.249</v>
      </c>
      <c r="L266" s="26">
        <v>0.72814699999999999</v>
      </c>
      <c r="M266" s="26">
        <v>1752.588</v>
      </c>
      <c r="N266" s="26">
        <v>3450.5540000000001</v>
      </c>
      <c r="O266" s="26">
        <v>359.38940000000002</v>
      </c>
      <c r="P266" s="26">
        <v>1211.3399999999999</v>
      </c>
      <c r="Q266" s="26">
        <v>150.19329999999999</v>
      </c>
      <c r="R266" s="26">
        <v>20.310960000000001</v>
      </c>
      <c r="S266" s="26">
        <v>89.392219999999995</v>
      </c>
      <c r="T266" s="26">
        <v>9.1605980000000002</v>
      </c>
      <c r="U266" s="26">
        <v>42.717449999999999</v>
      </c>
      <c r="V266" s="26">
        <v>7.2815989999999999</v>
      </c>
      <c r="W266" s="26">
        <v>17.710640000000001</v>
      </c>
      <c r="X266" s="26">
        <v>2.0113319999999999</v>
      </c>
      <c r="Y266" s="26">
        <v>11.34097</v>
      </c>
      <c r="Z266" s="26">
        <v>1.4595549999999999</v>
      </c>
      <c r="AA266" s="26">
        <v>6.1700000000000004E-11</v>
      </c>
      <c r="AB266" s="26">
        <v>9.0989999999999994E-3</v>
      </c>
      <c r="AC266" s="26">
        <v>2.632863</v>
      </c>
      <c r="AD266" s="26">
        <v>1778.028</v>
      </c>
      <c r="AE266" s="26">
        <v>70.832970000000003</v>
      </c>
      <c r="AF266" s="26">
        <v>53.74333</v>
      </c>
    </row>
    <row r="267" spans="1:32" s="2" customFormat="1">
      <c r="A267" s="23" t="s">
        <v>419</v>
      </c>
      <c r="B267" s="13" t="s">
        <v>430</v>
      </c>
      <c r="C267" s="9">
        <v>8.4401674337519808</v>
      </c>
      <c r="D267" s="9">
        <v>0.28190588010326001</v>
      </c>
      <c r="E267" s="9">
        <v>0.18099568173095501</v>
      </c>
      <c r="F267" s="9">
        <v>4.0298712693371697E-3</v>
      </c>
      <c r="G267" s="9">
        <v>0.30099148897909</v>
      </c>
      <c r="H267" s="8"/>
      <c r="I267" s="25">
        <v>10513.64</v>
      </c>
      <c r="J267" s="26">
        <v>2.3639570000000001</v>
      </c>
      <c r="K267" s="25">
        <v>219.32759999999999</v>
      </c>
      <c r="L267" s="26">
        <v>0.793489</v>
      </c>
      <c r="M267" s="26">
        <v>1704.8050000000001</v>
      </c>
      <c r="N267" s="26">
        <v>3448.9609999999998</v>
      </c>
      <c r="O267" s="26">
        <v>362.2321</v>
      </c>
      <c r="P267" s="26">
        <v>1221.8979999999999</v>
      </c>
      <c r="Q267" s="26">
        <v>151.38800000000001</v>
      </c>
      <c r="R267" s="26">
        <v>20.355930000000001</v>
      </c>
      <c r="S267" s="26">
        <v>90.867789999999999</v>
      </c>
      <c r="T267" s="26">
        <v>9.2821049999999996</v>
      </c>
      <c r="U267" s="26">
        <v>44.70402</v>
      </c>
      <c r="V267" s="26">
        <v>7.3515730000000001</v>
      </c>
      <c r="W267" s="26">
        <v>18.148959999999999</v>
      </c>
      <c r="X267" s="26">
        <v>2.0386380000000002</v>
      </c>
      <c r="Y267" s="26">
        <v>11.928430000000001</v>
      </c>
      <c r="Z267" s="26">
        <v>1.4257740000000001</v>
      </c>
      <c r="AA267" s="26">
        <v>6.7419999999999997E-3</v>
      </c>
      <c r="AB267" s="26">
        <v>8.1320000000000003E-3</v>
      </c>
      <c r="AC267" s="26">
        <v>2.8933179999999998</v>
      </c>
      <c r="AD267" s="26">
        <v>1904.5170000000001</v>
      </c>
      <c r="AE267" s="26">
        <v>73.855689999999996</v>
      </c>
      <c r="AF267" s="26">
        <v>58.24588</v>
      </c>
    </row>
    <row r="268" spans="1:32" s="2" customFormat="1">
      <c r="A268" s="23" t="s">
        <v>419</v>
      </c>
      <c r="B268" s="13" t="s">
        <v>431</v>
      </c>
      <c r="C268" s="9">
        <v>9.1828971382846891</v>
      </c>
      <c r="D268" s="9">
        <v>0.297690480430992</v>
      </c>
      <c r="E268" s="9">
        <v>0.13299798752634401</v>
      </c>
      <c r="F268" s="9">
        <v>2.8108662369247298E-3</v>
      </c>
      <c r="G268" s="9">
        <v>0.111353637156135</v>
      </c>
      <c r="H268" s="8"/>
      <c r="I268" s="25">
        <v>13559.19</v>
      </c>
      <c r="J268" s="26">
        <v>1.889097</v>
      </c>
      <c r="K268" s="25">
        <v>322.38810000000001</v>
      </c>
      <c r="L268" s="26">
        <v>1.3654809999999999</v>
      </c>
      <c r="M268" s="26">
        <v>2558.252</v>
      </c>
      <c r="N268" s="26">
        <v>5131.9809999999998</v>
      </c>
      <c r="O268" s="26">
        <v>539.22320000000002</v>
      </c>
      <c r="P268" s="26">
        <v>1800.0170000000001</v>
      </c>
      <c r="Q268" s="26">
        <v>223.3459</v>
      </c>
      <c r="R268" s="26">
        <v>30.99577</v>
      </c>
      <c r="S268" s="26">
        <v>132.21850000000001</v>
      </c>
      <c r="T268" s="26">
        <v>13.730869999999999</v>
      </c>
      <c r="U268" s="26">
        <v>63.305340000000001</v>
      </c>
      <c r="V268" s="26">
        <v>10.946210000000001</v>
      </c>
      <c r="W268" s="26">
        <v>26.065069999999999</v>
      </c>
      <c r="X268" s="26">
        <v>2.9969779999999999</v>
      </c>
      <c r="Y268" s="26">
        <v>17.581099999999999</v>
      </c>
      <c r="Z268" s="26">
        <v>2.1866560000000002</v>
      </c>
      <c r="AA268" s="26">
        <v>7.9737000000000002E-2</v>
      </c>
      <c r="AB268" s="26">
        <v>2.3033999999999999E-2</v>
      </c>
      <c r="AC268" s="26">
        <v>2.373713</v>
      </c>
      <c r="AD268" s="26">
        <v>3707.6179999999999</v>
      </c>
      <c r="AE268" s="26">
        <v>176.23220000000001</v>
      </c>
      <c r="AF268" s="26">
        <v>113.8516</v>
      </c>
    </row>
    <row r="269" spans="1:32" s="2" customFormat="1">
      <c r="A269" s="23" t="s">
        <v>419</v>
      </c>
      <c r="B269" s="13" t="s">
        <v>432</v>
      </c>
      <c r="C269" s="9">
        <v>8.4714830073538891</v>
      </c>
      <c r="D269" s="9">
        <v>0.43327625751674897</v>
      </c>
      <c r="E269" s="9">
        <v>0.17469322311805099</v>
      </c>
      <c r="F269" s="9">
        <v>3.79756467843577E-3</v>
      </c>
      <c r="G269" s="9">
        <v>0.257295438694084</v>
      </c>
      <c r="H269" s="8"/>
      <c r="I269" s="25">
        <v>9906.9509999999991</v>
      </c>
      <c r="J269" s="26">
        <v>3.7936800000000002</v>
      </c>
      <c r="K269" s="25">
        <v>206.4169</v>
      </c>
      <c r="L269" s="26">
        <v>0.86659799999999998</v>
      </c>
      <c r="M269" s="26">
        <v>1697.3440000000001</v>
      </c>
      <c r="N269" s="26">
        <v>3365.1080000000002</v>
      </c>
      <c r="O269" s="26">
        <v>349.62560000000002</v>
      </c>
      <c r="P269" s="26">
        <v>1158.1849999999999</v>
      </c>
      <c r="Q269" s="26">
        <v>142.97749999999999</v>
      </c>
      <c r="R269" s="26">
        <v>19.607230000000001</v>
      </c>
      <c r="S269" s="26">
        <v>89.872630000000001</v>
      </c>
      <c r="T269" s="26">
        <v>8.9184660000000004</v>
      </c>
      <c r="U269" s="26">
        <v>41.14593</v>
      </c>
      <c r="V269" s="26">
        <v>7.0607550000000003</v>
      </c>
      <c r="W269" s="26">
        <v>16.900559999999999</v>
      </c>
      <c r="X269" s="26">
        <v>2.0014280000000002</v>
      </c>
      <c r="Y269" s="26">
        <v>11.1602</v>
      </c>
      <c r="Z269" s="26">
        <v>1.4070400000000001</v>
      </c>
      <c r="AA269" s="26">
        <v>-1E-10</v>
      </c>
      <c r="AB269" s="26">
        <v>1.7042000000000002E-2</v>
      </c>
      <c r="AC269" s="26">
        <v>2.7259769999999999</v>
      </c>
      <c r="AD269" s="26">
        <v>1983.3969999999999</v>
      </c>
      <c r="AE269" s="26">
        <v>74.336500000000001</v>
      </c>
      <c r="AF269" s="26">
        <v>61.820300000000003</v>
      </c>
    </row>
    <row r="270" spans="1:32" s="2" customFormat="1">
      <c r="A270" s="23" t="s">
        <v>419</v>
      </c>
      <c r="B270" s="13" t="s">
        <v>433</v>
      </c>
      <c r="C270" s="9">
        <v>8.4157752716738408</v>
      </c>
      <c r="D270" s="9">
        <v>0.44127211640511599</v>
      </c>
      <c r="E270" s="9">
        <v>0.17233782566376499</v>
      </c>
      <c r="F270" s="9">
        <v>3.5796318105250401E-3</v>
      </c>
      <c r="G270" s="9">
        <v>0.132132204956592</v>
      </c>
      <c r="H270" s="8"/>
      <c r="I270" s="25">
        <v>10039.01</v>
      </c>
      <c r="J270" s="26">
        <v>4.2524769999999998</v>
      </c>
      <c r="K270" s="25">
        <v>208.10679999999999</v>
      </c>
      <c r="L270" s="26">
        <v>0.909335</v>
      </c>
      <c r="M270" s="26">
        <v>1688.2449999999999</v>
      </c>
      <c r="N270" s="26">
        <v>3357.0279999999998</v>
      </c>
      <c r="O270" s="26">
        <v>349.3768</v>
      </c>
      <c r="P270" s="26">
        <v>1156.4490000000001</v>
      </c>
      <c r="Q270" s="26">
        <v>143.2337</v>
      </c>
      <c r="R270" s="26">
        <v>19.67098</v>
      </c>
      <c r="S270" s="26">
        <v>90.35257</v>
      </c>
      <c r="T270" s="26">
        <v>9.0634580000000007</v>
      </c>
      <c r="U270" s="26">
        <v>41.401910000000001</v>
      </c>
      <c r="V270" s="26">
        <v>7.0381099999999996</v>
      </c>
      <c r="W270" s="26">
        <v>17.376999999999999</v>
      </c>
      <c r="X270" s="26">
        <v>2.0097339999999999</v>
      </c>
      <c r="Y270" s="26">
        <v>11.26404</v>
      </c>
      <c r="Z270" s="26">
        <v>1.440839</v>
      </c>
      <c r="AA270" s="26">
        <v>9.051E-3</v>
      </c>
      <c r="AB270" s="26">
        <v>1.3135000000000001E-2</v>
      </c>
      <c r="AC270" s="26">
        <v>3.1621450000000002</v>
      </c>
      <c r="AD270" s="26">
        <v>2230.8829999999998</v>
      </c>
      <c r="AE270" s="26">
        <v>73.466949999999997</v>
      </c>
      <c r="AF270" s="26">
        <v>68.094669999999994</v>
      </c>
    </row>
    <row r="271" spans="1:32" s="2" customFormat="1">
      <c r="A271" s="23" t="s">
        <v>419</v>
      </c>
      <c r="B271" s="13" t="s">
        <v>434</v>
      </c>
      <c r="C271" s="9">
        <v>8.4919839622940394</v>
      </c>
      <c r="D271" s="9">
        <v>0.440674875535921</v>
      </c>
      <c r="E271" s="9">
        <v>0.174107976629783</v>
      </c>
      <c r="F271" s="9">
        <v>3.3091424980392701E-3</v>
      </c>
      <c r="G271" s="9">
        <v>0.32649298316286801</v>
      </c>
      <c r="H271" s="8"/>
      <c r="I271" s="25">
        <v>9757.8109999999997</v>
      </c>
      <c r="J271" s="26">
        <v>3.9277709999999999</v>
      </c>
      <c r="K271" s="25">
        <v>215.74520000000001</v>
      </c>
      <c r="L271" s="26">
        <v>0.82620300000000002</v>
      </c>
      <c r="M271" s="26">
        <v>1717.8879999999999</v>
      </c>
      <c r="N271" s="26">
        <v>3455.6579999999999</v>
      </c>
      <c r="O271" s="26">
        <v>360.22140000000002</v>
      </c>
      <c r="P271" s="26">
        <v>1204.971</v>
      </c>
      <c r="Q271" s="26">
        <v>147.3075</v>
      </c>
      <c r="R271" s="26">
        <v>20.356120000000001</v>
      </c>
      <c r="S271" s="26">
        <v>93.476280000000003</v>
      </c>
      <c r="T271" s="26">
        <v>9.4339019999999998</v>
      </c>
      <c r="U271" s="26">
        <v>43.163699999999999</v>
      </c>
      <c r="V271" s="26">
        <v>7.2362479999999998</v>
      </c>
      <c r="W271" s="26">
        <v>18.2012</v>
      </c>
      <c r="X271" s="26">
        <v>2.1233369999999998</v>
      </c>
      <c r="Y271" s="26">
        <v>11.92656</v>
      </c>
      <c r="Z271" s="26">
        <v>1.471347</v>
      </c>
      <c r="AA271" s="26">
        <v>3.5061000000000002E-2</v>
      </c>
      <c r="AB271" s="26">
        <v>1.2251E-2</v>
      </c>
      <c r="AC271" s="26">
        <v>2.544295</v>
      </c>
      <c r="AD271" s="26">
        <v>2126.6819999999998</v>
      </c>
      <c r="AE271" s="26">
        <v>77.902429999999995</v>
      </c>
      <c r="AF271" s="26">
        <v>65.724140000000006</v>
      </c>
    </row>
    <row r="272" spans="1:32" s="2" customFormat="1">
      <c r="A272" s="23" t="s">
        <v>419</v>
      </c>
      <c r="B272" s="13" t="s">
        <v>435</v>
      </c>
      <c r="C272" s="9">
        <v>8.5598630980829107</v>
      </c>
      <c r="D272" s="9">
        <v>0.43433397034053201</v>
      </c>
      <c r="E272" s="9">
        <v>0.16819388809809299</v>
      </c>
      <c r="F272" s="9">
        <v>3.7747642168237E-3</v>
      </c>
      <c r="G272" s="9">
        <v>0.18107961642540801</v>
      </c>
      <c r="H272" s="8"/>
      <c r="I272" s="25">
        <v>9835.3809999999994</v>
      </c>
      <c r="J272" s="26">
        <v>4.1575480000000002</v>
      </c>
      <c r="K272" s="25">
        <v>227.15280000000001</v>
      </c>
      <c r="L272" s="26">
        <v>0.70881400000000006</v>
      </c>
      <c r="M272" s="26">
        <v>1831.846</v>
      </c>
      <c r="N272" s="26">
        <v>3663.0940000000001</v>
      </c>
      <c r="O272" s="26">
        <v>380.399</v>
      </c>
      <c r="P272" s="26">
        <v>1263.0409999999999</v>
      </c>
      <c r="Q272" s="26">
        <v>156.2012</v>
      </c>
      <c r="R272" s="26">
        <v>21.198270000000001</v>
      </c>
      <c r="S272" s="26">
        <v>97.710650000000001</v>
      </c>
      <c r="T272" s="26">
        <v>9.7437959999999997</v>
      </c>
      <c r="U272" s="26">
        <v>45.304340000000003</v>
      </c>
      <c r="V272" s="26">
        <v>7.6452460000000002</v>
      </c>
      <c r="W272" s="26">
        <v>18.969349999999999</v>
      </c>
      <c r="X272" s="26">
        <v>2.1035750000000002</v>
      </c>
      <c r="Y272" s="26">
        <v>12.19877</v>
      </c>
      <c r="Z272" s="26">
        <v>1.5557319999999999</v>
      </c>
      <c r="AA272" s="26">
        <v>4.5899999999999998E-11</v>
      </c>
      <c r="AB272" s="26">
        <v>1.2733E-2</v>
      </c>
      <c r="AC272" s="26">
        <v>2.6678730000000002</v>
      </c>
      <c r="AD272" s="26">
        <v>2204.5680000000002</v>
      </c>
      <c r="AE272" s="26">
        <v>77.121849999999995</v>
      </c>
      <c r="AF272" s="26">
        <v>66.764089999999996</v>
      </c>
    </row>
    <row r="273" spans="1:32" s="2" customFormat="1">
      <c r="A273" s="23" t="s">
        <v>419</v>
      </c>
      <c r="B273" s="13" t="s">
        <v>436</v>
      </c>
      <c r="C273" s="9">
        <v>8.6893068268543505</v>
      </c>
      <c r="D273" s="9">
        <v>0.443116738528258</v>
      </c>
      <c r="E273" s="9">
        <v>0.16269071105233701</v>
      </c>
      <c r="F273" s="9">
        <v>3.3524708157087299E-3</v>
      </c>
      <c r="G273" s="9">
        <v>0.145498689340501</v>
      </c>
      <c r="H273" s="8"/>
      <c r="I273" s="25">
        <v>10147.219999999999</v>
      </c>
      <c r="J273" s="26">
        <v>4.1731999999999996</v>
      </c>
      <c r="K273" s="25">
        <v>223.03749999999999</v>
      </c>
      <c r="L273" s="26">
        <v>0.78268300000000002</v>
      </c>
      <c r="M273" s="26">
        <v>1814.8230000000001</v>
      </c>
      <c r="N273" s="26">
        <v>3604.511</v>
      </c>
      <c r="O273" s="26">
        <v>377.59780000000001</v>
      </c>
      <c r="P273" s="26">
        <v>1261.4280000000001</v>
      </c>
      <c r="Q273" s="26">
        <v>153.98830000000001</v>
      </c>
      <c r="R273" s="26">
        <v>21.412179999999999</v>
      </c>
      <c r="S273" s="26">
        <v>97.048860000000005</v>
      </c>
      <c r="T273" s="26">
        <v>9.5794440000000005</v>
      </c>
      <c r="U273" s="26">
        <v>44.643540000000002</v>
      </c>
      <c r="V273" s="26">
        <v>7.6944080000000001</v>
      </c>
      <c r="W273" s="26">
        <v>18.8354</v>
      </c>
      <c r="X273" s="26">
        <v>2.1677599999999999</v>
      </c>
      <c r="Y273" s="26">
        <v>12.07156</v>
      </c>
      <c r="Z273" s="26">
        <v>1.5098830000000001</v>
      </c>
      <c r="AA273" s="26">
        <v>-7.0000000000000004E-11</v>
      </c>
      <c r="AB273" s="26">
        <v>8.4030000000000007E-3</v>
      </c>
      <c r="AC273" s="26">
        <v>2.6616559999999998</v>
      </c>
      <c r="AD273" s="26">
        <v>2252.62</v>
      </c>
      <c r="AE273" s="26">
        <v>80.965119999999999</v>
      </c>
      <c r="AF273" s="26">
        <v>68.295439999999999</v>
      </c>
    </row>
    <row r="274" spans="1:32" s="2" customFormat="1">
      <c r="A274" s="23" t="s">
        <v>419</v>
      </c>
      <c r="B274" s="13" t="s">
        <v>437</v>
      </c>
      <c r="C274" s="9">
        <v>8.54204765494468</v>
      </c>
      <c r="D274" s="9">
        <v>0.44929952117473199</v>
      </c>
      <c r="E274" s="9">
        <v>0.17105985355014799</v>
      </c>
      <c r="F274" s="9">
        <v>3.6333324715490702E-3</v>
      </c>
      <c r="G274" s="9">
        <v>9.1287389992776496E-2</v>
      </c>
      <c r="H274" s="8"/>
      <c r="I274" s="25">
        <v>9779.7340000000004</v>
      </c>
      <c r="J274" s="26">
        <v>3.6440450000000002</v>
      </c>
      <c r="K274" s="25">
        <v>212.0078</v>
      </c>
      <c r="L274" s="26">
        <v>0.82161300000000004</v>
      </c>
      <c r="M274" s="26">
        <v>1717.3389999999999</v>
      </c>
      <c r="N274" s="26">
        <v>3408.8339999999998</v>
      </c>
      <c r="O274" s="26">
        <v>353.20870000000002</v>
      </c>
      <c r="P274" s="26">
        <v>1180.835</v>
      </c>
      <c r="Q274" s="26">
        <v>143.96979999999999</v>
      </c>
      <c r="R274" s="26">
        <v>19.988669999999999</v>
      </c>
      <c r="S274" s="26">
        <v>89.976339999999993</v>
      </c>
      <c r="T274" s="26">
        <v>9.1063829999999992</v>
      </c>
      <c r="U274" s="26">
        <v>41.608379999999997</v>
      </c>
      <c r="V274" s="26">
        <v>7.032273</v>
      </c>
      <c r="W274" s="26">
        <v>17.344110000000001</v>
      </c>
      <c r="X274" s="26">
        <v>2.018834</v>
      </c>
      <c r="Y274" s="26">
        <v>11.40382</v>
      </c>
      <c r="Z274" s="26">
        <v>1.416447</v>
      </c>
      <c r="AA274" s="26">
        <v>-9.8999999999999994E-11</v>
      </c>
      <c r="AB274" s="26">
        <v>6.3530000000000001E-3</v>
      </c>
      <c r="AC274" s="26">
        <v>2.8021060000000002</v>
      </c>
      <c r="AD274" s="26">
        <v>1980.4179999999999</v>
      </c>
      <c r="AE274" s="26">
        <v>74.295770000000005</v>
      </c>
      <c r="AF274" s="26">
        <v>61.390949999999997</v>
      </c>
    </row>
    <row r="275" spans="1:32" s="2" customFormat="1">
      <c r="A275" s="23" t="s">
        <v>419</v>
      </c>
      <c r="B275" s="13" t="s">
        <v>438</v>
      </c>
      <c r="C275" s="9">
        <v>8.5642692574254902</v>
      </c>
      <c r="D275" s="9">
        <v>0.44429087887522101</v>
      </c>
      <c r="E275" s="9">
        <v>0.17744612553247699</v>
      </c>
      <c r="F275" s="9">
        <v>4.1668511988578903E-3</v>
      </c>
      <c r="G275" s="9">
        <v>0.19025941552675199</v>
      </c>
      <c r="H275" s="8"/>
      <c r="I275" s="25">
        <v>10022.23</v>
      </c>
      <c r="J275" s="26">
        <v>3.4980959999999999</v>
      </c>
      <c r="K275" s="25">
        <v>212.4829</v>
      </c>
      <c r="L275" s="26">
        <v>0.91405800000000004</v>
      </c>
      <c r="M275" s="26">
        <v>1709.9259999999999</v>
      </c>
      <c r="N275" s="26">
        <v>3397.3209999999999</v>
      </c>
      <c r="O275" s="26">
        <v>353.46820000000002</v>
      </c>
      <c r="P275" s="26">
        <v>1179.404</v>
      </c>
      <c r="Q275" s="26">
        <v>145.572</v>
      </c>
      <c r="R275" s="26">
        <v>20.125810000000001</v>
      </c>
      <c r="S275" s="26">
        <v>91.170919999999995</v>
      </c>
      <c r="T275" s="26">
        <v>9.2386219999999994</v>
      </c>
      <c r="U275" s="26">
        <v>42.48292</v>
      </c>
      <c r="V275" s="26">
        <v>7.1931960000000004</v>
      </c>
      <c r="W275" s="26">
        <v>17.778860000000002</v>
      </c>
      <c r="X275" s="26">
        <v>2.0705100000000001</v>
      </c>
      <c r="Y275" s="26">
        <v>11.879099999999999</v>
      </c>
      <c r="Z275" s="26">
        <v>1.4234370000000001</v>
      </c>
      <c r="AA275" s="26">
        <v>3.2044000000000003E-2</v>
      </c>
      <c r="AB275" s="26">
        <v>1.9244000000000001E-2</v>
      </c>
      <c r="AC275" s="26">
        <v>3.122757</v>
      </c>
      <c r="AD275" s="26">
        <v>2308.25</v>
      </c>
      <c r="AE275" s="26">
        <v>74.449759999999998</v>
      </c>
      <c r="AF275" s="26">
        <v>69.6755</v>
      </c>
    </row>
    <row r="276" spans="1:32" s="2" customFormat="1">
      <c r="A276" s="23" t="s">
        <v>419</v>
      </c>
      <c r="B276" s="13" t="s">
        <v>439</v>
      </c>
      <c r="C276" s="9">
        <v>9.1086565299435591</v>
      </c>
      <c r="D276" s="9">
        <v>0.49619074745146402</v>
      </c>
      <c r="E276" s="9">
        <v>0.13898736855080601</v>
      </c>
      <c r="F276" s="9">
        <v>4.4080721408644502E-3</v>
      </c>
      <c r="G276" s="9">
        <v>4.7292743061595602E-2</v>
      </c>
      <c r="H276" s="8"/>
      <c r="I276" s="25">
        <v>9648.8040000000001</v>
      </c>
      <c r="J276" s="26">
        <v>3.6731349999999998</v>
      </c>
      <c r="K276" s="25">
        <v>206.72020000000001</v>
      </c>
      <c r="L276" s="26">
        <v>0.92314499999999999</v>
      </c>
      <c r="M276" s="26">
        <v>1711.1310000000001</v>
      </c>
      <c r="N276" s="26">
        <v>3364.8029999999999</v>
      </c>
      <c r="O276" s="26">
        <v>349.3313</v>
      </c>
      <c r="P276" s="26">
        <v>1149.2919999999999</v>
      </c>
      <c r="Q276" s="26">
        <v>144.018</v>
      </c>
      <c r="R276" s="26">
        <v>19.581250000000001</v>
      </c>
      <c r="S276" s="26">
        <v>88.32253</v>
      </c>
      <c r="T276" s="26">
        <v>8.9199040000000007</v>
      </c>
      <c r="U276" s="26">
        <v>41.017359999999996</v>
      </c>
      <c r="V276" s="26">
        <v>6.9549989999999999</v>
      </c>
      <c r="W276" s="26">
        <v>17.39359</v>
      </c>
      <c r="X276" s="26">
        <v>1.9750939999999999</v>
      </c>
      <c r="Y276" s="26">
        <v>11.393409999999999</v>
      </c>
      <c r="Z276" s="26">
        <v>1.4174929999999999</v>
      </c>
      <c r="AA276" s="26">
        <v>9.4140000000000005E-3</v>
      </c>
      <c r="AB276" s="26">
        <v>1.3780000000000001E-2</v>
      </c>
      <c r="AC276" s="26">
        <v>2.7854909999999999</v>
      </c>
      <c r="AD276" s="26">
        <v>2158.9589999999998</v>
      </c>
      <c r="AE276" s="26">
        <v>72.461269999999999</v>
      </c>
      <c r="AF276" s="26">
        <v>62.250230000000002</v>
      </c>
    </row>
    <row r="277" spans="1:32" s="2" customFormat="1">
      <c r="A277" s="23" t="s">
        <v>419</v>
      </c>
      <c r="B277" s="13" t="s">
        <v>440</v>
      </c>
      <c r="C277" s="9">
        <v>8.5216089428393893</v>
      </c>
      <c r="D277" s="9">
        <v>0.34621366028269701</v>
      </c>
      <c r="E277" s="9">
        <v>0.17913158128922499</v>
      </c>
      <c r="F277" s="9">
        <v>4.05624672119991E-3</v>
      </c>
      <c r="G277" s="9">
        <v>0.38460784218185501</v>
      </c>
      <c r="H277" s="8"/>
      <c r="I277" s="29">
        <v>10599.386520559799</v>
      </c>
      <c r="J277" s="30">
        <v>1.0568927001145101</v>
      </c>
      <c r="K277" s="29">
        <v>208.60741607381601</v>
      </c>
      <c r="L277" s="30">
        <v>0.857104981071938</v>
      </c>
      <c r="M277" s="30">
        <v>1691.4961378580499</v>
      </c>
      <c r="N277" s="30">
        <v>3384.25705869688</v>
      </c>
      <c r="O277" s="30">
        <v>349.07906439540699</v>
      </c>
      <c r="P277" s="30">
        <v>1165.036932344</v>
      </c>
      <c r="Q277" s="30">
        <v>144.48565775589299</v>
      </c>
      <c r="R277" s="30">
        <v>19.9909439543713</v>
      </c>
      <c r="S277" s="30">
        <v>85.777684168156</v>
      </c>
      <c r="T277" s="30">
        <v>8.9393974752981897</v>
      </c>
      <c r="U277" s="30">
        <v>41.4434708789911</v>
      </c>
      <c r="V277" s="30">
        <v>7.0952941829765699</v>
      </c>
      <c r="W277" s="30">
        <v>17.394266304757899</v>
      </c>
      <c r="X277" s="30">
        <v>1.9933738192192301</v>
      </c>
      <c r="Y277" s="30">
        <v>11.208678933645499</v>
      </c>
      <c r="Z277" s="30">
        <v>1.4001661044078799</v>
      </c>
      <c r="AA277" s="30">
        <v>-6.8675529975343404E-4</v>
      </c>
      <c r="AB277" s="30">
        <v>8.0904123976552195E-3</v>
      </c>
      <c r="AC277" s="30">
        <v>2.6215109910906498</v>
      </c>
      <c r="AD277" s="30">
        <v>1999.31417532563</v>
      </c>
      <c r="AE277" s="30">
        <v>74.518257082686503</v>
      </c>
      <c r="AF277" s="30">
        <v>61.800740008455001</v>
      </c>
    </row>
    <row r="278" spans="1:32" s="2" customFormat="1">
      <c r="A278" s="23" t="s">
        <v>419</v>
      </c>
      <c r="B278" s="13" t="s">
        <v>441</v>
      </c>
      <c r="C278" s="9">
        <v>8.4113787101054491</v>
      </c>
      <c r="D278" s="9">
        <v>0.33596636850089601</v>
      </c>
      <c r="E278" s="9">
        <v>0.176670371986139</v>
      </c>
      <c r="F278" s="9">
        <v>4.1085828907599896E-3</v>
      </c>
      <c r="G278" s="9">
        <v>0.284718716834157</v>
      </c>
      <c r="H278" s="8"/>
      <c r="I278" s="29">
        <v>10590.1169620947</v>
      </c>
      <c r="J278" s="30">
        <v>1.21645025200143</v>
      </c>
      <c r="K278" s="29">
        <v>213.04523092903099</v>
      </c>
      <c r="L278" s="30">
        <v>0.76071428938711505</v>
      </c>
      <c r="M278" s="30">
        <v>1724.27504627438</v>
      </c>
      <c r="N278" s="30">
        <v>3416.6811033468698</v>
      </c>
      <c r="O278" s="30">
        <v>353.30605189558003</v>
      </c>
      <c r="P278" s="30">
        <v>1186.1363328078801</v>
      </c>
      <c r="Q278" s="30">
        <v>147.17601172718</v>
      </c>
      <c r="R278" s="30">
        <v>20.3695873209845</v>
      </c>
      <c r="S278" s="30">
        <v>86.323220677442606</v>
      </c>
      <c r="T278" s="30">
        <v>8.8514219374343206</v>
      </c>
      <c r="U278" s="30">
        <v>42.577921257003702</v>
      </c>
      <c r="V278" s="30">
        <v>7.2121340313850801</v>
      </c>
      <c r="W278" s="30">
        <v>17.794370237606099</v>
      </c>
      <c r="X278" s="30">
        <v>2.06335385956561</v>
      </c>
      <c r="Y278" s="30">
        <v>11.391776007546801</v>
      </c>
      <c r="Z278" s="30">
        <v>1.45273257220973</v>
      </c>
      <c r="AA278" s="30">
        <v>8.8930230899337097E-3</v>
      </c>
      <c r="AB278" s="30">
        <v>8.7830746006370003E-3</v>
      </c>
      <c r="AC278" s="30">
        <v>2.79143196879303</v>
      </c>
      <c r="AD278" s="30">
        <v>1986.50093884087</v>
      </c>
      <c r="AE278" s="30">
        <v>73.111647742684497</v>
      </c>
      <c r="AF278" s="30">
        <v>62.638934335638702</v>
      </c>
    </row>
    <row r="279" spans="1:32" s="2" customFormat="1">
      <c r="A279" s="23" t="s">
        <v>419</v>
      </c>
      <c r="B279" s="13" t="s">
        <v>442</v>
      </c>
      <c r="C279" s="9">
        <v>8.4550883465020199</v>
      </c>
      <c r="D279" s="9">
        <v>0.31923115132427299</v>
      </c>
      <c r="E279" s="9">
        <v>0.17353643489720599</v>
      </c>
      <c r="F279" s="9">
        <v>3.38680344239596E-3</v>
      </c>
      <c r="G279" s="9">
        <v>0.40906758383004199</v>
      </c>
      <c r="H279" s="8"/>
      <c r="I279" s="29">
        <v>10640.0124515973</v>
      </c>
      <c r="J279" s="30">
        <v>1.7435525947397701</v>
      </c>
      <c r="K279" s="29">
        <v>218.67533675221901</v>
      </c>
      <c r="L279" s="30">
        <v>0.78172065637124399</v>
      </c>
      <c r="M279" s="30">
        <v>1789.3927781171001</v>
      </c>
      <c r="N279" s="30">
        <v>3512.82907493017</v>
      </c>
      <c r="O279" s="30">
        <v>366.44015619289002</v>
      </c>
      <c r="P279" s="30">
        <v>1217.26454929237</v>
      </c>
      <c r="Q279" s="30">
        <v>150.77129909011401</v>
      </c>
      <c r="R279" s="30">
        <v>21.091759996944599</v>
      </c>
      <c r="S279" s="30">
        <v>89.605753084704602</v>
      </c>
      <c r="T279" s="30">
        <v>9.21284864896964</v>
      </c>
      <c r="U279" s="30">
        <v>42.515602640756697</v>
      </c>
      <c r="V279" s="30">
        <v>7.2912150548663401</v>
      </c>
      <c r="W279" s="30">
        <v>17.703818776606099</v>
      </c>
      <c r="X279" s="30">
        <v>2.0538510854358898</v>
      </c>
      <c r="Y279" s="30">
        <v>11.6458208491</v>
      </c>
      <c r="Z279" s="30">
        <v>1.4894850212334501</v>
      </c>
      <c r="AA279" s="30">
        <v>-6.9396261144962705E-4</v>
      </c>
      <c r="AB279" s="30">
        <v>1.0746316508170799E-2</v>
      </c>
      <c r="AC279" s="30">
        <v>2.5944962255802402</v>
      </c>
      <c r="AD279" s="30">
        <v>2062.90763668421</v>
      </c>
      <c r="AE279" s="30">
        <v>77.784338115360399</v>
      </c>
      <c r="AF279" s="30">
        <v>64.174822289873703</v>
      </c>
    </row>
    <row r="280" spans="1:32" s="2" customFormat="1">
      <c r="A280" s="23" t="s">
        <v>419</v>
      </c>
      <c r="B280" s="13" t="s">
        <v>443</v>
      </c>
      <c r="C280" s="9">
        <v>8.3990949245083097</v>
      </c>
      <c r="D280" s="9">
        <v>0.31482909148947602</v>
      </c>
      <c r="E280" s="9">
        <v>0.16365758028067201</v>
      </c>
      <c r="F280" s="9">
        <v>3.7944855812855598E-3</v>
      </c>
      <c r="G280" s="9">
        <v>0.30884353584539698</v>
      </c>
      <c r="H280" s="8"/>
      <c r="I280" s="29">
        <v>10304.8205043158</v>
      </c>
      <c r="J280" s="30">
        <v>1.0131561604902899</v>
      </c>
      <c r="K280" s="29">
        <v>209.83222497895099</v>
      </c>
      <c r="L280" s="30">
        <v>0.73910971588789598</v>
      </c>
      <c r="M280" s="30">
        <v>1699.5817043851</v>
      </c>
      <c r="N280" s="30">
        <v>3326.9186978886501</v>
      </c>
      <c r="O280" s="30">
        <v>345.92860290669699</v>
      </c>
      <c r="P280" s="30">
        <v>1163.99185236894</v>
      </c>
      <c r="Q280" s="30">
        <v>143.409564708609</v>
      </c>
      <c r="R280" s="30">
        <v>20.427471880823699</v>
      </c>
      <c r="S280" s="30">
        <v>87.139668956840396</v>
      </c>
      <c r="T280" s="30">
        <v>8.80109578192193</v>
      </c>
      <c r="U280" s="30">
        <v>41.660080582646501</v>
      </c>
      <c r="V280" s="30">
        <v>7.1291911652778799</v>
      </c>
      <c r="W280" s="30">
        <v>17.111865796430099</v>
      </c>
      <c r="X280" s="30">
        <v>1.9874155617935301</v>
      </c>
      <c r="Y280" s="30">
        <v>11.277002430419399</v>
      </c>
      <c r="Z280" s="30">
        <v>1.4111392876920501</v>
      </c>
      <c r="AA280" s="30">
        <v>9.1736442588505208E-3</v>
      </c>
      <c r="AB280" s="30">
        <v>6.9962501600568097E-3</v>
      </c>
      <c r="AC280" s="30">
        <v>2.8004021625240898</v>
      </c>
      <c r="AD280" s="30">
        <v>1921.3731837555599</v>
      </c>
      <c r="AE280" s="30">
        <v>73.074399039255695</v>
      </c>
      <c r="AF280" s="30">
        <v>59.704089149072601</v>
      </c>
    </row>
    <row r="281" spans="1:32" s="2" customFormat="1">
      <c r="A281" s="23" t="s">
        <v>419</v>
      </c>
      <c r="B281" s="13" t="s">
        <v>444</v>
      </c>
      <c r="C281" s="9">
        <v>8.6090134656736694</v>
      </c>
      <c r="D281" s="9">
        <v>0.34137293106386302</v>
      </c>
      <c r="E281" s="9">
        <v>0.16401199589960799</v>
      </c>
      <c r="F281" s="9">
        <v>3.9353186704291498E-3</v>
      </c>
      <c r="G281" s="9">
        <v>0.32668595921515498</v>
      </c>
      <c r="H281" s="8"/>
      <c r="I281" s="29">
        <v>10486.723742316801</v>
      </c>
      <c r="J281" s="30">
        <v>1.6075777553089501</v>
      </c>
      <c r="K281" s="29">
        <v>227.518322313449</v>
      </c>
      <c r="L281" s="30">
        <v>0.78901384077902803</v>
      </c>
      <c r="M281" s="30">
        <v>1851.1910631718299</v>
      </c>
      <c r="N281" s="30">
        <v>3644.5382218610198</v>
      </c>
      <c r="O281" s="30">
        <v>374.77634955824499</v>
      </c>
      <c r="P281" s="30">
        <v>1248.2729993284499</v>
      </c>
      <c r="Q281" s="30">
        <v>154.930025827007</v>
      </c>
      <c r="R281" s="30">
        <v>21.9710737641681</v>
      </c>
      <c r="S281" s="30">
        <v>93.044010379727197</v>
      </c>
      <c r="T281" s="30">
        <v>9.3692707549766805</v>
      </c>
      <c r="U281" s="30">
        <v>44.100537895416998</v>
      </c>
      <c r="V281" s="30">
        <v>7.47604506641773</v>
      </c>
      <c r="W281" s="30">
        <v>18.298950972733</v>
      </c>
      <c r="X281" s="30">
        <v>2.13179946751195</v>
      </c>
      <c r="Y281" s="30">
        <v>11.8509122930265</v>
      </c>
      <c r="Z281" s="30">
        <v>1.4886180291895199</v>
      </c>
      <c r="AA281" s="30">
        <v>-6.82003023982829E-4</v>
      </c>
      <c r="AB281" s="30">
        <v>8.5808969088846596E-3</v>
      </c>
      <c r="AC281" s="30">
        <v>2.6035315775673999</v>
      </c>
      <c r="AD281" s="30">
        <v>1980.7319526941901</v>
      </c>
      <c r="AE281" s="30">
        <v>72.592792299064101</v>
      </c>
      <c r="AF281" s="30">
        <v>60.576564867874303</v>
      </c>
    </row>
    <row r="282" spans="1:32" s="2" customFormat="1">
      <c r="A282" s="23" t="s">
        <v>419</v>
      </c>
      <c r="B282" s="13" t="s">
        <v>445</v>
      </c>
      <c r="C282" s="9">
        <v>8.4157894734471697</v>
      </c>
      <c r="D282" s="9">
        <v>0.33923834006721099</v>
      </c>
      <c r="E282" s="9">
        <v>0.16921116893524199</v>
      </c>
      <c r="F282" s="9">
        <v>4.6019531178502198E-3</v>
      </c>
      <c r="G282" s="9">
        <v>0.30574806431670398</v>
      </c>
      <c r="H282" s="8"/>
      <c r="I282" s="29">
        <v>10408.4667814433</v>
      </c>
      <c r="J282" s="30">
        <v>1.1252549493459301</v>
      </c>
      <c r="K282" s="29">
        <v>217.28354773622701</v>
      </c>
      <c r="L282" s="30">
        <v>0.69811405525691195</v>
      </c>
      <c r="M282" s="30">
        <v>1736.3829143028699</v>
      </c>
      <c r="N282" s="30">
        <v>3453.6475855404001</v>
      </c>
      <c r="O282" s="30">
        <v>361.05953694832402</v>
      </c>
      <c r="P282" s="30">
        <v>1221.4453141845099</v>
      </c>
      <c r="Q282" s="30">
        <v>150.88144306293401</v>
      </c>
      <c r="R282" s="30">
        <v>20.650215998863398</v>
      </c>
      <c r="S282" s="30">
        <v>90.200392227625798</v>
      </c>
      <c r="T282" s="30">
        <v>9.3240225639351397</v>
      </c>
      <c r="U282" s="30">
        <v>43.325996516889496</v>
      </c>
      <c r="V282" s="30">
        <v>7.3313752435644703</v>
      </c>
      <c r="W282" s="30">
        <v>17.954992799748901</v>
      </c>
      <c r="X282" s="30">
        <v>2.0990398562376398</v>
      </c>
      <c r="Y282" s="30">
        <v>11.7374068511605</v>
      </c>
      <c r="Z282" s="30">
        <v>1.4432730113114201</v>
      </c>
      <c r="AA282" s="30">
        <v>-6.9248410949466902E-4</v>
      </c>
      <c r="AB282" s="30">
        <v>1.06749158815518E-2</v>
      </c>
      <c r="AC282" s="30">
        <v>2.7279481092347702</v>
      </c>
      <c r="AD282" s="30">
        <v>1953.7605887765901</v>
      </c>
      <c r="AE282" s="30">
        <v>74.595381911613003</v>
      </c>
      <c r="AF282" s="30">
        <v>59.983099480824002</v>
      </c>
    </row>
    <row r="283" spans="1:32" s="2" customFormat="1">
      <c r="A283" s="23" t="s">
        <v>419</v>
      </c>
      <c r="B283" s="13" t="s">
        <v>446</v>
      </c>
      <c r="C283" s="9">
        <v>8.3440153605473206</v>
      </c>
      <c r="D283" s="9">
        <v>0.33737428199174802</v>
      </c>
      <c r="E283" s="9">
        <v>0.17879612877984499</v>
      </c>
      <c r="F283" s="9">
        <v>3.8060950993717702E-3</v>
      </c>
      <c r="G283" s="9">
        <v>0.20712041745041601</v>
      </c>
      <c r="H283" s="8"/>
      <c r="I283" s="29">
        <v>10519.4659242129</v>
      </c>
      <c r="J283" s="30">
        <v>1.51984223587574</v>
      </c>
      <c r="K283" s="29">
        <v>219.75810180582101</v>
      </c>
      <c r="L283" s="30">
        <v>0.63040773750741197</v>
      </c>
      <c r="M283" s="30">
        <v>1809.9766777398299</v>
      </c>
      <c r="N283" s="30">
        <v>3608.1826179018599</v>
      </c>
      <c r="O283" s="30">
        <v>375.47092408308703</v>
      </c>
      <c r="P283" s="30">
        <v>1253.46260547421</v>
      </c>
      <c r="Q283" s="30">
        <v>156.54022839615999</v>
      </c>
      <c r="R283" s="30">
        <v>21.193385072791301</v>
      </c>
      <c r="S283" s="30">
        <v>92.435915012826101</v>
      </c>
      <c r="T283" s="30">
        <v>9.5105102435767392</v>
      </c>
      <c r="U283" s="30">
        <v>43.540776705846604</v>
      </c>
      <c r="V283" s="30">
        <v>7.4663007257769003</v>
      </c>
      <c r="W283" s="30">
        <v>18.244422735877698</v>
      </c>
      <c r="X283" s="30">
        <v>2.1191253731742798</v>
      </c>
      <c r="Y283" s="30">
        <v>11.8488667774108</v>
      </c>
      <c r="Z283" s="30">
        <v>1.48572839989184</v>
      </c>
      <c r="AA283" s="30">
        <v>-7.0748228464074701E-4</v>
      </c>
      <c r="AB283" s="30">
        <v>6.0801723152812803E-3</v>
      </c>
      <c r="AC283" s="30">
        <v>2.46700647099625</v>
      </c>
      <c r="AD283" s="30">
        <v>1929.3362328442199</v>
      </c>
      <c r="AE283" s="30">
        <v>77.351839110565507</v>
      </c>
      <c r="AF283" s="30">
        <v>59.765371209077699</v>
      </c>
    </row>
    <row r="284" spans="1:32" s="2" customFormat="1">
      <c r="A284" s="23" t="s">
        <v>419</v>
      </c>
      <c r="B284" s="13" t="s">
        <v>447</v>
      </c>
      <c r="C284" s="9">
        <v>8.7312448088336208</v>
      </c>
      <c r="D284" s="9">
        <v>0.357175907649527</v>
      </c>
      <c r="E284" s="9">
        <v>0.163253587076132</v>
      </c>
      <c r="F284" s="9">
        <v>3.53738264813075E-3</v>
      </c>
      <c r="G284" s="9">
        <v>0.348702027452434</v>
      </c>
      <c r="H284" s="8"/>
      <c r="I284" s="29">
        <v>10294.977653443</v>
      </c>
      <c r="J284" s="30">
        <v>2.0196356791036201</v>
      </c>
      <c r="K284" s="29">
        <v>207.74034181832201</v>
      </c>
      <c r="L284" s="30">
        <v>0.86640967444331196</v>
      </c>
      <c r="M284" s="30">
        <v>1758.3680229597301</v>
      </c>
      <c r="N284" s="30">
        <v>3456.5977713068</v>
      </c>
      <c r="O284" s="30">
        <v>353.85993672019401</v>
      </c>
      <c r="P284" s="30">
        <v>1184.3832699990201</v>
      </c>
      <c r="Q284" s="30">
        <v>147.27805212879301</v>
      </c>
      <c r="R284" s="30">
        <v>20.431655758746</v>
      </c>
      <c r="S284" s="30">
        <v>86.234449570418107</v>
      </c>
      <c r="T284" s="30">
        <v>8.82905685786851</v>
      </c>
      <c r="U284" s="30">
        <v>41.222971903570603</v>
      </c>
      <c r="V284" s="30">
        <v>7.0170161123291397</v>
      </c>
      <c r="W284" s="30">
        <v>17.0985823178919</v>
      </c>
      <c r="X284" s="30">
        <v>1.98083216230526</v>
      </c>
      <c r="Y284" s="30">
        <v>10.9542809648825</v>
      </c>
      <c r="Z284" s="30">
        <v>1.4181933121915999</v>
      </c>
      <c r="AA284" s="30">
        <v>-7.0114205253504205E-4</v>
      </c>
      <c r="AB284" s="30">
        <v>1.1872835268084799E-2</v>
      </c>
      <c r="AC284" s="30">
        <v>1.3381152350957</v>
      </c>
      <c r="AD284" s="30">
        <v>1917.65929632039</v>
      </c>
      <c r="AE284" s="30">
        <v>80.396126622777004</v>
      </c>
      <c r="AF284" s="30">
        <v>59.2414732524485</v>
      </c>
    </row>
    <row r="285" spans="1:32" s="2" customFormat="1">
      <c r="A285" s="23" t="s">
        <v>419</v>
      </c>
      <c r="B285" s="13" t="s">
        <v>448</v>
      </c>
      <c r="C285" s="9">
        <v>8.7093334496372901</v>
      </c>
      <c r="D285" s="9">
        <v>0.33074920182635398</v>
      </c>
      <c r="E285" s="9">
        <v>0.163130167577832</v>
      </c>
      <c r="F285" s="9">
        <v>3.7381335218240499E-3</v>
      </c>
      <c r="G285" s="9">
        <v>0.20457375427319399</v>
      </c>
      <c r="H285" s="8"/>
      <c r="I285" s="29">
        <v>10188.5652770868</v>
      </c>
      <c r="J285" s="30">
        <v>1.60105214403142</v>
      </c>
      <c r="K285" s="29">
        <v>208.68197786054699</v>
      </c>
      <c r="L285" s="30">
        <v>0.87313404787687798</v>
      </c>
      <c r="M285" s="30">
        <v>1702.6760364939901</v>
      </c>
      <c r="N285" s="30">
        <v>3348.1688972644301</v>
      </c>
      <c r="O285" s="30">
        <v>344.575011538458</v>
      </c>
      <c r="P285" s="30">
        <v>1145.2766173244099</v>
      </c>
      <c r="Q285" s="30">
        <v>146.77354804281501</v>
      </c>
      <c r="R285" s="30">
        <v>19.844892290056301</v>
      </c>
      <c r="S285" s="30">
        <v>86.239984559960902</v>
      </c>
      <c r="T285" s="30">
        <v>8.8980831440809194</v>
      </c>
      <c r="U285" s="30">
        <v>40.956040127558701</v>
      </c>
      <c r="V285" s="30">
        <v>7.1382714797480897</v>
      </c>
      <c r="W285" s="30">
        <v>17.184552710734199</v>
      </c>
      <c r="X285" s="30">
        <v>1.99064288770298</v>
      </c>
      <c r="Y285" s="30">
        <v>11.3859094407364</v>
      </c>
      <c r="Z285" s="30">
        <v>1.4163988800840599</v>
      </c>
      <c r="AA285" s="30">
        <v>1.2491972057060499E-2</v>
      </c>
      <c r="AB285" s="30">
        <v>7.20268319727834E-3</v>
      </c>
      <c r="AC285" s="30">
        <v>2.9017691877954999</v>
      </c>
      <c r="AD285" s="30">
        <v>2203.0814719045902</v>
      </c>
      <c r="AE285" s="30">
        <v>75.034340257005994</v>
      </c>
      <c r="AF285" s="30">
        <v>65.096825482078302</v>
      </c>
    </row>
    <row r="286" spans="1:32" s="2" customFormat="1">
      <c r="A286" s="23" t="s">
        <v>419</v>
      </c>
      <c r="B286" s="13" t="s">
        <v>449</v>
      </c>
      <c r="C286" s="9">
        <v>8.6387721735467498</v>
      </c>
      <c r="D286" s="9">
        <v>0.34391219382789601</v>
      </c>
      <c r="E286" s="9">
        <v>0.16220687592845201</v>
      </c>
      <c r="F286" s="9">
        <v>3.9234924740636397E-3</v>
      </c>
      <c r="G286" s="9">
        <v>0.13568282018004499</v>
      </c>
      <c r="H286" s="8"/>
      <c r="I286" s="29">
        <v>10548.9343286738</v>
      </c>
      <c r="J286" s="30">
        <v>1.4116921811898999</v>
      </c>
      <c r="K286" s="29">
        <v>218.61625128295799</v>
      </c>
      <c r="L286" s="30">
        <v>0.95764279000095198</v>
      </c>
      <c r="M286" s="30">
        <v>1780.1458951229999</v>
      </c>
      <c r="N286" s="30">
        <v>3529.7217811845098</v>
      </c>
      <c r="O286" s="30">
        <v>361.96322875865599</v>
      </c>
      <c r="P286" s="30">
        <v>1205.35873712068</v>
      </c>
      <c r="Q286" s="30">
        <v>151.021595162696</v>
      </c>
      <c r="R286" s="30">
        <v>20.790026454388499</v>
      </c>
      <c r="S286" s="30">
        <v>87.7153239326841</v>
      </c>
      <c r="T286" s="30">
        <v>9.0323478063130604</v>
      </c>
      <c r="U286" s="30">
        <v>42.649559214114099</v>
      </c>
      <c r="V286" s="30">
        <v>7.3731148314290502</v>
      </c>
      <c r="W286" s="30">
        <v>18.016172864071802</v>
      </c>
      <c r="X286" s="30">
        <v>2.0857529282863698</v>
      </c>
      <c r="Y286" s="30">
        <v>11.796605830798701</v>
      </c>
      <c r="Z286" s="30">
        <v>1.4391054154941001</v>
      </c>
      <c r="AA286" s="30">
        <v>2.33001223759382E-2</v>
      </c>
      <c r="AB286" s="30">
        <v>1.01071106936314E-2</v>
      </c>
      <c r="AC286" s="30">
        <v>2.9267673355964199</v>
      </c>
      <c r="AD286" s="30">
        <v>2254.5556995256502</v>
      </c>
      <c r="AE286" s="30">
        <v>74.541506471948694</v>
      </c>
      <c r="AF286" s="30">
        <v>66.733286277007906</v>
      </c>
    </row>
    <row r="287" spans="1:32" s="2" customFormat="1">
      <c r="A287" s="23" t="s">
        <v>419</v>
      </c>
      <c r="B287" s="13" t="s">
        <v>450</v>
      </c>
      <c r="C287" s="9">
        <v>8.6525650863308208</v>
      </c>
      <c r="D287" s="9">
        <v>0.35045500495266801</v>
      </c>
      <c r="E287" s="9">
        <v>0.152190281354219</v>
      </c>
      <c r="F287" s="9">
        <v>4.1518802541308597E-3</v>
      </c>
      <c r="G287" s="9">
        <v>0.29901053899302599</v>
      </c>
      <c r="H287" s="8"/>
      <c r="I287" s="29">
        <v>9824.0732343845593</v>
      </c>
      <c r="J287" s="30">
        <v>0.99429694611540798</v>
      </c>
      <c r="K287" s="29">
        <v>208.96697394632901</v>
      </c>
      <c r="L287" s="30">
        <v>0.96011880283040796</v>
      </c>
      <c r="M287" s="30">
        <v>1727.73717266275</v>
      </c>
      <c r="N287" s="30">
        <v>3399.9051506667702</v>
      </c>
      <c r="O287" s="30">
        <v>345.88160358201498</v>
      </c>
      <c r="P287" s="30">
        <v>1147.62589689676</v>
      </c>
      <c r="Q287" s="30">
        <v>144.72519035349501</v>
      </c>
      <c r="R287" s="30">
        <v>19.6055241791478</v>
      </c>
      <c r="S287" s="30">
        <v>84.825451559461897</v>
      </c>
      <c r="T287" s="30">
        <v>8.8136598458043203</v>
      </c>
      <c r="U287" s="30">
        <v>41.418953245217502</v>
      </c>
      <c r="V287" s="30">
        <v>7.1125234510076298</v>
      </c>
      <c r="W287" s="30">
        <v>17.393751999237601</v>
      </c>
      <c r="X287" s="30">
        <v>2.0152742054133599</v>
      </c>
      <c r="Y287" s="30">
        <v>10.995566827085399</v>
      </c>
      <c r="Z287" s="30">
        <v>1.3852399245660001</v>
      </c>
      <c r="AA287" s="30">
        <v>9.1732725836454008E-3</v>
      </c>
      <c r="AB287" s="30">
        <v>7.8047916074583702E-3</v>
      </c>
      <c r="AC287" s="30">
        <v>3.0961456522298598</v>
      </c>
      <c r="AD287" s="30">
        <v>2178.5530182642801</v>
      </c>
      <c r="AE287" s="30">
        <v>70.094344474145998</v>
      </c>
      <c r="AF287" s="30">
        <v>64.544328898870106</v>
      </c>
    </row>
    <row r="288" spans="1:32" s="2" customFormat="1">
      <c r="A288" s="23" t="s">
        <v>419</v>
      </c>
      <c r="B288" s="13" t="s">
        <v>451</v>
      </c>
      <c r="C288" s="9">
        <v>8.8841549687941193</v>
      </c>
      <c r="D288" s="9">
        <v>0.34756259985270199</v>
      </c>
      <c r="E288" s="9">
        <v>0.142134996293803</v>
      </c>
      <c r="F288" s="9">
        <v>3.5252229495847001E-3</v>
      </c>
      <c r="G288" s="9">
        <v>0.28028002424532</v>
      </c>
      <c r="H288" s="8"/>
      <c r="I288" s="29">
        <v>9849.7921657974694</v>
      </c>
      <c r="J288" s="30">
        <v>0.506409088915307</v>
      </c>
      <c r="K288" s="29">
        <v>221.20165007415599</v>
      </c>
      <c r="L288" s="30">
        <v>0.72140426017751802</v>
      </c>
      <c r="M288" s="30">
        <v>1819.21119452276</v>
      </c>
      <c r="N288" s="30">
        <v>3583.9062106401402</v>
      </c>
      <c r="O288" s="30">
        <v>366.45840145950899</v>
      </c>
      <c r="P288" s="30">
        <v>1213.1092843843801</v>
      </c>
      <c r="Q288" s="30">
        <v>153.25114668957499</v>
      </c>
      <c r="R288" s="30">
        <v>20.598450900579401</v>
      </c>
      <c r="S288" s="30">
        <v>88.978074226492893</v>
      </c>
      <c r="T288" s="30">
        <v>9.1528191306700393</v>
      </c>
      <c r="U288" s="30">
        <v>44.023410026273098</v>
      </c>
      <c r="V288" s="30">
        <v>7.4499326082112098</v>
      </c>
      <c r="W288" s="30">
        <v>17.822729315932801</v>
      </c>
      <c r="X288" s="30">
        <v>2.0242499045775602</v>
      </c>
      <c r="Y288" s="30">
        <v>11.8614202034762</v>
      </c>
      <c r="Z288" s="30">
        <v>1.46291345283481</v>
      </c>
      <c r="AA288" s="30">
        <v>-8.7724982615361099E-4</v>
      </c>
      <c r="AB288" s="30">
        <v>6.7885138582810698E-3</v>
      </c>
      <c r="AC288" s="30">
        <v>2.5668193249519899</v>
      </c>
      <c r="AD288" s="30">
        <v>2037.36477269942</v>
      </c>
      <c r="AE288" s="30">
        <v>70.600151556472397</v>
      </c>
      <c r="AF288" s="30">
        <v>59.423906661537799</v>
      </c>
    </row>
    <row r="289" spans="1:32" s="2" customFormat="1">
      <c r="A289" s="23" t="s">
        <v>419</v>
      </c>
      <c r="B289" s="13" t="s">
        <v>452</v>
      </c>
      <c r="C289" s="9">
        <v>8.5913274518743705</v>
      </c>
      <c r="D289" s="9">
        <v>0.35477422260108299</v>
      </c>
      <c r="E289" s="9">
        <v>0.16545463218200401</v>
      </c>
      <c r="F289" s="9">
        <v>4.3032258784143299E-3</v>
      </c>
      <c r="G289" s="9">
        <v>0.35625568105222999</v>
      </c>
      <c r="H289" s="8"/>
      <c r="I289" s="29">
        <v>10524.350166276001</v>
      </c>
      <c r="J289" s="30">
        <v>0.806650617324426</v>
      </c>
      <c r="K289" s="29">
        <v>207.76583651080699</v>
      </c>
      <c r="L289" s="30">
        <v>0.64637172162089296</v>
      </c>
      <c r="M289" s="30">
        <v>1731.92446041942</v>
      </c>
      <c r="N289" s="30">
        <v>3411.04227028593</v>
      </c>
      <c r="O289" s="30">
        <v>352.48417438899099</v>
      </c>
      <c r="P289" s="30">
        <v>1186.8465798852801</v>
      </c>
      <c r="Q289" s="30">
        <v>147.73467757234701</v>
      </c>
      <c r="R289" s="30">
        <v>19.866982845473402</v>
      </c>
      <c r="S289" s="30">
        <v>85.224154691620498</v>
      </c>
      <c r="T289" s="30">
        <v>8.8839027844123493</v>
      </c>
      <c r="U289" s="30">
        <v>42.0840990266951</v>
      </c>
      <c r="V289" s="30">
        <v>7.1476529722697704</v>
      </c>
      <c r="W289" s="30">
        <v>17.077631178606001</v>
      </c>
      <c r="X289" s="30">
        <v>2.0209227043171198</v>
      </c>
      <c r="Y289" s="30">
        <v>11.602399990252399</v>
      </c>
      <c r="Z289" s="30">
        <v>1.4379085921165</v>
      </c>
      <c r="AA289" s="30">
        <v>-8.7187362714554405E-4</v>
      </c>
      <c r="AB289" s="30">
        <v>6.1616266452904104E-3</v>
      </c>
      <c r="AC289" s="30">
        <v>2.5530619719562999</v>
      </c>
      <c r="AD289" s="30">
        <v>1917.2766148737701</v>
      </c>
      <c r="AE289" s="30">
        <v>71.426009008109105</v>
      </c>
      <c r="AF289" s="30">
        <v>58.501842333436898</v>
      </c>
    </row>
    <row r="290" spans="1:32" s="2" customFormat="1">
      <c r="A290" s="23" t="s">
        <v>419</v>
      </c>
      <c r="B290" s="13" t="s">
        <v>453</v>
      </c>
      <c r="C290" s="9">
        <v>8.9230649805945301</v>
      </c>
      <c r="D290" s="9">
        <v>0.35886212199501599</v>
      </c>
      <c r="E290" s="9">
        <v>0.14517975001990599</v>
      </c>
      <c r="F290" s="9">
        <v>4.0845439809348199E-3</v>
      </c>
      <c r="G290" s="9">
        <v>0.32366955514349</v>
      </c>
      <c r="H290" s="8"/>
      <c r="I290" s="29">
        <v>10336.5226740009</v>
      </c>
      <c r="J290" s="30">
        <v>1.6556862923678</v>
      </c>
      <c r="K290" s="29">
        <v>212.26859165996899</v>
      </c>
      <c r="L290" s="30">
        <v>0.88616205425077399</v>
      </c>
      <c r="M290" s="30">
        <v>1750.43192638558</v>
      </c>
      <c r="N290" s="30">
        <v>3428.23164144577</v>
      </c>
      <c r="O290" s="30">
        <v>352.43217329817099</v>
      </c>
      <c r="P290" s="30">
        <v>1182.0180251506399</v>
      </c>
      <c r="Q290" s="30">
        <v>150.47580295006401</v>
      </c>
      <c r="R290" s="30">
        <v>20.674817655750399</v>
      </c>
      <c r="S290" s="30">
        <v>84.534396971034695</v>
      </c>
      <c r="T290" s="30">
        <v>9.1308480754882204</v>
      </c>
      <c r="U290" s="30">
        <v>42.312046273549598</v>
      </c>
      <c r="V290" s="30">
        <v>7.2034736636365402</v>
      </c>
      <c r="W290" s="30">
        <v>17.722079133153802</v>
      </c>
      <c r="X290" s="30">
        <v>2.0699951880812399</v>
      </c>
      <c r="Y290" s="30">
        <v>11.665951025038</v>
      </c>
      <c r="Z290" s="30">
        <v>1.4601112440810899</v>
      </c>
      <c r="AA290" s="30">
        <v>-8.6170737063757897E-4</v>
      </c>
      <c r="AB290" s="30">
        <v>1.10638198229773E-2</v>
      </c>
      <c r="AC290" s="30">
        <v>2.8107098400852202</v>
      </c>
      <c r="AD290" s="30">
        <v>2062.7536464521099</v>
      </c>
      <c r="AE290" s="30">
        <v>69.126099958149794</v>
      </c>
      <c r="AF290" s="30">
        <v>60.122349999188202</v>
      </c>
    </row>
    <row r="291" spans="1:32" s="2" customFormat="1">
      <c r="A291" s="23" t="s">
        <v>419</v>
      </c>
      <c r="B291" s="13" t="s">
        <v>454</v>
      </c>
      <c r="C291" s="9">
        <v>8.5330166959298808</v>
      </c>
      <c r="D291" s="9">
        <v>0.357699025943093</v>
      </c>
      <c r="E291" s="9">
        <v>0.17607374205674101</v>
      </c>
      <c r="F291" s="9">
        <v>4.1169071436168402E-3</v>
      </c>
      <c r="G291" s="9">
        <v>0.360684386094207</v>
      </c>
      <c r="H291" s="8"/>
      <c r="I291" s="29">
        <v>10012.1886961167</v>
      </c>
      <c r="J291" s="30">
        <v>1.6360039022452799</v>
      </c>
      <c r="K291" s="29">
        <v>214.521086617658</v>
      </c>
      <c r="L291" s="30">
        <v>0.85981610030549205</v>
      </c>
      <c r="M291" s="30">
        <v>1707.02625025766</v>
      </c>
      <c r="N291" s="30">
        <v>3395.1262353205502</v>
      </c>
      <c r="O291" s="30">
        <v>351.14339896643901</v>
      </c>
      <c r="P291" s="30">
        <v>1175.02967592136</v>
      </c>
      <c r="Q291" s="30">
        <v>148.011763659103</v>
      </c>
      <c r="R291" s="30">
        <v>20.399761812129402</v>
      </c>
      <c r="S291" s="30">
        <v>87.054316817074493</v>
      </c>
      <c r="T291" s="30">
        <v>9.0961185978891397</v>
      </c>
      <c r="U291" s="30">
        <v>43.442883934482097</v>
      </c>
      <c r="V291" s="30">
        <v>7.3633492088163699</v>
      </c>
      <c r="W291" s="30">
        <v>17.899307466715399</v>
      </c>
      <c r="X291" s="30">
        <v>2.0930311384792901</v>
      </c>
      <c r="Y291" s="30">
        <v>11.798544213836999</v>
      </c>
      <c r="Z291" s="30">
        <v>1.48487691069053</v>
      </c>
      <c r="AA291" s="30">
        <v>-8.4510777749417798E-4</v>
      </c>
      <c r="AB291" s="30">
        <v>1.2978485031955899E-2</v>
      </c>
      <c r="AC291" s="30">
        <v>2.5704428207090899</v>
      </c>
      <c r="AD291" s="30">
        <v>2032.9731308005501</v>
      </c>
      <c r="AE291" s="30">
        <v>75.317958635353406</v>
      </c>
      <c r="AF291" s="30">
        <v>61.958367116845899</v>
      </c>
    </row>
    <row r="292" spans="1:32" s="2" customFormat="1">
      <c r="A292" s="23" t="s">
        <v>419</v>
      </c>
      <c r="B292" s="13" t="s">
        <v>455</v>
      </c>
      <c r="C292" s="9">
        <v>9.1344276637536606</v>
      </c>
      <c r="D292" s="9">
        <v>0.36280942942290401</v>
      </c>
      <c r="E292" s="9">
        <v>0.133665264692855</v>
      </c>
      <c r="F292" s="9">
        <v>3.8010396056487698E-3</v>
      </c>
      <c r="G292" s="9">
        <v>0.26164889862323798</v>
      </c>
      <c r="H292" s="8"/>
      <c r="I292" s="29">
        <v>10022.742730952101</v>
      </c>
      <c r="J292" s="30">
        <v>1.69787591578117</v>
      </c>
      <c r="K292" s="29">
        <v>212.18489395198699</v>
      </c>
      <c r="L292" s="30">
        <v>0.71971806508713299</v>
      </c>
      <c r="M292" s="30">
        <v>1797.3700783525801</v>
      </c>
      <c r="N292" s="30">
        <v>3539.3635935196398</v>
      </c>
      <c r="O292" s="30">
        <v>363.574615090431</v>
      </c>
      <c r="P292" s="30">
        <v>1213.5006005809701</v>
      </c>
      <c r="Q292" s="30">
        <v>151.074338834267</v>
      </c>
      <c r="R292" s="30">
        <v>20.825129953220699</v>
      </c>
      <c r="S292" s="30">
        <v>87.062073907390101</v>
      </c>
      <c r="T292" s="30">
        <v>9.1642617644088897</v>
      </c>
      <c r="U292" s="30">
        <v>42.497841591994401</v>
      </c>
      <c r="V292" s="30">
        <v>7.2768981943115296</v>
      </c>
      <c r="W292" s="30">
        <v>17.6554608984986</v>
      </c>
      <c r="X292" s="30">
        <v>2.0679518341418199</v>
      </c>
      <c r="Y292" s="30">
        <v>11.533850448668099</v>
      </c>
      <c r="Z292" s="30">
        <v>1.4310336411698701</v>
      </c>
      <c r="AA292" s="30">
        <v>-8.7027910025638203E-4</v>
      </c>
      <c r="AB292" s="30">
        <v>8.0303144441391805E-3</v>
      </c>
      <c r="AC292" s="30">
        <v>2.6039706614999401</v>
      </c>
      <c r="AD292" s="30">
        <v>1984.7473229219599</v>
      </c>
      <c r="AE292" s="30">
        <v>68.427174102218402</v>
      </c>
      <c r="AF292" s="30">
        <v>57.585951146491396</v>
      </c>
    </row>
    <row r="293" spans="1:32" s="2" customFormat="1">
      <c r="A293" s="23" t="s">
        <v>419</v>
      </c>
      <c r="B293" s="13" t="s">
        <v>456</v>
      </c>
      <c r="C293" s="9">
        <v>8.5464483950186292</v>
      </c>
      <c r="D293" s="9">
        <v>0.35999599786687098</v>
      </c>
      <c r="E293" s="9">
        <v>0.16244660766194699</v>
      </c>
      <c r="F293" s="9">
        <v>4.0835712758299104E-3</v>
      </c>
      <c r="G293" s="9">
        <v>0.45193263383892202</v>
      </c>
      <c r="H293" s="8"/>
      <c r="I293" s="29">
        <v>9925.5334211996797</v>
      </c>
      <c r="J293" s="30">
        <v>1.0671918677360399</v>
      </c>
      <c r="K293" s="29">
        <v>201.35421281574199</v>
      </c>
      <c r="L293" s="30">
        <v>0.89385881218768004</v>
      </c>
      <c r="M293" s="30">
        <v>1652.84181461904</v>
      </c>
      <c r="N293" s="30">
        <v>3246.48795162326</v>
      </c>
      <c r="O293" s="30">
        <v>335.27172320105899</v>
      </c>
      <c r="P293" s="30">
        <v>1120.13336962223</v>
      </c>
      <c r="Q293" s="30">
        <v>142.568030321858</v>
      </c>
      <c r="R293" s="30">
        <v>19.5229830864319</v>
      </c>
      <c r="S293" s="30">
        <v>80.550146126137705</v>
      </c>
      <c r="T293" s="30">
        <v>8.5310113370883993</v>
      </c>
      <c r="U293" s="30">
        <v>40.592393719677602</v>
      </c>
      <c r="V293" s="30">
        <v>6.9319352195578396</v>
      </c>
      <c r="W293" s="30">
        <v>16.458603795877199</v>
      </c>
      <c r="X293" s="30">
        <v>1.94160408297396</v>
      </c>
      <c r="Y293" s="30">
        <v>11.1952457570217</v>
      </c>
      <c r="Z293" s="30">
        <v>1.43896624812975</v>
      </c>
      <c r="AA293" s="30">
        <v>-8.9698610168551505E-4</v>
      </c>
      <c r="AB293" s="30">
        <v>1.22840355372273E-2</v>
      </c>
      <c r="AC293" s="30">
        <v>2.9092398301591502</v>
      </c>
      <c r="AD293" s="30">
        <v>2045.5140467408301</v>
      </c>
      <c r="AE293" s="30">
        <v>65.943401581273605</v>
      </c>
      <c r="AF293" s="30">
        <v>59.324359409298303</v>
      </c>
    </row>
    <row r="294" spans="1:32" s="2" customFormat="1">
      <c r="A294" s="23" t="s">
        <v>419</v>
      </c>
      <c r="B294" s="13" t="s">
        <v>457</v>
      </c>
      <c r="C294" s="9">
        <v>8.8666229290930598</v>
      </c>
      <c r="D294" s="9">
        <v>0.36317301491828802</v>
      </c>
      <c r="E294" s="9">
        <v>0.15186972551376701</v>
      </c>
      <c r="F294" s="9">
        <v>3.9638284159828098E-3</v>
      </c>
      <c r="G294" s="9">
        <v>0.173186522718077</v>
      </c>
      <c r="H294" s="8"/>
      <c r="I294" s="29">
        <v>10186.0432217574</v>
      </c>
      <c r="J294" s="30">
        <v>1.35174566664148</v>
      </c>
      <c r="K294" s="29">
        <v>207.58339818358601</v>
      </c>
      <c r="L294" s="30">
        <v>1.00600793221138</v>
      </c>
      <c r="M294" s="30">
        <v>1723.78493538149</v>
      </c>
      <c r="N294" s="30">
        <v>3401.6628945705702</v>
      </c>
      <c r="O294" s="30">
        <v>352.87486811826699</v>
      </c>
      <c r="P294" s="30">
        <v>1159.6248327777901</v>
      </c>
      <c r="Q294" s="30">
        <v>146.94589269465601</v>
      </c>
      <c r="R294" s="30">
        <v>20.1839245912869</v>
      </c>
      <c r="S294" s="30">
        <v>85.270242022487096</v>
      </c>
      <c r="T294" s="30">
        <v>8.8406080499932997</v>
      </c>
      <c r="U294" s="30">
        <v>40.853847564756897</v>
      </c>
      <c r="V294" s="30">
        <v>6.9274202265694704</v>
      </c>
      <c r="W294" s="30">
        <v>16.949191664242399</v>
      </c>
      <c r="X294" s="30">
        <v>1.9281911905276801</v>
      </c>
      <c r="Y294" s="30">
        <v>11.2087744114354</v>
      </c>
      <c r="Z294" s="30">
        <v>1.4200595277014301</v>
      </c>
      <c r="AA294" s="30">
        <v>1.8551365780752999E-3</v>
      </c>
      <c r="AB294" s="30">
        <v>1.4259628151568501E-2</v>
      </c>
      <c r="AC294" s="30">
        <v>3.1283933718060499</v>
      </c>
      <c r="AD294" s="30">
        <v>2239.8848700563999</v>
      </c>
      <c r="AE294" s="30">
        <v>70.520282139017397</v>
      </c>
      <c r="AF294" s="30">
        <v>64.1789326713902</v>
      </c>
    </row>
    <row r="295" spans="1:32" s="2" customFormat="1">
      <c r="A295" s="23" t="s">
        <v>419</v>
      </c>
      <c r="B295" s="13" t="s">
        <v>458</v>
      </c>
      <c r="C295" s="9">
        <v>9.0053291329307097</v>
      </c>
      <c r="D295" s="9">
        <v>0.35808282137131697</v>
      </c>
      <c r="E295" s="9">
        <v>0.14416096443097501</v>
      </c>
      <c r="F295" s="9">
        <v>3.81818655688443E-3</v>
      </c>
      <c r="G295" s="9">
        <v>0.20240443690616999</v>
      </c>
      <c r="H295" s="8"/>
      <c r="I295" s="29">
        <v>9979.5863260444294</v>
      </c>
      <c r="J295" s="30">
        <v>1.7352214348078301</v>
      </c>
      <c r="K295" s="29">
        <v>201.905567624432</v>
      </c>
      <c r="L295" s="30">
        <v>0.900963622239491</v>
      </c>
      <c r="M295" s="30">
        <v>1644.3183469277201</v>
      </c>
      <c r="N295" s="30">
        <v>3272.1465375559001</v>
      </c>
      <c r="O295" s="30">
        <v>336.65801826428702</v>
      </c>
      <c r="P295" s="30">
        <v>1114.7520505969001</v>
      </c>
      <c r="Q295" s="30">
        <v>140.17678909619599</v>
      </c>
      <c r="R295" s="30">
        <v>19.248143756862302</v>
      </c>
      <c r="S295" s="30">
        <v>81.541360947842605</v>
      </c>
      <c r="T295" s="30">
        <v>8.7736065657917592</v>
      </c>
      <c r="U295" s="30">
        <v>40.215243795104101</v>
      </c>
      <c r="V295" s="30">
        <v>7.0117318892794396</v>
      </c>
      <c r="W295" s="30">
        <v>16.9761733460046</v>
      </c>
      <c r="X295" s="30">
        <v>1.9876392419000699</v>
      </c>
      <c r="Y295" s="30">
        <v>11.222407330085201</v>
      </c>
      <c r="Z295" s="30">
        <v>1.43547824368195</v>
      </c>
      <c r="AA295" s="30">
        <v>-8.8218402392440201E-4</v>
      </c>
      <c r="AB295" s="30">
        <v>9.0706460178853494E-3</v>
      </c>
      <c r="AC295" s="30">
        <v>2.68177348506131</v>
      </c>
      <c r="AD295" s="30">
        <v>2034.2906629183999</v>
      </c>
      <c r="AE295" s="30">
        <v>69.094051520407902</v>
      </c>
      <c r="AF295" s="30">
        <v>58.622340495045101</v>
      </c>
    </row>
    <row r="296" spans="1:32" s="2" customFormat="1">
      <c r="A296" s="23" t="s">
        <v>419</v>
      </c>
      <c r="B296" s="13" t="s">
        <v>459</v>
      </c>
      <c r="C296" s="9">
        <v>9.0242372686597907</v>
      </c>
      <c r="D296" s="9">
        <v>0.37801927131482399</v>
      </c>
      <c r="E296" s="9">
        <v>0.13635696757128901</v>
      </c>
      <c r="F296" s="9">
        <v>3.5654511287530901E-3</v>
      </c>
      <c r="G296" s="9">
        <v>0.38152577661289999</v>
      </c>
      <c r="H296" s="8"/>
      <c r="I296" s="29">
        <v>10186.435456941301</v>
      </c>
      <c r="J296" s="30">
        <v>1.1757866568300299</v>
      </c>
      <c r="K296" s="29">
        <v>209.44731609352499</v>
      </c>
      <c r="L296" s="30">
        <v>0.86998771242452599</v>
      </c>
      <c r="M296" s="30">
        <v>1725.61356070699</v>
      </c>
      <c r="N296" s="30">
        <v>3362.4536807791601</v>
      </c>
      <c r="O296" s="30">
        <v>347.42549911046802</v>
      </c>
      <c r="P296" s="30">
        <v>1155.6866720119899</v>
      </c>
      <c r="Q296" s="30">
        <v>146.52141126969599</v>
      </c>
      <c r="R296" s="30">
        <v>20.2523045812936</v>
      </c>
      <c r="S296" s="30">
        <v>84.222460366269004</v>
      </c>
      <c r="T296" s="30">
        <v>8.8728971856410492</v>
      </c>
      <c r="U296" s="30">
        <v>41.065372926473302</v>
      </c>
      <c r="V296" s="30">
        <v>6.9822949769018496</v>
      </c>
      <c r="W296" s="30">
        <v>17.160527412459999</v>
      </c>
      <c r="X296" s="30">
        <v>1.9676449599250101</v>
      </c>
      <c r="Y296" s="30">
        <v>11.56320359713</v>
      </c>
      <c r="Z296" s="30">
        <v>1.40945847226259</v>
      </c>
      <c r="AA296" s="30">
        <v>2.85013907481587E-2</v>
      </c>
      <c r="AB296" s="30">
        <v>1.1614902327414999E-2</v>
      </c>
      <c r="AC296" s="30">
        <v>2.6791409598323099</v>
      </c>
      <c r="AD296" s="30">
        <v>2069.1431542671899</v>
      </c>
      <c r="AE296" s="30">
        <v>68.473406471462795</v>
      </c>
      <c r="AF296" s="30">
        <v>58.459675657963203</v>
      </c>
    </row>
    <row r="297" spans="1:32" s="2" customFormat="1">
      <c r="A297" s="23" t="s">
        <v>419</v>
      </c>
      <c r="B297" s="13" t="s">
        <v>460</v>
      </c>
      <c r="C297" s="9">
        <v>8.8321450741402696</v>
      </c>
      <c r="D297" s="9">
        <v>0.35854281997627602</v>
      </c>
      <c r="E297" s="9">
        <v>0.15316875830559801</v>
      </c>
      <c r="F297" s="9">
        <v>3.6688269536094501E-3</v>
      </c>
      <c r="G297" s="9">
        <v>0.344829251058557</v>
      </c>
      <c r="H297" s="8"/>
      <c r="I297" s="29">
        <v>9910.2879446392308</v>
      </c>
      <c r="J297" s="30">
        <v>1.7247158273974801</v>
      </c>
      <c r="K297" s="29">
        <v>207.04802669905899</v>
      </c>
      <c r="L297" s="30">
        <v>0.82698192635193402</v>
      </c>
      <c r="M297" s="30">
        <v>1718.3074743249699</v>
      </c>
      <c r="N297" s="30">
        <v>3355.9744868553798</v>
      </c>
      <c r="O297" s="30">
        <v>348.190680758197</v>
      </c>
      <c r="P297" s="30">
        <v>1146.1411217023101</v>
      </c>
      <c r="Q297" s="30">
        <v>144.423004998957</v>
      </c>
      <c r="R297" s="30">
        <v>20.052424280814801</v>
      </c>
      <c r="S297" s="30">
        <v>84.638732263819705</v>
      </c>
      <c r="T297" s="30">
        <v>8.9402611159443293</v>
      </c>
      <c r="U297" s="30">
        <v>41.780824819384698</v>
      </c>
      <c r="V297" s="30">
        <v>7.1111120575979099</v>
      </c>
      <c r="W297" s="30">
        <v>17.019909592291999</v>
      </c>
      <c r="X297" s="30">
        <v>2.0128061369791999</v>
      </c>
      <c r="Y297" s="30">
        <v>11.2313843578098</v>
      </c>
      <c r="Z297" s="30">
        <v>1.40484093551135</v>
      </c>
      <c r="AA297" s="30">
        <v>-9.0248127278265595E-4</v>
      </c>
      <c r="AB297" s="30">
        <v>1.49506278161399E-2</v>
      </c>
      <c r="AC297" s="30">
        <v>2.7588075180538101</v>
      </c>
      <c r="AD297" s="30">
        <v>1954.1382149726901</v>
      </c>
      <c r="AE297" s="30">
        <v>67.041574642905402</v>
      </c>
      <c r="AF297" s="30">
        <v>58.7409863776683</v>
      </c>
    </row>
    <row r="298" spans="1:32" s="2" customFormat="1">
      <c r="A298" s="23" t="s">
        <v>419</v>
      </c>
      <c r="B298" s="13" t="s">
        <v>461</v>
      </c>
      <c r="C298" s="9">
        <v>8.6258727611866295</v>
      </c>
      <c r="D298" s="9">
        <v>0.34935574335212399</v>
      </c>
      <c r="E298" s="9">
        <v>0.16165784101585001</v>
      </c>
      <c r="F298" s="9">
        <v>4.1290210388871696E-3</v>
      </c>
      <c r="G298" s="9">
        <v>0.36386516720212703</v>
      </c>
      <c r="H298" s="8"/>
      <c r="I298" s="29">
        <v>9748.0776920548997</v>
      </c>
      <c r="J298" s="30">
        <v>1.3493972315984399</v>
      </c>
      <c r="K298" s="29">
        <v>212.889804955724</v>
      </c>
      <c r="L298" s="30">
        <v>0.88200968995898998</v>
      </c>
      <c r="M298" s="30">
        <v>1750.83952379315</v>
      </c>
      <c r="N298" s="30">
        <v>3420.6716914685899</v>
      </c>
      <c r="O298" s="30">
        <v>351.754614413345</v>
      </c>
      <c r="P298" s="30">
        <v>1180.56738219865</v>
      </c>
      <c r="Q298" s="30">
        <v>148.91673022494999</v>
      </c>
      <c r="R298" s="30">
        <v>20.742066334710302</v>
      </c>
      <c r="S298" s="30">
        <v>85.455092666501699</v>
      </c>
      <c r="T298" s="30">
        <v>9.0715920080284498</v>
      </c>
      <c r="U298" s="30">
        <v>42.471574384222002</v>
      </c>
      <c r="V298" s="30">
        <v>7.3608653351523001</v>
      </c>
      <c r="W298" s="30">
        <v>17.618845237655801</v>
      </c>
      <c r="X298" s="30">
        <v>2.0868019143801102</v>
      </c>
      <c r="Y298" s="30">
        <v>11.4912265611246</v>
      </c>
      <c r="Z298" s="30">
        <v>1.4063782324310401</v>
      </c>
      <c r="AA298" s="30">
        <v>-9.2452023031601199E-4</v>
      </c>
      <c r="AB298" s="30">
        <v>1.1575530177334901E-2</v>
      </c>
      <c r="AC298" s="30">
        <v>2.6206594502328402</v>
      </c>
      <c r="AD298" s="30">
        <v>1824.2052835023601</v>
      </c>
      <c r="AE298" s="30">
        <v>67.078280574943193</v>
      </c>
      <c r="AF298" s="30">
        <v>55.197002424716104</v>
      </c>
    </row>
    <row r="299" spans="1:32" s="2" customFormat="1">
      <c r="A299" s="23" t="s">
        <v>419</v>
      </c>
      <c r="B299" s="13" t="s">
        <v>462</v>
      </c>
      <c r="C299" s="9">
        <v>9.3617657516497008</v>
      </c>
      <c r="D299" s="9">
        <v>0.38009989860313997</v>
      </c>
      <c r="E299" s="9">
        <v>0.104260578820533</v>
      </c>
      <c r="F299" s="9">
        <v>4.0332242216400502E-3</v>
      </c>
      <c r="G299" s="9">
        <v>0.106422298653127</v>
      </c>
      <c r="H299" s="8"/>
      <c r="I299" s="29">
        <v>9902.9577332324207</v>
      </c>
      <c r="J299" s="30">
        <v>1.3228975350466401</v>
      </c>
      <c r="K299" s="29">
        <v>223.76062468293</v>
      </c>
      <c r="L299" s="30">
        <v>0.59916503377886998</v>
      </c>
      <c r="M299" s="30">
        <v>1953.4212704726799</v>
      </c>
      <c r="N299" s="30">
        <v>3802.2345696160401</v>
      </c>
      <c r="O299" s="30">
        <v>394.34769075040401</v>
      </c>
      <c r="P299" s="30">
        <v>1272.53204391638</v>
      </c>
      <c r="Q299" s="30">
        <v>157.838694458464</v>
      </c>
      <c r="R299" s="30">
        <v>21.9701839616915</v>
      </c>
      <c r="S299" s="30">
        <v>92.9470912494576</v>
      </c>
      <c r="T299" s="30">
        <v>9.6329613218479704</v>
      </c>
      <c r="U299" s="30">
        <v>43.716300690038302</v>
      </c>
      <c r="V299" s="30">
        <v>7.4701618337321198</v>
      </c>
      <c r="W299" s="30">
        <v>18.023217015549601</v>
      </c>
      <c r="X299" s="30">
        <v>2.06585377860101</v>
      </c>
      <c r="Y299" s="30">
        <v>11.793918442794901</v>
      </c>
      <c r="Z299" s="30">
        <v>1.5098325821026599</v>
      </c>
      <c r="AA299" s="30">
        <v>2.56702750452784E-3</v>
      </c>
      <c r="AB299" s="30">
        <v>6.2240441622217696E-3</v>
      </c>
      <c r="AC299" s="30">
        <v>1.6548943743059401</v>
      </c>
      <c r="AD299" s="30">
        <v>1238.6601164072999</v>
      </c>
      <c r="AE299" s="30">
        <v>48.817156266858099</v>
      </c>
      <c r="AF299" s="30">
        <v>36.4982165492249</v>
      </c>
    </row>
    <row r="300" spans="1:32" s="2" customFormat="1">
      <c r="A300" s="23" t="s">
        <v>419</v>
      </c>
      <c r="B300" s="13" t="s">
        <v>463</v>
      </c>
      <c r="C300" s="9">
        <v>8.0673587724371298</v>
      </c>
      <c r="D300" s="9">
        <v>0.32990301060515398</v>
      </c>
      <c r="E300" s="9">
        <v>0.16499515668988199</v>
      </c>
      <c r="F300" s="9">
        <v>3.0000076606143899E-3</v>
      </c>
      <c r="G300" s="9">
        <v>0.45950018710441098</v>
      </c>
      <c r="H300" s="8"/>
      <c r="I300" s="29">
        <v>13015.333159550801</v>
      </c>
      <c r="J300" s="30">
        <v>1.6666316619127699</v>
      </c>
      <c r="K300" s="29">
        <v>329.58431035800402</v>
      </c>
      <c r="L300" s="30">
        <v>1.15428517083635</v>
      </c>
      <c r="M300" s="30">
        <v>2815.7173602174598</v>
      </c>
      <c r="N300" s="30">
        <v>5537.7064810429501</v>
      </c>
      <c r="O300" s="30">
        <v>575.85463505494101</v>
      </c>
      <c r="P300" s="30">
        <v>1852.9575845837401</v>
      </c>
      <c r="Q300" s="30">
        <v>233.56594947195001</v>
      </c>
      <c r="R300" s="30">
        <v>31.8657510800967</v>
      </c>
      <c r="S300" s="30">
        <v>132.685896923115</v>
      </c>
      <c r="T300" s="30">
        <v>14.0400977307511</v>
      </c>
      <c r="U300" s="30">
        <v>64.384429477737598</v>
      </c>
      <c r="V300" s="30">
        <v>11.142711714373499</v>
      </c>
      <c r="W300" s="30">
        <v>26.314690111989801</v>
      </c>
      <c r="X300" s="30">
        <v>3.0995888567622401</v>
      </c>
      <c r="Y300" s="30">
        <v>17.426974341860902</v>
      </c>
      <c r="Z300" s="30">
        <v>2.2163996054497499</v>
      </c>
      <c r="AA300" s="30">
        <v>4.3193675258648298E-2</v>
      </c>
      <c r="AB300" s="30">
        <v>1.8421340506061999E-2</v>
      </c>
      <c r="AC300" s="30">
        <v>3.2760398777775799</v>
      </c>
      <c r="AD300" s="30">
        <v>2720.7026718127199</v>
      </c>
      <c r="AE300" s="30">
        <v>118.94513837226199</v>
      </c>
      <c r="AF300" s="30">
        <v>87.840372997362095</v>
      </c>
    </row>
    <row r="301" spans="1:32" s="2" customFormat="1">
      <c r="A301" s="23" t="s">
        <v>419</v>
      </c>
      <c r="B301" s="13" t="s">
        <v>464</v>
      </c>
      <c r="C301" s="9">
        <v>8.1270767963360999</v>
      </c>
      <c r="D301" s="9">
        <v>0.328398312789624</v>
      </c>
      <c r="E301" s="9">
        <v>0.168086099741761</v>
      </c>
      <c r="F301" s="9">
        <v>3.9753768422036298E-3</v>
      </c>
      <c r="G301" s="9">
        <v>0.42256685666275001</v>
      </c>
      <c r="H301" s="8"/>
      <c r="I301" s="29">
        <v>9660.9462055959193</v>
      </c>
      <c r="J301" s="30">
        <v>1.0773053216138899</v>
      </c>
      <c r="K301" s="29">
        <v>211.578706314545</v>
      </c>
      <c r="L301" s="30">
        <v>0.67656161921298796</v>
      </c>
      <c r="M301" s="30">
        <v>1775.6309453448901</v>
      </c>
      <c r="N301" s="30">
        <v>3481.53056559886</v>
      </c>
      <c r="O301" s="30">
        <v>357.73658279057099</v>
      </c>
      <c r="P301" s="30">
        <v>1178.33610756094</v>
      </c>
      <c r="Q301" s="30">
        <v>147.71965335825701</v>
      </c>
      <c r="R301" s="30">
        <v>20.2861805852251</v>
      </c>
      <c r="S301" s="30">
        <v>86.083068079864901</v>
      </c>
      <c r="T301" s="30">
        <v>9.1085977345525695</v>
      </c>
      <c r="U301" s="30">
        <v>42.254400269522797</v>
      </c>
      <c r="V301" s="30">
        <v>7.1157045075655896</v>
      </c>
      <c r="W301" s="30">
        <v>17.1823845389269</v>
      </c>
      <c r="X301" s="30">
        <v>1.98652961345271</v>
      </c>
      <c r="Y301" s="30">
        <v>11.3788181684902</v>
      </c>
      <c r="Z301" s="30">
        <v>1.41444292463821</v>
      </c>
      <c r="AA301" s="30">
        <v>-9.4287971288622801E-4</v>
      </c>
      <c r="AB301" s="30">
        <v>4.5901193346095104E-3</v>
      </c>
      <c r="AC301" s="30">
        <v>2.4001843970870098</v>
      </c>
      <c r="AD301" s="30">
        <v>1792.4173766592501</v>
      </c>
      <c r="AE301" s="30">
        <v>70.393989903925899</v>
      </c>
      <c r="AF301" s="30">
        <v>55.717276870323502</v>
      </c>
    </row>
    <row r="302" spans="1:32" s="2" customFormat="1">
      <c r="A302" s="23" t="s">
        <v>419</v>
      </c>
      <c r="B302" s="13" t="s">
        <v>465</v>
      </c>
      <c r="C302" s="9">
        <v>7.79836425147053</v>
      </c>
      <c r="D302" s="9">
        <v>0.31415762923559898</v>
      </c>
      <c r="E302" s="9">
        <v>0.18064824169079499</v>
      </c>
      <c r="F302" s="9">
        <v>4.3413512345676199E-3</v>
      </c>
      <c r="G302" s="9">
        <v>0.29898577638660601</v>
      </c>
      <c r="H302" s="8"/>
      <c r="I302" s="29">
        <v>9687.6496014022705</v>
      </c>
      <c r="J302" s="30">
        <v>0.81018847537140304</v>
      </c>
      <c r="K302" s="29">
        <v>214.40472032578899</v>
      </c>
      <c r="L302" s="30">
        <v>0.86242646153464797</v>
      </c>
      <c r="M302" s="30">
        <v>1689.51222069548</v>
      </c>
      <c r="N302" s="30">
        <v>3343.3551519848602</v>
      </c>
      <c r="O302" s="30">
        <v>350.25566419216102</v>
      </c>
      <c r="P302" s="30">
        <v>1173.9753687653099</v>
      </c>
      <c r="Q302" s="30">
        <v>149.669073848294</v>
      </c>
      <c r="R302" s="30">
        <v>20.5152144338882</v>
      </c>
      <c r="S302" s="30">
        <v>86.792634046332907</v>
      </c>
      <c r="T302" s="30">
        <v>9.1857844605965404</v>
      </c>
      <c r="U302" s="30">
        <v>42.4137148970391</v>
      </c>
      <c r="V302" s="30">
        <v>7.34060989557676</v>
      </c>
      <c r="W302" s="30">
        <v>17.7938755650834</v>
      </c>
      <c r="X302" s="30">
        <v>2.0454954007115198</v>
      </c>
      <c r="Y302" s="30">
        <v>11.778624025808799</v>
      </c>
      <c r="Z302" s="30">
        <v>1.4899511391693001</v>
      </c>
      <c r="AA302" s="30">
        <v>-9.1837174577858198E-4</v>
      </c>
      <c r="AB302" s="30">
        <v>9.3932543275781107E-3</v>
      </c>
      <c r="AC302" s="30">
        <v>2.8418727074577701</v>
      </c>
      <c r="AD302" s="30">
        <v>1935.7593622680899</v>
      </c>
      <c r="AE302" s="30">
        <v>71.438301400353495</v>
      </c>
      <c r="AF302" s="30">
        <v>60.769828027967399</v>
      </c>
    </row>
    <row r="303" spans="1:32" s="2" customFormat="1">
      <c r="A303" s="23" t="s">
        <v>419</v>
      </c>
      <c r="B303" s="13" t="s">
        <v>466</v>
      </c>
      <c r="C303" s="9">
        <v>8.1061483564830095</v>
      </c>
      <c r="D303" s="9">
        <v>0.32959206627886201</v>
      </c>
      <c r="E303" s="9">
        <v>0.17725510406384801</v>
      </c>
      <c r="F303" s="9">
        <v>3.7439493578163398E-3</v>
      </c>
      <c r="G303" s="9">
        <v>0.420181759886332</v>
      </c>
      <c r="H303" s="8"/>
      <c r="I303" s="29">
        <v>9390.5026701154602</v>
      </c>
      <c r="J303" s="30">
        <v>0.88134772476517997</v>
      </c>
      <c r="K303" s="29">
        <v>215.912597036856</v>
      </c>
      <c r="L303" s="30">
        <v>0.61025728657888201</v>
      </c>
      <c r="M303" s="30">
        <v>1729.74746106049</v>
      </c>
      <c r="N303" s="30">
        <v>3467.32832715616</v>
      </c>
      <c r="O303" s="30">
        <v>362.67284051431</v>
      </c>
      <c r="P303" s="30">
        <v>1203.3984070674801</v>
      </c>
      <c r="Q303" s="30">
        <v>153.73657819316799</v>
      </c>
      <c r="R303" s="30">
        <v>20.767119622867099</v>
      </c>
      <c r="S303" s="30">
        <v>87.982928211343705</v>
      </c>
      <c r="T303" s="30">
        <v>9.2583171197809406</v>
      </c>
      <c r="U303" s="30">
        <v>43.380021496875798</v>
      </c>
      <c r="V303" s="30">
        <v>7.4866079268654202</v>
      </c>
      <c r="W303" s="30">
        <v>17.943923589971298</v>
      </c>
      <c r="X303" s="30">
        <v>2.0724383364215</v>
      </c>
      <c r="Y303" s="30">
        <v>11.681351199785899</v>
      </c>
      <c r="Z303" s="30">
        <v>1.4821232665842099</v>
      </c>
      <c r="AA303" s="30">
        <v>-9.2057869717411805E-4</v>
      </c>
      <c r="AB303" s="30">
        <v>7.05109193037375E-3</v>
      </c>
      <c r="AC303" s="30">
        <v>2.2123301076533699</v>
      </c>
      <c r="AD303" s="30">
        <v>1628.03039145244</v>
      </c>
      <c r="AE303" s="30">
        <v>76.450361486250401</v>
      </c>
      <c r="AF303" s="30">
        <v>52.619156082411699</v>
      </c>
    </row>
    <row r="304" spans="1:32" s="2" customFormat="1">
      <c r="A304" s="23" t="s">
        <v>419</v>
      </c>
      <c r="B304" s="13" t="s">
        <v>467</v>
      </c>
      <c r="C304" s="9">
        <v>9.7171035053398995</v>
      </c>
      <c r="D304" s="9">
        <v>0.38474923384486698</v>
      </c>
      <c r="E304" s="9">
        <v>8.3079377977763297E-2</v>
      </c>
      <c r="F304" s="9">
        <v>2.2769138031003599E-3</v>
      </c>
      <c r="G304" s="9">
        <v>0.24605633672451599</v>
      </c>
      <c r="H304" s="8"/>
      <c r="I304" s="29">
        <v>13013.341160408199</v>
      </c>
      <c r="J304" s="30">
        <v>2.3171105626778101</v>
      </c>
      <c r="K304" s="29">
        <v>360.96864583334298</v>
      </c>
      <c r="L304" s="30">
        <v>1.06539660166531</v>
      </c>
      <c r="M304" s="30">
        <v>2937.4038503492002</v>
      </c>
      <c r="N304" s="30">
        <v>5816.8050866473004</v>
      </c>
      <c r="O304" s="30">
        <v>611.466420948424</v>
      </c>
      <c r="P304" s="30">
        <v>1954.4529457516201</v>
      </c>
      <c r="Q304" s="30">
        <v>247.940297986914</v>
      </c>
      <c r="R304" s="30">
        <v>33.676114875057998</v>
      </c>
      <c r="S304" s="30">
        <v>143.850149984155</v>
      </c>
      <c r="T304" s="30">
        <v>15.211121384807701</v>
      </c>
      <c r="U304" s="30">
        <v>71.423208254193298</v>
      </c>
      <c r="V304" s="30">
        <v>12.129536323865</v>
      </c>
      <c r="W304" s="30">
        <v>28.863666406013401</v>
      </c>
      <c r="X304" s="30">
        <v>3.3612211323549501</v>
      </c>
      <c r="Y304" s="30">
        <v>19.5770031104854</v>
      </c>
      <c r="Z304" s="30">
        <v>2.45593775506845</v>
      </c>
      <c r="AA304" s="30">
        <v>6.2190939881925401E-2</v>
      </c>
      <c r="AB304" s="30">
        <v>1.8538417142746701E-2</v>
      </c>
      <c r="AC304" s="30">
        <v>3.1514284513240698</v>
      </c>
      <c r="AD304" s="30">
        <v>2648.8593185866598</v>
      </c>
      <c r="AE304" s="30">
        <v>117.047001738654</v>
      </c>
      <c r="AF304" s="30">
        <v>77.330049131627405</v>
      </c>
    </row>
    <row r="305" spans="1:32" s="2" customFormat="1">
      <c r="A305" s="23" t="s">
        <v>419</v>
      </c>
      <c r="B305" s="13" t="s">
        <v>468</v>
      </c>
      <c r="C305" s="9">
        <v>8.3164228395103592</v>
      </c>
      <c r="D305" s="9">
        <v>0.323841045574565</v>
      </c>
      <c r="E305" s="9">
        <v>0.19102246193373101</v>
      </c>
      <c r="F305" s="9">
        <v>4.37472373774455E-3</v>
      </c>
      <c r="G305" s="9">
        <v>0.29741958909903599</v>
      </c>
      <c r="H305" s="8"/>
      <c r="I305" s="29">
        <v>9803.5889750648603</v>
      </c>
      <c r="J305" s="30">
        <v>1.0856274315877299</v>
      </c>
      <c r="K305" s="29">
        <v>205.03097312576199</v>
      </c>
      <c r="L305" s="30">
        <v>0.85724421952597896</v>
      </c>
      <c r="M305" s="30">
        <v>1667.8576287782801</v>
      </c>
      <c r="N305" s="30">
        <v>3312.86295985066</v>
      </c>
      <c r="O305" s="30">
        <v>342.26470088362601</v>
      </c>
      <c r="P305" s="30">
        <v>1148.99851574886</v>
      </c>
      <c r="Q305" s="30">
        <v>143.60170111121499</v>
      </c>
      <c r="R305" s="30">
        <v>19.624608350078798</v>
      </c>
      <c r="S305" s="30">
        <v>82.398397883211999</v>
      </c>
      <c r="T305" s="30">
        <v>8.8016715852569298</v>
      </c>
      <c r="U305" s="30">
        <v>41.337077529154797</v>
      </c>
      <c r="V305" s="30">
        <v>6.9662483513652402</v>
      </c>
      <c r="W305" s="30">
        <v>17.241159400845302</v>
      </c>
      <c r="X305" s="30">
        <v>1.9665146753941301</v>
      </c>
      <c r="Y305" s="30">
        <v>11.264770560157199</v>
      </c>
      <c r="Z305" s="30">
        <v>1.43534571071867</v>
      </c>
      <c r="AA305" s="30">
        <v>-9.9617287194285302E-4</v>
      </c>
      <c r="AB305" s="30">
        <v>1.36729515911198E-2</v>
      </c>
      <c r="AC305" s="30">
        <v>2.7927696422222898</v>
      </c>
      <c r="AD305" s="30">
        <v>2042.46852727689</v>
      </c>
      <c r="AE305" s="30">
        <v>69.385255154192507</v>
      </c>
      <c r="AF305" s="30">
        <v>62.281211445212598</v>
      </c>
    </row>
    <row r="306" spans="1:32" s="2" customFormat="1">
      <c r="A306" s="23" t="s">
        <v>419</v>
      </c>
      <c r="B306" s="13" t="s">
        <v>469</v>
      </c>
      <c r="C306" s="9">
        <v>8.7553128360713295</v>
      </c>
      <c r="D306" s="9">
        <v>0.34989238168583098</v>
      </c>
      <c r="E306" s="9">
        <v>0.171634064471822</v>
      </c>
      <c r="F306" s="9">
        <v>4.0350531471943802E-3</v>
      </c>
      <c r="G306" s="9">
        <v>0.45535801557979899</v>
      </c>
      <c r="H306" s="8"/>
      <c r="I306" s="29">
        <v>9597.7836097546206</v>
      </c>
      <c r="J306" s="30">
        <v>1.3301841211166301</v>
      </c>
      <c r="K306" s="29">
        <v>205.48226241308799</v>
      </c>
      <c r="L306" s="30">
        <v>0.74740363897024098</v>
      </c>
      <c r="M306" s="30">
        <v>1628.96510566912</v>
      </c>
      <c r="N306" s="30">
        <v>3225.0679804712399</v>
      </c>
      <c r="O306" s="30">
        <v>332.12891475945003</v>
      </c>
      <c r="P306" s="30">
        <v>1098.5464347459999</v>
      </c>
      <c r="Q306" s="30">
        <v>138.15584107480899</v>
      </c>
      <c r="R306" s="30">
        <v>18.914738992126502</v>
      </c>
      <c r="S306" s="30">
        <v>79.945548307863902</v>
      </c>
      <c r="T306" s="30">
        <v>8.4908867292006907</v>
      </c>
      <c r="U306" s="30">
        <v>39.486825669729399</v>
      </c>
      <c r="V306" s="30">
        <v>6.8981826207639196</v>
      </c>
      <c r="W306" s="30">
        <v>16.6881120925499</v>
      </c>
      <c r="X306" s="30">
        <v>1.9289108176679599</v>
      </c>
      <c r="Y306" s="30">
        <v>11.1605467331248</v>
      </c>
      <c r="Z306" s="30">
        <v>1.46430304871432</v>
      </c>
      <c r="AA306" s="30">
        <v>-1.0001493208458799E-3</v>
      </c>
      <c r="AB306" s="30">
        <v>7.8576619684743894E-3</v>
      </c>
      <c r="AC306" s="30">
        <v>2.7007566861921299</v>
      </c>
      <c r="AD306" s="30">
        <v>1948.8899384756</v>
      </c>
      <c r="AE306" s="30">
        <v>71.373165666871003</v>
      </c>
      <c r="AF306" s="30">
        <v>58.641886259866297</v>
      </c>
    </row>
    <row r="307" spans="1:32" s="2" customFormat="1">
      <c r="A307" s="23" t="s">
        <v>419</v>
      </c>
      <c r="B307" s="13" t="s">
        <v>470</v>
      </c>
      <c r="C307" s="9">
        <v>9.2881177235915509</v>
      </c>
      <c r="D307" s="9">
        <v>0.36837387672435301</v>
      </c>
      <c r="E307" s="9">
        <v>0.129562112220801</v>
      </c>
      <c r="F307" s="9">
        <v>3.5490057578174E-3</v>
      </c>
      <c r="G307" s="9">
        <v>0.29155903564354102</v>
      </c>
      <c r="H307" s="8"/>
      <c r="I307" s="29">
        <v>9827.0936561465405</v>
      </c>
      <c r="J307" s="30">
        <v>0.70903251998187999</v>
      </c>
      <c r="K307" s="29">
        <v>213.712960524766</v>
      </c>
      <c r="L307" s="30">
        <v>0.81182567377020898</v>
      </c>
      <c r="M307" s="30">
        <v>1786.1469338494401</v>
      </c>
      <c r="N307" s="30">
        <v>3510.5926465354401</v>
      </c>
      <c r="O307" s="30">
        <v>360.076258931827</v>
      </c>
      <c r="P307" s="30">
        <v>1192.46497587712</v>
      </c>
      <c r="Q307" s="30">
        <v>148.97829133958501</v>
      </c>
      <c r="R307" s="30">
        <v>20.327156694670101</v>
      </c>
      <c r="S307" s="30">
        <v>86.253856889986906</v>
      </c>
      <c r="T307" s="30">
        <v>9.1994390920798796</v>
      </c>
      <c r="U307" s="30">
        <v>42.279119310361999</v>
      </c>
      <c r="V307" s="30">
        <v>7.2552524242442704</v>
      </c>
      <c r="W307" s="30">
        <v>17.806100761163201</v>
      </c>
      <c r="X307" s="30">
        <v>2.0652171780595099</v>
      </c>
      <c r="Y307" s="30">
        <v>11.8839723736653</v>
      </c>
      <c r="Z307" s="30">
        <v>1.48958980030901</v>
      </c>
      <c r="AA307" s="30">
        <v>-1.05625255380647E-3</v>
      </c>
      <c r="AB307" s="30">
        <v>7.4104657955977099E-3</v>
      </c>
      <c r="AC307" s="30">
        <v>2.52516764172861</v>
      </c>
      <c r="AD307" s="30">
        <v>2115.0868007669901</v>
      </c>
      <c r="AE307" s="30">
        <v>72.1890777783304</v>
      </c>
      <c r="AF307" s="30">
        <v>59.583995797925702</v>
      </c>
    </row>
    <row r="308" spans="1:32" s="2" customFormat="1">
      <c r="A308" s="23" t="s">
        <v>419</v>
      </c>
      <c r="B308" s="13" t="s">
        <v>471</v>
      </c>
      <c r="C308" s="9">
        <v>8.2213977479073996</v>
      </c>
      <c r="D308" s="9">
        <v>0.32493871673081598</v>
      </c>
      <c r="E308" s="9">
        <v>0.17715181147590101</v>
      </c>
      <c r="F308" s="9">
        <v>4.4357538732256001E-3</v>
      </c>
      <c r="G308" s="9">
        <v>0.37453559373454298</v>
      </c>
      <c r="H308" s="8"/>
      <c r="I308" s="29">
        <v>9978.5199390621201</v>
      </c>
      <c r="J308" s="30">
        <v>1.17221244611259</v>
      </c>
      <c r="K308" s="29">
        <v>213.90085207238599</v>
      </c>
      <c r="L308" s="30">
        <v>0.66470573868891003</v>
      </c>
      <c r="M308" s="30">
        <v>1782.48782063116</v>
      </c>
      <c r="N308" s="30">
        <v>3501.60122965543</v>
      </c>
      <c r="O308" s="30">
        <v>359.893787021528</v>
      </c>
      <c r="P308" s="30">
        <v>1193.59402156433</v>
      </c>
      <c r="Q308" s="30">
        <v>150.23431760677801</v>
      </c>
      <c r="R308" s="30">
        <v>20.535631942117</v>
      </c>
      <c r="S308" s="30">
        <v>86.667142695278997</v>
      </c>
      <c r="T308" s="30">
        <v>9.1201149815010893</v>
      </c>
      <c r="U308" s="30">
        <v>42.052238694862098</v>
      </c>
      <c r="V308" s="30">
        <v>7.2991349910127896</v>
      </c>
      <c r="W308" s="30">
        <v>17.7138780019637</v>
      </c>
      <c r="X308" s="30">
        <v>2.03131311037026</v>
      </c>
      <c r="Y308" s="30">
        <v>11.678655936935501</v>
      </c>
      <c r="Z308" s="30">
        <v>1.4279574796969501</v>
      </c>
      <c r="AA308" s="30">
        <v>-1.0651020584631901E-3</v>
      </c>
      <c r="AB308" s="30">
        <v>6.9710268955781298E-3</v>
      </c>
      <c r="AC308" s="30">
        <v>2.3468255877413502</v>
      </c>
      <c r="AD308" s="30">
        <v>1921.16920572968</v>
      </c>
      <c r="AE308" s="30">
        <v>70.595482721285606</v>
      </c>
      <c r="AF308" s="30">
        <v>58.946140393890801</v>
      </c>
    </row>
    <row r="309" spans="1:32" s="2" customFormat="1">
      <c r="A309" s="23" t="s">
        <v>419</v>
      </c>
      <c r="B309" s="13" t="s">
        <v>472</v>
      </c>
      <c r="C309" s="9">
        <v>8.2425557322046199</v>
      </c>
      <c r="D309" s="9">
        <v>0.35612566668077</v>
      </c>
      <c r="E309" s="9">
        <v>0.185072518683744</v>
      </c>
      <c r="F309" s="9">
        <v>4.9243669806664399E-3</v>
      </c>
      <c r="G309" s="9">
        <v>0.28209302217063598</v>
      </c>
      <c r="H309" s="8"/>
      <c r="I309" s="29">
        <v>10017.161828119401</v>
      </c>
      <c r="J309" s="30">
        <v>1.3518765338121199</v>
      </c>
      <c r="K309" s="29">
        <v>206.814711723307</v>
      </c>
      <c r="L309" s="30">
        <v>0.86216899388475998</v>
      </c>
      <c r="M309" s="30">
        <v>1675.1556636868299</v>
      </c>
      <c r="N309" s="30">
        <v>3297.1905517457499</v>
      </c>
      <c r="O309" s="30">
        <v>340.75793659622002</v>
      </c>
      <c r="P309" s="30">
        <v>1128.34249375123</v>
      </c>
      <c r="Q309" s="30">
        <v>143.21361013714099</v>
      </c>
      <c r="R309" s="30">
        <v>19.714582711287601</v>
      </c>
      <c r="S309" s="30">
        <v>82.753830431559194</v>
      </c>
      <c r="T309" s="30">
        <v>8.7559202339272595</v>
      </c>
      <c r="U309" s="30">
        <v>41.046263085903902</v>
      </c>
      <c r="V309" s="30">
        <v>6.9432267480563796</v>
      </c>
      <c r="W309" s="30">
        <v>17.268808479149602</v>
      </c>
      <c r="X309" s="30">
        <v>1.9696058642321299</v>
      </c>
      <c r="Y309" s="30">
        <v>11.1927047245405</v>
      </c>
      <c r="Z309" s="30">
        <v>1.4037760271634601</v>
      </c>
      <c r="AA309" s="30">
        <v>3.4039204214600001E-2</v>
      </c>
      <c r="AB309" s="30">
        <v>6.88514075920027E-3</v>
      </c>
      <c r="AC309" s="30">
        <v>2.5566938295269299</v>
      </c>
      <c r="AD309" s="30">
        <v>2028.95793091618</v>
      </c>
      <c r="AE309" s="30">
        <v>70.745520022356303</v>
      </c>
      <c r="AF309" s="30">
        <v>61.421005730663403</v>
      </c>
    </row>
    <row r="310" spans="1:32" s="2" customFormat="1">
      <c r="A310" s="23" t="s">
        <v>419</v>
      </c>
      <c r="B310" s="13" t="s">
        <v>473</v>
      </c>
      <c r="C310" s="9">
        <v>9.3607241661616403</v>
      </c>
      <c r="D310" s="9">
        <v>0.36705434068334603</v>
      </c>
      <c r="E310" s="9">
        <v>0.16108707748317599</v>
      </c>
      <c r="F310" s="9">
        <v>4.1464212889566398E-3</v>
      </c>
      <c r="G310" s="9">
        <v>0.21726878056905799</v>
      </c>
      <c r="H310" s="8"/>
      <c r="I310" s="29">
        <v>13647.516797448199</v>
      </c>
      <c r="J310" s="30">
        <v>1.25718396728554</v>
      </c>
      <c r="K310" s="29">
        <v>233.62139362301201</v>
      </c>
      <c r="L310" s="30">
        <v>0.81396835390518896</v>
      </c>
      <c r="M310" s="30">
        <v>1660.4665146888201</v>
      </c>
      <c r="N310" s="30">
        <v>3246.2101689169899</v>
      </c>
      <c r="O310" s="30">
        <v>328.14946419115103</v>
      </c>
      <c r="P310" s="30">
        <v>1094.58992463603</v>
      </c>
      <c r="Q310" s="30">
        <v>135.957530042587</v>
      </c>
      <c r="R310" s="30">
        <v>18.6827724669803</v>
      </c>
      <c r="S310" s="30">
        <v>80.481062455846498</v>
      </c>
      <c r="T310" s="30">
        <v>8.4962758769959503</v>
      </c>
      <c r="U310" s="30">
        <v>40.091934630215903</v>
      </c>
      <c r="V310" s="30">
        <v>7.0862058598438802</v>
      </c>
      <c r="W310" s="30">
        <v>17.9239752268373</v>
      </c>
      <c r="X310" s="30">
        <v>2.2115447153980901</v>
      </c>
      <c r="Y310" s="30">
        <v>13.8053775128501</v>
      </c>
      <c r="Z310" s="30">
        <v>1.95535286808211</v>
      </c>
      <c r="AA310" s="30">
        <v>-1.1068657572440401E-3</v>
      </c>
      <c r="AB310" s="30">
        <v>8.8098841173009507E-3</v>
      </c>
      <c r="AC310" s="30">
        <v>2.8169442375939502</v>
      </c>
      <c r="AD310" s="30">
        <v>1850.21031258831</v>
      </c>
      <c r="AE310" s="30">
        <v>72.439809175380702</v>
      </c>
      <c r="AF310" s="30">
        <v>54.999605569565702</v>
      </c>
    </row>
    <row r="311" spans="1:32" s="2" customFormat="1">
      <c r="A311" s="23" t="s">
        <v>419</v>
      </c>
      <c r="B311" s="13" t="s">
        <v>474</v>
      </c>
      <c r="C311" s="9">
        <v>8.6598365745795896</v>
      </c>
      <c r="D311" s="9">
        <v>0.331829340433965</v>
      </c>
      <c r="E311" s="9">
        <v>0.17309569009237</v>
      </c>
      <c r="F311" s="9">
        <v>4.0692790468978696E-3</v>
      </c>
      <c r="G311" s="9">
        <v>0.41360543979201098</v>
      </c>
      <c r="H311" s="8"/>
      <c r="I311" s="29">
        <v>10128.7965355578</v>
      </c>
      <c r="J311" s="30">
        <v>1.3429083623453</v>
      </c>
      <c r="K311" s="29">
        <v>203.56191649826999</v>
      </c>
      <c r="L311" s="30">
        <v>0.77489130960613195</v>
      </c>
      <c r="M311" s="30">
        <v>1661.46480635291</v>
      </c>
      <c r="N311" s="30">
        <v>3314.45418483719</v>
      </c>
      <c r="O311" s="30">
        <v>339.717424871319</v>
      </c>
      <c r="P311" s="30">
        <v>1125.1981550850801</v>
      </c>
      <c r="Q311" s="30">
        <v>140.11025120241601</v>
      </c>
      <c r="R311" s="30">
        <v>19.161190264811299</v>
      </c>
      <c r="S311" s="30">
        <v>81.668098520404897</v>
      </c>
      <c r="T311" s="30">
        <v>8.7955045706986201</v>
      </c>
      <c r="U311" s="30">
        <v>40.203339737091</v>
      </c>
      <c r="V311" s="30">
        <v>6.8728170683335499</v>
      </c>
      <c r="W311" s="30">
        <v>16.514842255634701</v>
      </c>
      <c r="X311" s="30">
        <v>1.9233968280296201</v>
      </c>
      <c r="Y311" s="30">
        <v>11.1094320414543</v>
      </c>
      <c r="Z311" s="30">
        <v>1.4099753185553401</v>
      </c>
      <c r="AA311" s="30">
        <v>-1.1982064014157501E-3</v>
      </c>
      <c r="AB311" s="30">
        <v>8.9235790107129905E-3</v>
      </c>
      <c r="AC311" s="30">
        <v>2.6936406718869201</v>
      </c>
      <c r="AD311" s="30">
        <v>1992.70299702735</v>
      </c>
      <c r="AE311" s="30">
        <v>72.089078169031893</v>
      </c>
      <c r="AF311" s="30">
        <v>59.665961048357303</v>
      </c>
    </row>
    <row r="312" spans="1:32" s="2" customFormat="1">
      <c r="A312" s="23" t="s">
        <v>419</v>
      </c>
      <c r="B312" s="13" t="s">
        <v>475</v>
      </c>
      <c r="C312" s="9">
        <v>8.8401346554624993</v>
      </c>
      <c r="D312" s="9">
        <v>0.362917059685955</v>
      </c>
      <c r="E312" s="9">
        <v>0.16038954152151</v>
      </c>
      <c r="F312" s="9">
        <v>3.8097981926372699E-3</v>
      </c>
      <c r="G312" s="9">
        <v>0.395943278053624</v>
      </c>
      <c r="H312" s="8"/>
      <c r="I312" s="29">
        <v>10194.724459692499</v>
      </c>
      <c r="J312" s="30">
        <v>0.96101044270421998</v>
      </c>
      <c r="K312" s="29">
        <v>202.12959471244099</v>
      </c>
      <c r="L312" s="30">
        <v>0.82191138048804002</v>
      </c>
      <c r="M312" s="30">
        <v>1667.7848871020899</v>
      </c>
      <c r="N312" s="30">
        <v>3282.5529732039899</v>
      </c>
      <c r="O312" s="30">
        <v>336.40744509843199</v>
      </c>
      <c r="P312" s="30">
        <v>1120.1757864038</v>
      </c>
      <c r="Q312" s="30">
        <v>139.57803649953399</v>
      </c>
      <c r="R312" s="30">
        <v>19.558476832092101</v>
      </c>
      <c r="S312" s="30">
        <v>81.166405913055002</v>
      </c>
      <c r="T312" s="30">
        <v>8.5956864634322798</v>
      </c>
      <c r="U312" s="30">
        <v>40.532785268017498</v>
      </c>
      <c r="V312" s="30">
        <v>6.9291598259368197</v>
      </c>
      <c r="W312" s="30">
        <v>16.741762564262999</v>
      </c>
      <c r="X312" s="30">
        <v>1.9635579326035999</v>
      </c>
      <c r="Y312" s="30">
        <v>10.963424620588899</v>
      </c>
      <c r="Z312" s="30">
        <v>1.35659797773128</v>
      </c>
      <c r="AA312" s="30">
        <v>-1.1886384173230599E-3</v>
      </c>
      <c r="AB312" s="30">
        <v>1.0321824658420299E-2</v>
      </c>
      <c r="AC312" s="30">
        <v>2.4954185619774401</v>
      </c>
      <c r="AD312" s="30">
        <v>1959.2579768053499</v>
      </c>
      <c r="AE312" s="30">
        <v>67.9632044112209</v>
      </c>
      <c r="AF312" s="30">
        <v>57.0188610129998</v>
      </c>
    </row>
    <row r="313" spans="1:32" s="2" customFormat="1">
      <c r="A313" s="23" t="s">
        <v>419</v>
      </c>
      <c r="B313" s="13" t="s">
        <v>476</v>
      </c>
      <c r="C313" s="9">
        <v>9.2010990711198399</v>
      </c>
      <c r="D313" s="9">
        <v>0.34693624414044999</v>
      </c>
      <c r="E313" s="9">
        <v>0.14125588456456201</v>
      </c>
      <c r="F313" s="9">
        <v>4.1521432455069798E-3</v>
      </c>
      <c r="G313" s="9">
        <v>0.22825478414670999</v>
      </c>
      <c r="H313" s="8"/>
      <c r="I313" s="29">
        <v>10328.708788145401</v>
      </c>
      <c r="J313" s="30">
        <v>1.1214645812947901</v>
      </c>
      <c r="K313" s="29">
        <v>213.68106877573399</v>
      </c>
      <c r="L313" s="30">
        <v>0.86528269299666405</v>
      </c>
      <c r="M313" s="30">
        <v>1754.09264635247</v>
      </c>
      <c r="N313" s="30">
        <v>3437.4473910659799</v>
      </c>
      <c r="O313" s="30">
        <v>354.745624554941</v>
      </c>
      <c r="P313" s="30">
        <v>1180.86366763929</v>
      </c>
      <c r="Q313" s="30">
        <v>147.81443055368899</v>
      </c>
      <c r="R313" s="30">
        <v>20.313617433250499</v>
      </c>
      <c r="S313" s="30">
        <v>85.787503378993506</v>
      </c>
      <c r="T313" s="30">
        <v>9.2116927803762092</v>
      </c>
      <c r="U313" s="30">
        <v>42.018337187890197</v>
      </c>
      <c r="V313" s="30">
        <v>7.1470905982133797</v>
      </c>
      <c r="W313" s="30">
        <v>17.5637280909318</v>
      </c>
      <c r="X313" s="30">
        <v>2.0808755518125301</v>
      </c>
      <c r="Y313" s="30">
        <v>11.5746294573784</v>
      </c>
      <c r="Z313" s="30">
        <v>1.43742489620614</v>
      </c>
      <c r="AA313" s="30">
        <v>-1.24632782612431E-3</v>
      </c>
      <c r="AB313" s="30">
        <v>1.13493198592501E-2</v>
      </c>
      <c r="AC313" s="30">
        <v>2.7023581636791598</v>
      </c>
      <c r="AD313" s="30">
        <v>1912.7252930125101</v>
      </c>
      <c r="AE313" s="30">
        <v>63.963722592684199</v>
      </c>
      <c r="AF313" s="30">
        <v>53.7140749612904</v>
      </c>
    </row>
    <row r="314" spans="1:32" s="2" customFormat="1">
      <c r="A314" s="34" t="s">
        <v>419</v>
      </c>
      <c r="B314" s="132" t="s">
        <v>477</v>
      </c>
      <c r="C314" s="36">
        <v>8.8982145435305604</v>
      </c>
      <c r="D314" s="36">
        <v>0.34042581344684703</v>
      </c>
      <c r="E314" s="36">
        <v>0.15817421878677901</v>
      </c>
      <c r="F314" s="36">
        <v>3.4163601865071901E-3</v>
      </c>
      <c r="G314" s="36">
        <v>0.37510161439011303</v>
      </c>
      <c r="H314" s="35"/>
      <c r="I314" s="133">
        <v>10258.5785296912</v>
      </c>
      <c r="J314" s="134">
        <v>1.1739035682147101</v>
      </c>
      <c r="K314" s="133">
        <v>214.06641887469999</v>
      </c>
      <c r="L314" s="134">
        <v>0.65527579461429197</v>
      </c>
      <c r="M314" s="134">
        <v>1823.55308781246</v>
      </c>
      <c r="N314" s="134">
        <v>3592.67018777572</v>
      </c>
      <c r="O314" s="134">
        <v>368.31428736528102</v>
      </c>
      <c r="P314" s="134">
        <v>1223.9617710100999</v>
      </c>
      <c r="Q314" s="134">
        <v>150.49916092412701</v>
      </c>
      <c r="R314" s="134">
        <v>21.0398502079215</v>
      </c>
      <c r="S314" s="134">
        <v>86.881052125602693</v>
      </c>
      <c r="T314" s="134">
        <v>9.1444967218961004</v>
      </c>
      <c r="U314" s="134">
        <v>42.444239694988497</v>
      </c>
      <c r="V314" s="134">
        <v>7.2821617231645899</v>
      </c>
      <c r="W314" s="134">
        <v>17.435344091881799</v>
      </c>
      <c r="X314" s="134">
        <v>2.0061505812407199</v>
      </c>
      <c r="Y314" s="134">
        <v>11.361362645008899</v>
      </c>
      <c r="Z314" s="134">
        <v>1.4204765377350199</v>
      </c>
      <c r="AA314" s="134">
        <v>-1.24397769263542E-3</v>
      </c>
      <c r="AB314" s="134">
        <v>5.8296833670990703E-3</v>
      </c>
      <c r="AC314" s="134">
        <v>2.6254730034829201</v>
      </c>
      <c r="AD314" s="134">
        <v>1785.8350496651201</v>
      </c>
      <c r="AE314" s="134">
        <v>75.205050788987506</v>
      </c>
      <c r="AF314" s="134">
        <v>54.284018772821703</v>
      </c>
    </row>
  </sheetData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7"/>
  <sheetViews>
    <sheetView zoomScaleNormal="100" workbookViewId="0"/>
  </sheetViews>
  <sheetFormatPr defaultColWidth="11" defaultRowHeight="15.95"/>
  <cols>
    <col min="1" max="1" width="13" style="3" customWidth="1"/>
    <col min="2" max="2" width="11.5" style="3" customWidth="1"/>
    <col min="3" max="3" width="11.875" style="3" customWidth="1"/>
    <col min="4" max="4" width="17.125" style="3" customWidth="1"/>
    <col min="5" max="5" width="12.875" style="3" customWidth="1"/>
    <col min="6" max="6" width="18.125" style="3" customWidth="1"/>
    <col min="7" max="7" width="29.625" style="3" customWidth="1"/>
    <col min="8" max="8" width="12" style="3" customWidth="1"/>
    <col min="9" max="9" width="7" style="3" customWidth="1"/>
    <col min="10" max="12" width="7.5" style="3" customWidth="1"/>
    <col min="13" max="13" width="6.5" style="3" customWidth="1"/>
    <col min="14" max="14" width="7.5" style="3" customWidth="1"/>
    <col min="15" max="15" width="7" style="3" customWidth="1"/>
    <col min="16" max="17" width="8" style="3" customWidth="1"/>
    <col min="18" max="19" width="7" style="3" customWidth="1"/>
    <col min="20" max="20" width="8.125" style="3" customWidth="1"/>
  </cols>
  <sheetData>
    <row r="1" spans="1:20">
      <c r="A1" s="4" t="s">
        <v>478</v>
      </c>
    </row>
    <row r="2" spans="1:20" s="1" customFormat="1">
      <c r="A2" s="5" t="s">
        <v>1</v>
      </c>
      <c r="B2" s="5" t="s">
        <v>90</v>
      </c>
      <c r="C2" s="6" t="s">
        <v>408</v>
      </c>
      <c r="D2" s="6" t="s">
        <v>409</v>
      </c>
      <c r="E2" s="6" t="s">
        <v>410</v>
      </c>
      <c r="F2" s="6" t="s">
        <v>411</v>
      </c>
      <c r="G2" s="5" t="s">
        <v>412</v>
      </c>
      <c r="H2" s="5"/>
      <c r="I2" s="5" t="s">
        <v>48</v>
      </c>
      <c r="J2" s="5" t="s">
        <v>49</v>
      </c>
      <c r="K2" s="5" t="s">
        <v>50</v>
      </c>
      <c r="L2" s="5" t="s">
        <v>479</v>
      </c>
      <c r="M2" s="5" t="s">
        <v>59</v>
      </c>
      <c r="N2" s="5" t="s">
        <v>60</v>
      </c>
      <c r="O2" s="5" t="s">
        <v>78</v>
      </c>
      <c r="P2" s="5" t="s">
        <v>79</v>
      </c>
      <c r="Q2" s="5" t="s">
        <v>80</v>
      </c>
      <c r="R2" s="5" t="s">
        <v>83</v>
      </c>
      <c r="S2" s="5" t="s">
        <v>84</v>
      </c>
      <c r="T2" s="5" t="s">
        <v>413</v>
      </c>
    </row>
    <row r="3" spans="1:20" s="2" customFormat="1">
      <c r="A3" s="7" t="s">
        <v>32</v>
      </c>
      <c r="B3" s="8" t="s">
        <v>480</v>
      </c>
      <c r="C3" s="9">
        <v>2.0533571209999999</v>
      </c>
      <c r="D3" s="9">
        <v>0.25751857350000001</v>
      </c>
      <c r="E3" s="9">
        <v>0.193505914</v>
      </c>
      <c r="F3" s="9">
        <v>3.03702915E-2</v>
      </c>
      <c r="G3" s="9">
        <v>0.428414827</v>
      </c>
      <c r="H3" s="8"/>
      <c r="I3" s="11">
        <v>20.9146376154664</v>
      </c>
      <c r="J3" s="12">
        <v>430.28613312515103</v>
      </c>
      <c r="K3" s="12">
        <v>129.916320552527</v>
      </c>
      <c r="L3" s="12">
        <v>4834.1648901495601</v>
      </c>
      <c r="M3" s="11">
        <v>66.786903884466696</v>
      </c>
      <c r="N3" s="12">
        <v>2818.87726985581</v>
      </c>
      <c r="O3" s="16">
        <v>3.3101558023300002</v>
      </c>
      <c r="P3" s="12">
        <v>110.18216172283201</v>
      </c>
      <c r="Q3" s="12">
        <v>1720.6115511171299</v>
      </c>
      <c r="R3" s="16">
        <v>0.142395760948441</v>
      </c>
      <c r="S3" s="16">
        <v>7.09691371959428</v>
      </c>
      <c r="T3" s="16">
        <v>5.2083293207593204</v>
      </c>
    </row>
    <row r="4" spans="1:20" s="2" customFormat="1">
      <c r="A4" s="7" t="s">
        <v>32</v>
      </c>
      <c r="B4" s="8" t="s">
        <v>481</v>
      </c>
      <c r="C4" s="9">
        <v>1.818942144</v>
      </c>
      <c r="D4" s="9">
        <v>0.2151621135</v>
      </c>
      <c r="E4" s="9">
        <v>0.20364296200000001</v>
      </c>
      <c r="F4" s="9">
        <v>1.8241574999999999E-2</v>
      </c>
      <c r="G4" s="9">
        <v>0.37267278100000001</v>
      </c>
      <c r="H4" s="8"/>
      <c r="I4" s="11">
        <v>41.027618977555598</v>
      </c>
      <c r="J4" s="12">
        <v>899.543814517432</v>
      </c>
      <c r="K4" s="12">
        <v>372.418304295197</v>
      </c>
      <c r="L4" s="12">
        <v>11414.6487833253</v>
      </c>
      <c r="M4" s="11">
        <v>256.89158354715198</v>
      </c>
      <c r="N4" s="12">
        <v>11634.485458016299</v>
      </c>
      <c r="O4" s="16">
        <v>16.007666603390501</v>
      </c>
      <c r="P4" s="12">
        <v>2223.7356408197502</v>
      </c>
      <c r="Q4" s="12">
        <v>2141.2772160309</v>
      </c>
      <c r="R4" s="16">
        <v>5.1495066485016602E-2</v>
      </c>
      <c r="S4" s="16">
        <v>6.94841971296706</v>
      </c>
      <c r="T4" s="16">
        <v>5.7746772361966396</v>
      </c>
    </row>
    <row r="5" spans="1:20" s="2" customFormat="1">
      <c r="A5" s="7" t="s">
        <v>32</v>
      </c>
      <c r="B5" s="8" t="s">
        <v>482</v>
      </c>
      <c r="C5" s="9">
        <v>1.469940316</v>
      </c>
      <c r="D5" s="9">
        <v>0.197417016</v>
      </c>
      <c r="E5" s="9">
        <v>0.236448777</v>
      </c>
      <c r="F5" s="9">
        <v>2.2827099E-2</v>
      </c>
      <c r="G5" s="9">
        <v>0.65256588800000004</v>
      </c>
      <c r="H5" s="8"/>
      <c r="I5" s="11">
        <v>41.971845672455402</v>
      </c>
      <c r="J5" s="12">
        <v>752.32399531859403</v>
      </c>
      <c r="K5" s="12">
        <v>380.59578202132599</v>
      </c>
      <c r="L5" s="12">
        <v>11244.880142010499</v>
      </c>
      <c r="M5" s="11">
        <v>203.62732731958499</v>
      </c>
      <c r="N5" s="12">
        <v>6189.6609305673901</v>
      </c>
      <c r="O5" s="16">
        <v>7.32278056943374</v>
      </c>
      <c r="P5" s="12">
        <v>299.21128791086602</v>
      </c>
      <c r="Q5" s="12">
        <v>17271.078468523901</v>
      </c>
      <c r="R5" s="16">
        <v>2.1338365676678499E-2</v>
      </c>
      <c r="S5" s="16">
        <v>6.5096646757793</v>
      </c>
      <c r="T5" s="16">
        <v>6.7693161428747697</v>
      </c>
    </row>
    <row r="6" spans="1:20" s="2" customFormat="1">
      <c r="A6" s="7" t="s">
        <v>32</v>
      </c>
      <c r="B6" s="8" t="s">
        <v>483</v>
      </c>
      <c r="C6" s="9">
        <v>1.768920321</v>
      </c>
      <c r="D6" s="9">
        <v>0.206561577</v>
      </c>
      <c r="E6" s="9">
        <v>0.20535374100000001</v>
      </c>
      <c r="F6" s="9">
        <v>2.2227190500000001E-2</v>
      </c>
      <c r="G6" s="9">
        <v>0.157879411</v>
      </c>
      <c r="H6" s="8"/>
      <c r="I6" s="11">
        <v>29.185871706039102</v>
      </c>
      <c r="J6" s="12">
        <v>436.454863465784</v>
      </c>
      <c r="K6" s="12">
        <v>164.81245827133799</v>
      </c>
      <c r="L6" s="12">
        <v>7209.44202297226</v>
      </c>
      <c r="M6" s="11">
        <v>275.030058181583</v>
      </c>
      <c r="N6" s="12">
        <v>8764.95939399095</v>
      </c>
      <c r="O6" s="16">
        <v>17.383658238419901</v>
      </c>
      <c r="P6" s="12">
        <v>1727.2862997135401</v>
      </c>
      <c r="Q6" s="12">
        <v>2291.7730099546998</v>
      </c>
      <c r="R6" s="16">
        <v>2.9854882330562001E-2</v>
      </c>
      <c r="S6" s="16">
        <v>7.6932234405341902</v>
      </c>
      <c r="T6" s="16">
        <v>6.3333234134846803</v>
      </c>
    </row>
    <row r="7" spans="1:20" s="2" customFormat="1">
      <c r="A7" s="7" t="s">
        <v>32</v>
      </c>
      <c r="B7" s="8" t="s">
        <v>484</v>
      </c>
      <c r="C7" s="9">
        <v>1.958665758</v>
      </c>
      <c r="D7" s="9">
        <v>0.24489654</v>
      </c>
      <c r="E7" s="9">
        <v>0.19071516099999999</v>
      </c>
      <c r="F7" s="9">
        <v>1.40108265E-2</v>
      </c>
      <c r="G7" s="9">
        <v>0.23817440300000001</v>
      </c>
      <c r="H7" s="8"/>
      <c r="I7" s="11">
        <v>21.121081158641999</v>
      </c>
      <c r="J7" s="12">
        <v>435.62642756601502</v>
      </c>
      <c r="K7" s="12">
        <v>2535.82599437821</v>
      </c>
      <c r="L7" s="12">
        <v>3785.9079564818198</v>
      </c>
      <c r="M7" s="11">
        <v>124.526428271694</v>
      </c>
      <c r="N7" s="12">
        <v>6496.4930755523801</v>
      </c>
      <c r="O7" s="16">
        <v>7.4169141492405997</v>
      </c>
      <c r="P7" s="12">
        <v>192.12467377344601</v>
      </c>
      <c r="Q7" s="12">
        <v>1802.9762630886701</v>
      </c>
      <c r="R7" s="16">
        <v>0.107050573675215</v>
      </c>
      <c r="S7" s="16">
        <v>6.8060202522551601</v>
      </c>
      <c r="T7" s="16">
        <v>5.3575358412037897</v>
      </c>
    </row>
    <row r="8" spans="1:20" s="2" customFormat="1">
      <c r="A8" s="7" t="s">
        <v>32</v>
      </c>
      <c r="B8" s="8" t="s">
        <v>485</v>
      </c>
      <c r="C8" s="9">
        <v>1.602146882</v>
      </c>
      <c r="D8" s="9">
        <v>0.22144816649999999</v>
      </c>
      <c r="E8" s="9">
        <v>0.22736852599999999</v>
      </c>
      <c r="F8" s="9">
        <v>2.1782089500000001E-2</v>
      </c>
      <c r="G8" s="9">
        <v>0.21930244300000001</v>
      </c>
      <c r="H8" s="8"/>
      <c r="I8" s="11">
        <v>41.591564616237498</v>
      </c>
      <c r="J8" s="12">
        <v>507.179305180943</v>
      </c>
      <c r="K8" s="12">
        <v>190.53991859286799</v>
      </c>
      <c r="L8" s="12">
        <v>10955.923363963901</v>
      </c>
      <c r="M8" s="11">
        <v>245.60317065159799</v>
      </c>
      <c r="N8" s="12">
        <v>15737.9940660502</v>
      </c>
      <c r="O8" s="16">
        <v>17.0716479964033</v>
      </c>
      <c r="P8" s="12">
        <v>1049.7319726863</v>
      </c>
      <c r="Q8" s="12">
        <v>4633.7128686967399</v>
      </c>
      <c r="R8" s="16">
        <v>0.107766456522651</v>
      </c>
      <c r="S8" s="16">
        <v>2.5459855108539999</v>
      </c>
      <c r="T8" s="16">
        <v>2.76896209374187</v>
      </c>
    </row>
    <row r="9" spans="1:20" s="2" customFormat="1">
      <c r="A9" s="7" t="s">
        <v>32</v>
      </c>
      <c r="B9" s="8" t="s">
        <v>486</v>
      </c>
      <c r="C9" s="9">
        <v>2.3474649749999998</v>
      </c>
      <c r="D9" s="9">
        <v>0.30383976150000003</v>
      </c>
      <c r="E9" s="9">
        <v>0.223757291</v>
      </c>
      <c r="F9" s="9">
        <v>3.2298828000000002E-2</v>
      </c>
      <c r="G9" s="9">
        <v>0.36673249499999999</v>
      </c>
      <c r="H9" s="8"/>
      <c r="I9" s="11">
        <v>12.609845370519899</v>
      </c>
      <c r="J9" s="12">
        <v>575.42199545632502</v>
      </c>
      <c r="K9" s="12">
        <v>4546.96400957676</v>
      </c>
      <c r="L9" s="12">
        <v>6718.8358224578797</v>
      </c>
      <c r="M9" s="11">
        <v>243.34113301148699</v>
      </c>
      <c r="N9" s="12">
        <v>16374.8488478375</v>
      </c>
      <c r="O9" s="16">
        <v>22.084258174952701</v>
      </c>
      <c r="P9" s="12">
        <v>733.60373858432797</v>
      </c>
      <c r="Q9" s="12">
        <v>2089.2209483219899</v>
      </c>
      <c r="R9" s="16">
        <v>1.41118554817796</v>
      </c>
      <c r="S9" s="16">
        <v>3.6711481653945999</v>
      </c>
      <c r="T9" s="16">
        <v>2.98924028162009</v>
      </c>
    </row>
    <row r="10" spans="1:20" s="2" customFormat="1">
      <c r="A10" s="7" t="s">
        <v>32</v>
      </c>
      <c r="B10" s="8" t="s">
        <v>487</v>
      </c>
      <c r="C10" s="9">
        <v>2.1453132539999999</v>
      </c>
      <c r="D10" s="9">
        <v>0.30627011250000002</v>
      </c>
      <c r="E10" s="9">
        <v>0.242556416</v>
      </c>
      <c r="F10" s="9">
        <v>3.86014275E-2</v>
      </c>
      <c r="G10" s="9">
        <v>0.26897225200000002</v>
      </c>
      <c r="H10" s="8"/>
      <c r="I10" s="11">
        <v>15.187625778052499</v>
      </c>
      <c r="J10" s="12">
        <v>580.88536952883999</v>
      </c>
      <c r="K10" s="12">
        <v>212.12046954127399</v>
      </c>
      <c r="L10" s="12">
        <v>8070.0805647716297</v>
      </c>
      <c r="M10" s="11">
        <v>248.439063556506</v>
      </c>
      <c r="N10" s="12">
        <v>9640.0095630404903</v>
      </c>
      <c r="O10" s="16">
        <v>16.097131701401</v>
      </c>
      <c r="P10" s="12">
        <v>1173.1565559660301</v>
      </c>
      <c r="Q10" s="12">
        <v>1956.9252703713501</v>
      </c>
      <c r="R10" s="16">
        <v>0.383332068366943</v>
      </c>
      <c r="S10" s="16">
        <v>1.90341636112909</v>
      </c>
      <c r="T10" s="16">
        <v>1.76069047661115</v>
      </c>
    </row>
    <row r="11" spans="1:20" s="2" customFormat="1">
      <c r="A11" s="7" t="s">
        <v>32</v>
      </c>
      <c r="B11" s="8" t="s">
        <v>488</v>
      </c>
      <c r="C11" s="9">
        <v>1.717104561</v>
      </c>
      <c r="D11" s="9">
        <v>0.19617175349999999</v>
      </c>
      <c r="E11" s="9">
        <v>0.20669978</v>
      </c>
      <c r="F11" s="9">
        <v>1.9904492999999999E-2</v>
      </c>
      <c r="G11" s="9">
        <v>0.19607799200000001</v>
      </c>
      <c r="H11" s="8"/>
      <c r="I11" s="11">
        <v>26.789432146369499</v>
      </c>
      <c r="J11" s="12">
        <v>673.67370803994299</v>
      </c>
      <c r="K11" s="12">
        <v>211.89541558565199</v>
      </c>
      <c r="L11" s="12">
        <v>7007.6954455470104</v>
      </c>
      <c r="M11" s="11">
        <v>242.853742480297</v>
      </c>
      <c r="N11" s="12">
        <v>9392.9740399846596</v>
      </c>
      <c r="O11" s="16">
        <v>12.2685574776623</v>
      </c>
      <c r="P11" s="12">
        <v>614.78885188101003</v>
      </c>
      <c r="Q11" s="12">
        <v>1719.32804216553</v>
      </c>
      <c r="R11" s="16">
        <v>5.74754632456074E-2</v>
      </c>
      <c r="S11" s="16">
        <v>3.7958457125470599</v>
      </c>
      <c r="T11" s="16">
        <v>3.49048283084199</v>
      </c>
    </row>
    <row r="12" spans="1:20" s="2" customFormat="1">
      <c r="A12" s="7" t="s">
        <v>32</v>
      </c>
      <c r="B12" s="8" t="s">
        <v>273</v>
      </c>
      <c r="C12" s="9">
        <v>2.0383896899999998</v>
      </c>
      <c r="D12" s="9">
        <v>0.26936248800000001</v>
      </c>
      <c r="E12" s="9">
        <v>0.21430431</v>
      </c>
      <c r="F12" s="9">
        <v>2.2587013499999999E-2</v>
      </c>
      <c r="G12" s="9">
        <v>0.492823024</v>
      </c>
      <c r="H12" s="8"/>
      <c r="I12" s="11">
        <v>18.115923136811301</v>
      </c>
      <c r="J12" s="12">
        <v>520.15595072480005</v>
      </c>
      <c r="K12" s="12">
        <v>671.92539240643703</v>
      </c>
      <c r="L12" s="12">
        <v>5336.7822945095304</v>
      </c>
      <c r="M12" s="11">
        <v>156.08475470547299</v>
      </c>
      <c r="N12" s="12">
        <v>5353.7279726552597</v>
      </c>
      <c r="O12" s="16">
        <v>5.9721881535266998</v>
      </c>
      <c r="P12" s="12">
        <v>549.23699735187995</v>
      </c>
      <c r="Q12" s="12">
        <v>3376.4223974818301</v>
      </c>
      <c r="R12" s="16">
        <v>0.23487276534155099</v>
      </c>
      <c r="S12" s="16">
        <v>3.0270380451288599</v>
      </c>
      <c r="T12" s="16">
        <v>2.5819887496058902</v>
      </c>
    </row>
    <row r="13" spans="1:20" s="2" customFormat="1">
      <c r="A13" s="7" t="s">
        <v>32</v>
      </c>
      <c r="B13" s="8" t="s">
        <v>274</v>
      </c>
      <c r="C13" s="9">
        <v>1.6689137000000001</v>
      </c>
      <c r="D13" s="9">
        <v>0.2136216225</v>
      </c>
      <c r="E13" s="9">
        <v>0.21496850200000001</v>
      </c>
      <c r="F13" s="9">
        <v>1.66752555E-2</v>
      </c>
      <c r="G13" s="9">
        <v>0.33271403399999999</v>
      </c>
      <c r="H13" s="8"/>
      <c r="I13" s="11">
        <v>54.561665010793803</v>
      </c>
      <c r="J13" s="12">
        <v>1068.8329729882601</v>
      </c>
      <c r="K13" s="12">
        <v>10331.320501382201</v>
      </c>
      <c r="L13" s="12">
        <v>18208.482957623299</v>
      </c>
      <c r="M13" s="11">
        <v>299.25654632308698</v>
      </c>
      <c r="N13" s="12">
        <v>37594.919564074597</v>
      </c>
      <c r="O13" s="16">
        <v>50.101377354661103</v>
      </c>
      <c r="P13" s="12">
        <v>26915.0694184903</v>
      </c>
      <c r="Q13" s="12">
        <v>2343.5363999257602</v>
      </c>
      <c r="R13" s="16">
        <v>0.23831831031540601</v>
      </c>
      <c r="S13" s="16">
        <v>4.0777178266206304</v>
      </c>
      <c r="T13" s="16">
        <v>3.9607400276657101</v>
      </c>
    </row>
    <row r="14" spans="1:20" s="2" customFormat="1">
      <c r="A14" s="7" t="s">
        <v>32</v>
      </c>
      <c r="B14" s="8" t="s">
        <v>275</v>
      </c>
      <c r="C14" s="9">
        <v>1.637662425</v>
      </c>
      <c r="D14" s="9">
        <v>0.26026687949999999</v>
      </c>
      <c r="E14" s="9">
        <v>0.35152768099999998</v>
      </c>
      <c r="F14" s="9">
        <v>2.9279977499999998E-2</v>
      </c>
      <c r="G14" s="9">
        <v>0.39080741000000002</v>
      </c>
      <c r="H14" s="8"/>
      <c r="I14" s="11">
        <v>16.351766643132301</v>
      </c>
      <c r="J14" s="12">
        <v>815.51523662058105</v>
      </c>
      <c r="K14" s="12">
        <v>4819.1497265517</v>
      </c>
      <c r="L14" s="12">
        <v>36114.606102888203</v>
      </c>
      <c r="M14" s="11">
        <v>181.451014591426</v>
      </c>
      <c r="N14" s="12">
        <v>16724.153414220102</v>
      </c>
      <c r="O14" s="16">
        <v>22.4628678914912</v>
      </c>
      <c r="P14" s="12">
        <v>8513.7166798689905</v>
      </c>
      <c r="Q14" s="12">
        <v>3630.8191341421698</v>
      </c>
      <c r="R14" s="16">
        <v>0.74735466385378702</v>
      </c>
      <c r="S14" s="16">
        <v>2.6644542536067299</v>
      </c>
      <c r="T14" s="16">
        <v>4.3830561691723</v>
      </c>
    </row>
    <row r="15" spans="1:20" s="2" customFormat="1">
      <c r="A15" s="7" t="s">
        <v>32</v>
      </c>
      <c r="B15" s="8" t="s">
        <v>276</v>
      </c>
      <c r="C15" s="9">
        <v>2.0540055179999999</v>
      </c>
      <c r="D15" s="9">
        <v>0.28767232650000002</v>
      </c>
      <c r="E15" s="9">
        <v>0.181399794</v>
      </c>
      <c r="F15" s="9">
        <v>1.79065365E-2</v>
      </c>
      <c r="G15" s="9">
        <v>0.41118342099999999</v>
      </c>
      <c r="H15" s="8"/>
      <c r="I15" s="11">
        <v>5.9378281266226702</v>
      </c>
      <c r="J15" s="12">
        <v>289.35757235781898</v>
      </c>
      <c r="K15" s="12">
        <v>1573.94750652474</v>
      </c>
      <c r="L15" s="12">
        <v>3643.9752964781401</v>
      </c>
      <c r="M15" s="11">
        <v>91.913127365181793</v>
      </c>
      <c r="N15" s="12">
        <v>3794.0674021938498</v>
      </c>
      <c r="O15" s="16">
        <v>4.0725024471809199</v>
      </c>
      <c r="P15" s="12">
        <v>72.434253712158906</v>
      </c>
      <c r="Q15" s="12">
        <v>1473.6573796682701</v>
      </c>
      <c r="R15" s="16">
        <v>7.9936992791015807E-2</v>
      </c>
      <c r="S15" s="16">
        <v>5.38624735452776</v>
      </c>
      <c r="T15" s="16">
        <v>3.9110186058380898</v>
      </c>
    </row>
    <row r="16" spans="1:20" s="2" customFormat="1">
      <c r="A16" s="7" t="s">
        <v>32</v>
      </c>
      <c r="B16" s="8" t="s">
        <v>277</v>
      </c>
      <c r="C16" s="9">
        <v>1.566148989</v>
      </c>
      <c r="D16" s="9">
        <v>0.25355603999999998</v>
      </c>
      <c r="E16" s="9">
        <v>0.22584610299999999</v>
      </c>
      <c r="F16" s="9">
        <v>2.6844338999999998E-2</v>
      </c>
      <c r="G16" s="9">
        <v>0.30841258900000001</v>
      </c>
      <c r="H16" s="8"/>
      <c r="I16" s="11">
        <v>20.466261267778101</v>
      </c>
      <c r="J16" s="12">
        <v>673.98036126116904</v>
      </c>
      <c r="K16" s="12">
        <v>353.67716531012002</v>
      </c>
      <c r="L16" s="12">
        <v>8567.3845594611903</v>
      </c>
      <c r="M16" s="11">
        <v>217.113528166083</v>
      </c>
      <c r="N16" s="12">
        <v>10380.1579635409</v>
      </c>
      <c r="O16" s="16">
        <v>13.175366144416399</v>
      </c>
      <c r="P16" s="12">
        <v>663.18490104173702</v>
      </c>
      <c r="Q16" s="12">
        <v>6001.4113389515796</v>
      </c>
      <c r="R16" s="16">
        <v>0.121935394014999</v>
      </c>
      <c r="S16" s="16">
        <v>2.36394576646429</v>
      </c>
      <c r="T16" s="16">
        <v>2.5494418753889301</v>
      </c>
    </row>
    <row r="17" spans="1:20" s="2" customFormat="1">
      <c r="A17" s="7" t="s">
        <v>32</v>
      </c>
      <c r="B17" s="8" t="s">
        <v>278</v>
      </c>
      <c r="C17" s="9">
        <v>1.667214178</v>
      </c>
      <c r="D17" s="9">
        <v>0.23877312149999999</v>
      </c>
      <c r="E17" s="9">
        <v>0.22255719299999999</v>
      </c>
      <c r="F17" s="9">
        <v>2.5934229E-2</v>
      </c>
      <c r="G17" s="9">
        <v>0.46713342099999999</v>
      </c>
      <c r="H17" s="8"/>
      <c r="I17" s="11">
        <v>27.1766513313475</v>
      </c>
      <c r="J17" s="12">
        <v>601.96451757014597</v>
      </c>
      <c r="K17" s="12">
        <v>232.60846500494</v>
      </c>
      <c r="L17" s="12">
        <v>8653.4124504453994</v>
      </c>
      <c r="M17" s="11">
        <v>246.682358782313</v>
      </c>
      <c r="N17" s="12">
        <v>11141.649399944599</v>
      </c>
      <c r="O17" s="16">
        <v>17.843942207888599</v>
      </c>
      <c r="P17" s="12">
        <v>2026.4138053325501</v>
      </c>
      <c r="Q17" s="12">
        <v>2027.29694608353</v>
      </c>
      <c r="R17" s="16">
        <v>0.198728683633843</v>
      </c>
      <c r="S17" s="16">
        <v>2.2728055491241199</v>
      </c>
      <c r="T17" s="16">
        <v>2.41262010438713</v>
      </c>
    </row>
    <row r="18" spans="1:20" s="2" customFormat="1">
      <c r="A18" s="7" t="s">
        <v>32</v>
      </c>
      <c r="B18" s="8" t="s">
        <v>279</v>
      </c>
      <c r="C18" s="9">
        <v>1.932416712</v>
      </c>
      <c r="D18" s="9">
        <v>0.20713081799999999</v>
      </c>
      <c r="E18" s="9">
        <v>0.18965696200000001</v>
      </c>
      <c r="F18" s="9">
        <v>2.0867029499999998E-2</v>
      </c>
      <c r="G18" s="9">
        <v>0.31489126000000001</v>
      </c>
      <c r="H18" s="8"/>
      <c r="I18" s="11">
        <v>8.3607933003591803</v>
      </c>
      <c r="J18" s="12">
        <v>372.12251839317599</v>
      </c>
      <c r="K18" s="12">
        <v>240.58301230702301</v>
      </c>
      <c r="L18" s="12">
        <v>3647.2433830331101</v>
      </c>
      <c r="M18" s="11">
        <v>108.795390583141</v>
      </c>
      <c r="N18" s="12">
        <v>1936.8294241966701</v>
      </c>
      <c r="O18" s="16">
        <v>3.2000422856841499</v>
      </c>
      <c r="P18" s="12">
        <v>96.165377854132799</v>
      </c>
      <c r="Q18" s="12">
        <v>2134.3853185481298</v>
      </c>
      <c r="R18" s="16">
        <v>0.18301748562366199</v>
      </c>
      <c r="S18" s="16">
        <v>4.9215899991752803</v>
      </c>
      <c r="T18" s="16">
        <v>3.8122292653332401</v>
      </c>
    </row>
    <row r="19" spans="1:20" s="2" customFormat="1">
      <c r="A19" s="7" t="s">
        <v>32</v>
      </c>
      <c r="B19" s="8" t="s">
        <v>280</v>
      </c>
      <c r="C19" s="9">
        <v>1.6947341600000001</v>
      </c>
      <c r="D19" s="9">
        <v>0.19086509099999999</v>
      </c>
      <c r="E19" s="9">
        <v>0.20857684200000001</v>
      </c>
      <c r="F19" s="9">
        <v>1.7192868E-2</v>
      </c>
      <c r="G19" s="9">
        <v>0.54693726399999998</v>
      </c>
      <c r="H19" s="8"/>
      <c r="I19" s="11">
        <v>27.166091134188601</v>
      </c>
      <c r="J19" s="12">
        <v>644.66105233706196</v>
      </c>
      <c r="K19" s="12">
        <v>361.42039104665002</v>
      </c>
      <c r="L19" s="12">
        <v>7953.0230470248698</v>
      </c>
      <c r="M19" s="11">
        <v>281.37299041230199</v>
      </c>
      <c r="N19" s="12">
        <v>8895.9015733393699</v>
      </c>
      <c r="O19" s="16">
        <v>17.841756387546901</v>
      </c>
      <c r="P19" s="12">
        <v>833.97678690092403</v>
      </c>
      <c r="Q19" s="12">
        <v>3829.00935461772</v>
      </c>
      <c r="R19" s="16">
        <v>0.100474093892755</v>
      </c>
      <c r="S19" s="16">
        <v>4.4020747446696697</v>
      </c>
      <c r="T19" s="16">
        <v>4.0509971159621996</v>
      </c>
    </row>
    <row r="20" spans="1:20" s="2" customFormat="1">
      <c r="A20" s="7" t="s">
        <v>32</v>
      </c>
      <c r="B20" s="8" t="s">
        <v>281</v>
      </c>
      <c r="C20" s="9">
        <v>1.712866462</v>
      </c>
      <c r="D20" s="9">
        <v>0.21009802950000001</v>
      </c>
      <c r="E20" s="9">
        <v>0.21050543099999999</v>
      </c>
      <c r="F20" s="9">
        <v>1.4148126E-2</v>
      </c>
      <c r="G20" s="9">
        <v>0.52264727799999999</v>
      </c>
      <c r="H20" s="8"/>
      <c r="I20" s="11">
        <v>31.2304316972279</v>
      </c>
      <c r="J20" s="12">
        <v>542.07402516420802</v>
      </c>
      <c r="K20" s="12">
        <v>134.35785209333901</v>
      </c>
      <c r="L20" s="12">
        <v>6299.1662288842399</v>
      </c>
      <c r="M20" s="11">
        <v>257.24116653803401</v>
      </c>
      <c r="N20" s="12">
        <v>7846.4466552540098</v>
      </c>
      <c r="O20" s="16">
        <v>13.6323283237385</v>
      </c>
      <c r="P20" s="12">
        <v>328.80460903607297</v>
      </c>
      <c r="Q20" s="12">
        <v>2503.0243200772102</v>
      </c>
      <c r="R20" s="16"/>
      <c r="S20" s="16">
        <v>14.026274376819</v>
      </c>
      <c r="T20" s="16">
        <v>12.580766333638101</v>
      </c>
    </row>
    <row r="21" spans="1:20" s="2" customFormat="1">
      <c r="A21" s="7" t="s">
        <v>32</v>
      </c>
      <c r="B21" s="8" t="s">
        <v>282</v>
      </c>
      <c r="C21" s="9">
        <v>2.0043823590000001</v>
      </c>
      <c r="D21" s="9">
        <v>0.22734327900000001</v>
      </c>
      <c r="E21" s="9">
        <v>0.18106034300000001</v>
      </c>
      <c r="F21" s="9">
        <v>1.3150617E-2</v>
      </c>
      <c r="G21" s="9">
        <v>7.8131311999999994E-2</v>
      </c>
      <c r="H21" s="8"/>
      <c r="I21" s="11">
        <v>19.260199161051201</v>
      </c>
      <c r="J21" s="12">
        <v>418.28298235440798</v>
      </c>
      <c r="K21" s="12">
        <v>105.16236812665601</v>
      </c>
      <c r="L21" s="12">
        <v>4187.1059239810702</v>
      </c>
      <c r="M21" s="11">
        <v>100.437282938333</v>
      </c>
      <c r="N21" s="12">
        <v>4005.18324936094</v>
      </c>
      <c r="O21" s="16">
        <v>4.8118151050000701</v>
      </c>
      <c r="P21" s="12">
        <v>126.654439822401</v>
      </c>
      <c r="Q21" s="12">
        <v>163.68730763819801</v>
      </c>
      <c r="R21" s="16">
        <v>0.22834706592652601</v>
      </c>
      <c r="S21" s="16">
        <v>6.9163075360770296</v>
      </c>
      <c r="T21" s="16">
        <v>5.26601571100157</v>
      </c>
    </row>
    <row r="22" spans="1:20" s="2" customFormat="1">
      <c r="A22" s="7" t="s">
        <v>32</v>
      </c>
      <c r="B22" s="8" t="s">
        <v>283</v>
      </c>
      <c r="C22" s="9">
        <v>1.6779224210000001</v>
      </c>
      <c r="D22" s="9">
        <v>0.30841937699999999</v>
      </c>
      <c r="E22" s="9">
        <v>0.233303225</v>
      </c>
      <c r="F22" s="9">
        <v>2.27859225E-2</v>
      </c>
      <c r="G22" s="9">
        <v>8.3668732999999995E-2</v>
      </c>
      <c r="H22" s="8"/>
      <c r="I22" s="11">
        <v>26.7533096152561</v>
      </c>
      <c r="J22" s="12">
        <v>743.96390310188895</v>
      </c>
      <c r="K22" s="12">
        <v>224.40554155688201</v>
      </c>
      <c r="L22" s="12">
        <v>8880.8278056688796</v>
      </c>
      <c r="M22" s="11">
        <v>249.92446907057399</v>
      </c>
      <c r="N22" s="12">
        <v>12108.535309495999</v>
      </c>
      <c r="O22" s="16">
        <v>19.992329523983901</v>
      </c>
      <c r="P22" s="12">
        <v>2206.2602055901498</v>
      </c>
      <c r="Q22" s="12">
        <v>2898.43608991975</v>
      </c>
      <c r="R22" s="16">
        <v>0.28923808120040601</v>
      </c>
      <c r="S22" s="16">
        <v>4.5351287506359004</v>
      </c>
      <c r="T22" s="16">
        <v>4.5421679755640296</v>
      </c>
    </row>
    <row r="23" spans="1:20" s="2" customFormat="1">
      <c r="A23" s="7" t="s">
        <v>32</v>
      </c>
      <c r="B23" s="8" t="s">
        <v>489</v>
      </c>
      <c r="C23" s="9">
        <v>1.8141616119999999</v>
      </c>
      <c r="D23" s="9">
        <v>0.23498416650000001</v>
      </c>
      <c r="E23" s="9">
        <v>0.19262874799999999</v>
      </c>
      <c r="F23" s="9">
        <v>1.9243692E-2</v>
      </c>
      <c r="G23" s="9">
        <v>-1.7995793999999999E-2</v>
      </c>
      <c r="H23" s="8"/>
      <c r="I23" s="11">
        <v>34.186949222129201</v>
      </c>
      <c r="J23" s="12">
        <v>574.17072568766002</v>
      </c>
      <c r="K23" s="12">
        <v>234.19101876721899</v>
      </c>
      <c r="L23" s="12">
        <v>5939.3709671750303</v>
      </c>
      <c r="M23" s="11">
        <v>186.51429637463701</v>
      </c>
      <c r="N23" s="12">
        <v>6010.3112088749203</v>
      </c>
      <c r="O23" s="16">
        <v>13.444037497763199</v>
      </c>
      <c r="P23" s="12">
        <v>645.19614045741105</v>
      </c>
      <c r="Q23" s="12">
        <v>2413.7133338997201</v>
      </c>
      <c r="R23" s="16">
        <v>6.5964464713831501E-3</v>
      </c>
      <c r="S23" s="16">
        <v>10.1472580555289</v>
      </c>
      <c r="T23" s="16">
        <v>7.7845973258819798</v>
      </c>
    </row>
    <row r="24" spans="1:20" s="2" customFormat="1">
      <c r="A24" s="7" t="s">
        <v>32</v>
      </c>
      <c r="B24" s="8" t="s">
        <v>490</v>
      </c>
      <c r="C24" s="9">
        <v>1.5495478629999999</v>
      </c>
      <c r="D24" s="9">
        <v>0.27963952650000001</v>
      </c>
      <c r="E24" s="9">
        <v>0.21473515700000001</v>
      </c>
      <c r="F24" s="9">
        <v>1.3808745000000001E-2</v>
      </c>
      <c r="G24" s="9">
        <v>0.17896333</v>
      </c>
      <c r="H24" s="8"/>
      <c r="I24" s="11">
        <v>39.742324644027299</v>
      </c>
      <c r="J24" s="12">
        <v>683.23606838248895</v>
      </c>
      <c r="K24" s="12">
        <v>745.80571180029597</v>
      </c>
      <c r="L24" s="12">
        <v>8460.2036705899009</v>
      </c>
      <c r="M24" s="11">
        <v>32.561860852536498</v>
      </c>
      <c r="N24" s="12">
        <v>5616.2539623919101</v>
      </c>
      <c r="O24" s="16">
        <v>1.5878139505995299</v>
      </c>
      <c r="P24" s="12">
        <v>238.34381624417099</v>
      </c>
      <c r="Q24" s="12">
        <v>9677.3460334490101</v>
      </c>
      <c r="R24" s="16">
        <v>1.08340880947153E-2</v>
      </c>
      <c r="S24" s="16">
        <v>13.860312548802399</v>
      </c>
      <c r="T24" s="16">
        <v>12.647999346361299</v>
      </c>
    </row>
    <row r="25" spans="1:20" s="2" customFormat="1">
      <c r="A25" s="7" t="s">
        <v>32</v>
      </c>
      <c r="B25" s="8" t="s">
        <v>491</v>
      </c>
      <c r="C25" s="9">
        <v>1.9709906399999999</v>
      </c>
      <c r="D25" s="9">
        <v>0.34283881500000002</v>
      </c>
      <c r="E25" s="9">
        <v>0.23819731899999999</v>
      </c>
      <c r="F25" s="9">
        <v>2.5176707999999999E-2</v>
      </c>
      <c r="G25" s="9">
        <v>0.45191757999999999</v>
      </c>
      <c r="H25" s="8"/>
      <c r="I25" s="11">
        <v>6.1804584527189697</v>
      </c>
      <c r="J25" s="12">
        <v>468.78063692780103</v>
      </c>
      <c r="K25" s="12">
        <v>1773.58004702382</v>
      </c>
      <c r="L25" s="12">
        <v>8936.4251385908192</v>
      </c>
      <c r="M25" s="11">
        <v>91.486965238636699</v>
      </c>
      <c r="N25" s="12">
        <v>11176.939233384401</v>
      </c>
      <c r="O25" s="16">
        <v>11.182365906380801</v>
      </c>
      <c r="P25" s="12">
        <v>6451.1552103143204</v>
      </c>
      <c r="Q25" s="12">
        <v>3755.6949080122299</v>
      </c>
      <c r="R25" s="16">
        <v>1.20978037396412</v>
      </c>
      <c r="S25" s="16">
        <v>4.7160882872843102</v>
      </c>
      <c r="T25" s="16">
        <v>4.7752846255274903</v>
      </c>
    </row>
    <row r="26" spans="1:20" s="2" customFormat="1">
      <c r="A26" s="7" t="s">
        <v>32</v>
      </c>
      <c r="B26" s="8" t="s">
        <v>492</v>
      </c>
      <c r="C26" s="9">
        <v>1.735900089</v>
      </c>
      <c r="D26" s="9">
        <v>0.22636961999999999</v>
      </c>
      <c r="E26" s="9">
        <v>0.216581632</v>
      </c>
      <c r="F26" s="9">
        <v>1.882056E-2</v>
      </c>
      <c r="G26" s="9">
        <v>0.66344658199999995</v>
      </c>
      <c r="H26" s="8"/>
      <c r="I26" s="11">
        <v>26.148446659614301</v>
      </c>
      <c r="J26" s="12">
        <v>590.41164843985598</v>
      </c>
      <c r="K26" s="12">
        <v>337.36271559003001</v>
      </c>
      <c r="L26" s="12">
        <v>10277.557697534599</v>
      </c>
      <c r="M26" s="11">
        <v>221.33834941492299</v>
      </c>
      <c r="N26" s="12">
        <v>15419.6338623632</v>
      </c>
      <c r="O26" s="16">
        <v>16.289957558754999</v>
      </c>
      <c r="P26" s="12">
        <v>807.42157869685104</v>
      </c>
      <c r="Q26" s="12">
        <v>3804.8137501445699</v>
      </c>
      <c r="R26" s="16">
        <v>3.8146271029427997E-2</v>
      </c>
      <c r="S26" s="16">
        <v>4.7128351990279196</v>
      </c>
      <c r="T26" s="16">
        <v>4.1571412901110998</v>
      </c>
    </row>
    <row r="27" spans="1:20" s="2" customFormat="1">
      <c r="A27" s="7" t="s">
        <v>32</v>
      </c>
      <c r="B27" s="8" t="s">
        <v>493</v>
      </c>
      <c r="C27" s="9">
        <v>1.440203039</v>
      </c>
      <c r="D27" s="9">
        <v>0.18231951299999999</v>
      </c>
      <c r="E27" s="9">
        <v>0.194557805</v>
      </c>
      <c r="F27" s="9">
        <v>2.2147772999999999E-2</v>
      </c>
      <c r="G27" s="9">
        <v>0.17082130700000001</v>
      </c>
      <c r="H27" s="8"/>
      <c r="I27" s="11">
        <v>44.640569464653296</v>
      </c>
      <c r="J27" s="12">
        <v>749.50849109838998</v>
      </c>
      <c r="K27" s="12">
        <v>6153.1619483558798</v>
      </c>
      <c r="L27" s="12">
        <v>10910.997334789899</v>
      </c>
      <c r="M27" s="11">
        <v>275.63034653757001</v>
      </c>
      <c r="N27" s="12">
        <v>21650.4398501213</v>
      </c>
      <c r="O27" s="16">
        <v>26.967281802363299</v>
      </c>
      <c r="P27" s="12">
        <v>8778.5720336014292</v>
      </c>
      <c r="Q27" s="12">
        <v>4036.7394548614402</v>
      </c>
      <c r="R27" s="16">
        <v>0.52065022945815898</v>
      </c>
      <c r="S27" s="16">
        <v>14.845956820376401</v>
      </c>
      <c r="T27" s="16">
        <v>15.277546172452499</v>
      </c>
    </row>
    <row r="28" spans="1:20" s="2" customFormat="1">
      <c r="A28" s="7" t="s">
        <v>32</v>
      </c>
      <c r="B28" s="8" t="s">
        <v>494</v>
      </c>
      <c r="C28" s="9">
        <v>1.547188408</v>
      </c>
      <c r="D28" s="9">
        <v>0.32913052650000002</v>
      </c>
      <c r="E28" s="9">
        <v>0.23435217899999999</v>
      </c>
      <c r="F28" s="9">
        <v>4.7750355000000001E-2</v>
      </c>
      <c r="G28" s="9">
        <v>0.38304074799999999</v>
      </c>
      <c r="H28" s="8"/>
      <c r="I28" s="11">
        <v>28.834969519898301</v>
      </c>
      <c r="J28" s="12">
        <v>988.49185615041199</v>
      </c>
      <c r="K28" s="12">
        <v>916.60517275385803</v>
      </c>
      <c r="L28" s="12">
        <v>12676.0150955999</v>
      </c>
      <c r="M28" s="11">
        <v>252.63911575255301</v>
      </c>
      <c r="N28" s="12">
        <v>18373.988639676299</v>
      </c>
      <c r="O28" s="16">
        <v>25.5433727164027</v>
      </c>
      <c r="P28" s="12">
        <v>5773.0232455506402</v>
      </c>
      <c r="Q28" s="12">
        <v>3363.1304311297899</v>
      </c>
      <c r="R28" s="16">
        <v>0.213912409493453</v>
      </c>
      <c r="S28" s="16">
        <v>1.66508753019869</v>
      </c>
      <c r="T28" s="16">
        <v>2.1892402334725198</v>
      </c>
    </row>
    <row r="29" spans="1:20" s="2" customFormat="1">
      <c r="A29" s="7" t="s">
        <v>32</v>
      </c>
      <c r="B29" s="8" t="s">
        <v>495</v>
      </c>
      <c r="C29" s="9">
        <v>1.834694955</v>
      </c>
      <c r="D29" s="9">
        <v>0.252149181</v>
      </c>
      <c r="E29" s="9">
        <v>0.20735567499999999</v>
      </c>
      <c r="F29" s="9">
        <v>1.9433484000000001E-2</v>
      </c>
      <c r="G29" s="9">
        <v>0.41133004000000001</v>
      </c>
      <c r="H29" s="8"/>
      <c r="I29" s="11">
        <v>27.876626317633299</v>
      </c>
      <c r="J29" s="12">
        <v>577.00197017292999</v>
      </c>
      <c r="K29" s="12">
        <v>202.004030869643</v>
      </c>
      <c r="L29" s="12">
        <v>6828.30318455209</v>
      </c>
      <c r="M29" s="11">
        <v>259.71400551741698</v>
      </c>
      <c r="N29" s="12">
        <v>8583.7005566273801</v>
      </c>
      <c r="O29" s="16">
        <v>12.878875094482099</v>
      </c>
      <c r="P29" s="12">
        <v>297.93797699589902</v>
      </c>
      <c r="Q29" s="12">
        <v>2468.8966011540101</v>
      </c>
      <c r="R29" s="16">
        <v>0.19221763448490201</v>
      </c>
      <c r="S29" s="16">
        <v>4.87253581460305</v>
      </c>
      <c r="T29" s="16">
        <v>3.8745538518182698</v>
      </c>
    </row>
    <row r="30" spans="1:20" s="2" customFormat="1">
      <c r="A30" s="7" t="s">
        <v>32</v>
      </c>
      <c r="B30" s="8" t="s">
        <v>496</v>
      </c>
      <c r="C30" s="9">
        <v>1.761626997</v>
      </c>
      <c r="D30" s="9">
        <v>0.3086818965</v>
      </c>
      <c r="E30" s="9">
        <v>0.19511590200000001</v>
      </c>
      <c r="F30" s="9">
        <v>3.1269856499999998E-2</v>
      </c>
      <c r="G30" s="9">
        <v>0.47299459500000002</v>
      </c>
      <c r="H30" s="8"/>
      <c r="I30" s="11">
        <v>44.935023753120397</v>
      </c>
      <c r="J30" s="12">
        <v>865.79068658074004</v>
      </c>
      <c r="K30" s="12">
        <v>259.45810141918099</v>
      </c>
      <c r="L30" s="12">
        <v>10186.0981502048</v>
      </c>
      <c r="M30" s="11">
        <v>267.238449136996</v>
      </c>
      <c r="N30" s="12">
        <v>16369.652358879401</v>
      </c>
      <c r="O30" s="16">
        <v>23.401049657519302</v>
      </c>
      <c r="P30" s="12">
        <v>2712.0359751046299</v>
      </c>
      <c r="Q30" s="12">
        <v>3033.2478755654902</v>
      </c>
      <c r="R30" s="16">
        <v>0.129027571357438</v>
      </c>
      <c r="S30" s="16">
        <v>3.8099127669709998</v>
      </c>
      <c r="T30" s="16">
        <v>2.9928453979782002</v>
      </c>
    </row>
    <row r="31" spans="1:20" s="2" customFormat="1">
      <c r="A31" s="7" t="s">
        <v>32</v>
      </c>
      <c r="B31" s="8" t="s">
        <v>497</v>
      </c>
      <c r="C31" s="9">
        <v>1.395743124</v>
      </c>
      <c r="D31" s="9">
        <v>0.21047249849999999</v>
      </c>
      <c r="E31" s="9">
        <v>0.27349562100000002</v>
      </c>
      <c r="F31" s="9">
        <v>3.1276408499999998E-2</v>
      </c>
      <c r="G31" s="9">
        <v>0.14396843400000001</v>
      </c>
      <c r="H31" s="8"/>
      <c r="I31" s="11">
        <v>34.231799804631798</v>
      </c>
      <c r="J31" s="12">
        <v>813.23233851193595</v>
      </c>
      <c r="K31" s="12">
        <v>556.60718638584297</v>
      </c>
      <c r="L31" s="12">
        <v>12317.062147897401</v>
      </c>
      <c r="M31" s="11">
        <v>240.07306834438299</v>
      </c>
      <c r="N31" s="12">
        <v>8504.1894854934308</v>
      </c>
      <c r="O31" s="16">
        <v>12.210872570133301</v>
      </c>
      <c r="P31" s="12">
        <v>285.67420332492298</v>
      </c>
      <c r="Q31" s="12">
        <v>18626.559209382802</v>
      </c>
      <c r="R31" s="16">
        <v>6.5369859970033195E-2</v>
      </c>
      <c r="S31" s="16">
        <v>2.20836463956228</v>
      </c>
      <c r="T31" s="16">
        <v>2.8730571343274698</v>
      </c>
    </row>
    <row r="32" spans="1:20" s="2" customFormat="1">
      <c r="A32" s="7" t="s">
        <v>32</v>
      </c>
      <c r="B32" s="8" t="s">
        <v>498</v>
      </c>
      <c r="C32" s="9">
        <v>1.6101316649999999</v>
      </c>
      <c r="D32" s="9">
        <v>0.21147773249999999</v>
      </c>
      <c r="E32" s="9">
        <v>0.21617377300000001</v>
      </c>
      <c r="F32" s="9">
        <v>1.2694816500000001E-2</v>
      </c>
      <c r="G32" s="9">
        <v>0.37230512900000001</v>
      </c>
      <c r="H32" s="8"/>
      <c r="I32" s="11">
        <v>48.936092980493001</v>
      </c>
      <c r="J32" s="12">
        <v>758.10018093912902</v>
      </c>
      <c r="K32" s="12">
        <v>356.59489251480102</v>
      </c>
      <c r="L32" s="12">
        <v>10474.135310862801</v>
      </c>
      <c r="M32" s="11">
        <v>282.08692100247498</v>
      </c>
      <c r="N32" s="12">
        <v>5536.55122746505</v>
      </c>
      <c r="O32" s="16">
        <v>11.8095713601199</v>
      </c>
      <c r="P32" s="12">
        <v>413.55734250901901</v>
      </c>
      <c r="Q32" s="12">
        <v>16593.1503226399</v>
      </c>
      <c r="R32" s="16"/>
      <c r="S32" s="16">
        <v>23.4747445692166</v>
      </c>
      <c r="T32" s="16">
        <v>21.3864304099504</v>
      </c>
    </row>
    <row r="33" spans="1:20" s="2" customFormat="1">
      <c r="A33" s="7" t="s">
        <v>32</v>
      </c>
      <c r="B33" s="8" t="s">
        <v>499</v>
      </c>
      <c r="C33" s="9">
        <v>1.7202908050000001</v>
      </c>
      <c r="D33" s="9">
        <v>0.22313416050000001</v>
      </c>
      <c r="E33" s="9">
        <v>0.207797027</v>
      </c>
      <c r="F33" s="9">
        <v>1.7682591000000001E-2</v>
      </c>
      <c r="G33" s="9">
        <v>0.400001791</v>
      </c>
      <c r="H33" s="8"/>
      <c r="I33" s="11">
        <v>51.625227900999597</v>
      </c>
      <c r="J33" s="12">
        <v>939.22869948728896</v>
      </c>
      <c r="K33" s="12">
        <v>11241.367347605999</v>
      </c>
      <c r="L33" s="12">
        <v>15517.3278867316</v>
      </c>
      <c r="M33" s="11">
        <v>295.083332770808</v>
      </c>
      <c r="N33" s="12">
        <v>34112.4171166655</v>
      </c>
      <c r="O33" s="16">
        <v>26.843733638348599</v>
      </c>
      <c r="P33" s="12">
        <v>13200.5752258297</v>
      </c>
      <c r="Q33" s="12">
        <v>7696.4292440114696</v>
      </c>
      <c r="R33" s="16"/>
      <c r="S33" s="16">
        <v>17.163299492657998</v>
      </c>
      <c r="T33" s="16">
        <v>14.7484562054469</v>
      </c>
    </row>
    <row r="34" spans="1:20" s="2" customFormat="1">
      <c r="A34" s="7" t="s">
        <v>32</v>
      </c>
      <c r="B34" s="8" t="s">
        <v>500</v>
      </c>
      <c r="C34" s="9">
        <v>1.8983333650000001</v>
      </c>
      <c r="D34" s="9">
        <v>0.29072878949999997</v>
      </c>
      <c r="E34" s="9">
        <v>0.19681390200000001</v>
      </c>
      <c r="F34" s="9">
        <v>1.8108304499999998E-2</v>
      </c>
      <c r="G34" s="9">
        <v>0.25802799500000001</v>
      </c>
      <c r="H34" s="8"/>
      <c r="I34" s="11">
        <v>13.027221497994301</v>
      </c>
      <c r="J34" s="12">
        <v>423.09767149068898</v>
      </c>
      <c r="K34" s="12">
        <v>381.992101160083</v>
      </c>
      <c r="L34" s="12">
        <v>5438.6108846941997</v>
      </c>
      <c r="M34" s="11">
        <v>141.40057598126401</v>
      </c>
      <c r="N34" s="12">
        <v>2912.5632561349398</v>
      </c>
      <c r="O34" s="16">
        <v>4.8414439944663101</v>
      </c>
      <c r="P34" s="12">
        <v>142.790925054458</v>
      </c>
      <c r="Q34" s="12">
        <v>2709.9715849628101</v>
      </c>
      <c r="R34" s="16">
        <v>9.1888448662530695E-2</v>
      </c>
      <c r="S34" s="16">
        <v>7.2066779571201796</v>
      </c>
      <c r="T34" s="16">
        <v>5.0785411910930902</v>
      </c>
    </row>
    <row r="35" spans="1:20" s="2" customFormat="1">
      <c r="A35" s="7" t="s">
        <v>32</v>
      </c>
      <c r="B35" s="8" t="s">
        <v>501</v>
      </c>
      <c r="C35" s="9">
        <v>1.5986983749999999</v>
      </c>
      <c r="D35" s="9">
        <v>0.25214852250000003</v>
      </c>
      <c r="E35" s="9">
        <v>0.21253261800000001</v>
      </c>
      <c r="F35" s="9">
        <v>2.4803494499999999E-2</v>
      </c>
      <c r="G35" s="9">
        <v>3.1576908000000001E-2</v>
      </c>
      <c r="H35" s="8"/>
      <c r="I35" s="11">
        <v>36.307231327699903</v>
      </c>
      <c r="J35" s="12">
        <v>776.73044849265705</v>
      </c>
      <c r="K35" s="12">
        <v>276.503285988458</v>
      </c>
      <c r="L35" s="12">
        <v>10903.1534430925</v>
      </c>
      <c r="M35" s="11">
        <v>256.58123417509</v>
      </c>
      <c r="N35" s="12">
        <v>14158.540843339801</v>
      </c>
      <c r="O35" s="16">
        <v>23.618803165318301</v>
      </c>
      <c r="P35" s="12">
        <v>3979.46476521973</v>
      </c>
      <c r="Q35" s="12">
        <v>2584.2359195577101</v>
      </c>
      <c r="R35" s="16"/>
      <c r="S35" s="16">
        <v>4.8687431125471603</v>
      </c>
      <c r="T35" s="16">
        <v>4.6529258937701101</v>
      </c>
    </row>
    <row r="36" spans="1:20" s="2" customFormat="1">
      <c r="A36" s="7" t="s">
        <v>32</v>
      </c>
      <c r="B36" s="8" t="s">
        <v>502</v>
      </c>
      <c r="C36" s="9">
        <v>1.6957868110000001</v>
      </c>
      <c r="D36" s="9">
        <v>0.21402842399999999</v>
      </c>
      <c r="E36" s="9">
        <v>0.210354765</v>
      </c>
      <c r="F36" s="9">
        <v>1.8141480000000001E-2</v>
      </c>
      <c r="G36" s="9">
        <v>0.50308304400000003</v>
      </c>
      <c r="H36" s="8"/>
      <c r="I36" s="11">
        <v>21.214570680031802</v>
      </c>
      <c r="J36" s="12">
        <v>492.75042194532102</v>
      </c>
      <c r="K36" s="12">
        <v>421.783243640872</v>
      </c>
      <c r="L36" s="12">
        <v>8448.0189815131507</v>
      </c>
      <c r="M36" s="11">
        <v>286.319054592866</v>
      </c>
      <c r="N36" s="12">
        <v>3878.1356860391802</v>
      </c>
      <c r="O36" s="16">
        <v>14.371847302989099</v>
      </c>
      <c r="P36" s="12">
        <v>292.60574886459699</v>
      </c>
      <c r="Q36" s="12">
        <v>12029.2765170148</v>
      </c>
      <c r="R36" s="16">
        <v>8.1356643426327202E-2</v>
      </c>
      <c r="S36" s="16">
        <v>5.9041867412536897</v>
      </c>
      <c r="T36" s="16">
        <v>5.3669714147686403</v>
      </c>
    </row>
    <row r="37" spans="1:20" s="2" customFormat="1">
      <c r="A37" s="7" t="s">
        <v>32</v>
      </c>
      <c r="B37" s="8" t="s">
        <v>503</v>
      </c>
      <c r="C37" s="9">
        <v>1.546890702</v>
      </c>
      <c r="D37" s="9">
        <v>0.32154137399999999</v>
      </c>
      <c r="E37" s="9">
        <v>0.28283372600000001</v>
      </c>
      <c r="F37" s="9">
        <v>3.8497042500000002E-2</v>
      </c>
      <c r="G37" s="9">
        <v>0.31669446899999998</v>
      </c>
      <c r="H37" s="8"/>
      <c r="I37" s="11">
        <v>13.187142818701799</v>
      </c>
      <c r="J37" s="12">
        <v>818.98544909329701</v>
      </c>
      <c r="K37" s="12">
        <v>460.63692121220998</v>
      </c>
      <c r="L37" s="12">
        <v>14578.176504515101</v>
      </c>
      <c r="M37" s="11">
        <v>241.804297343142</v>
      </c>
      <c r="N37" s="12">
        <v>16472.5620354557</v>
      </c>
      <c r="O37" s="16">
        <v>23.957440590640498</v>
      </c>
      <c r="P37" s="12">
        <v>6422.7024352560502</v>
      </c>
      <c r="Q37" s="12">
        <v>5797.1217886628601</v>
      </c>
      <c r="R37" s="16">
        <v>0.44503318861299201</v>
      </c>
      <c r="S37" s="16">
        <v>1.80457733520059</v>
      </c>
      <c r="T37" s="16">
        <v>2.3692091683509302</v>
      </c>
    </row>
    <row r="38" spans="1:20" s="2" customFormat="1">
      <c r="A38" s="7" t="s">
        <v>32</v>
      </c>
      <c r="B38" s="8" t="s">
        <v>504</v>
      </c>
      <c r="C38" s="9">
        <v>1.6462830690000001</v>
      </c>
      <c r="D38" s="9">
        <v>0.24023094</v>
      </c>
      <c r="E38" s="9">
        <v>0.21165634899999999</v>
      </c>
      <c r="F38" s="9">
        <v>2.6199266999999998E-2</v>
      </c>
      <c r="G38" s="9">
        <v>0.59290563299999999</v>
      </c>
      <c r="H38" s="8"/>
      <c r="I38" s="11">
        <v>25.622060734588398</v>
      </c>
      <c r="J38" s="12">
        <v>547.48140976974696</v>
      </c>
      <c r="K38" s="12">
        <v>1340.81148666525</v>
      </c>
      <c r="L38" s="12">
        <v>7238.5112834233896</v>
      </c>
      <c r="M38" s="11">
        <v>214.20702245261</v>
      </c>
      <c r="N38" s="12">
        <v>7664.6671730056796</v>
      </c>
      <c r="O38" s="16">
        <v>15.584756884069799</v>
      </c>
      <c r="P38" s="12">
        <v>2971.8957987583999</v>
      </c>
      <c r="Q38" s="12">
        <v>2706.85918540496</v>
      </c>
      <c r="R38" s="16">
        <v>2.3508830040960101E-2</v>
      </c>
      <c r="S38" s="16">
        <v>4.7068822876088898</v>
      </c>
      <c r="T38" s="16">
        <v>4.4003325383836103</v>
      </c>
    </row>
    <row r="39" spans="1:20" s="2" customFormat="1">
      <c r="A39" s="7"/>
      <c r="B39" s="8"/>
      <c r="C39" s="9"/>
      <c r="D39" s="9"/>
      <c r="E39" s="9"/>
      <c r="F39" s="9"/>
      <c r="G39" s="9"/>
      <c r="H39" s="8"/>
      <c r="I39" s="11"/>
      <c r="J39" s="12"/>
      <c r="K39" s="12"/>
      <c r="L39" s="12"/>
      <c r="M39" s="12"/>
      <c r="N39" s="16"/>
      <c r="O39" s="16"/>
      <c r="P39" s="16"/>
      <c r="Q39" s="12"/>
      <c r="R39" s="16"/>
      <c r="S39" s="16"/>
      <c r="T39" s="16"/>
    </row>
    <row r="40" spans="1:20" s="2" customFormat="1">
      <c r="A40" s="7" t="s">
        <v>403</v>
      </c>
      <c r="B40" s="8"/>
      <c r="C40" s="9"/>
      <c r="D40" s="9"/>
      <c r="E40" s="9"/>
      <c r="F40" s="9"/>
      <c r="G40" s="9"/>
      <c r="H40" s="8"/>
      <c r="I40" s="11"/>
      <c r="J40" s="12"/>
      <c r="K40" s="12"/>
      <c r="L40" s="12"/>
      <c r="M40" s="12"/>
      <c r="N40" s="16"/>
      <c r="O40" s="16"/>
      <c r="P40" s="16"/>
      <c r="Q40" s="12"/>
      <c r="R40" s="16"/>
      <c r="S40" s="16"/>
      <c r="T40" s="16"/>
    </row>
    <row r="41" spans="1:20" s="2" customFormat="1">
      <c r="A41" s="7" t="s">
        <v>505</v>
      </c>
      <c r="B41" s="8" t="s">
        <v>506</v>
      </c>
      <c r="C41" s="9">
        <v>11.821645574438501</v>
      </c>
      <c r="D41" s="9">
        <v>1.07234967889775</v>
      </c>
      <c r="E41" s="9">
        <v>5.9695747508241997E-2</v>
      </c>
      <c r="F41" s="9">
        <v>2.5425759371802701E-3</v>
      </c>
      <c r="G41" s="9">
        <v>0.55506505969698094</v>
      </c>
      <c r="H41" s="8"/>
      <c r="I41" s="11">
        <v>13.9665955965924</v>
      </c>
      <c r="J41" s="12">
        <v>948.51326588241704</v>
      </c>
      <c r="K41" s="12">
        <v>45.541220363671101</v>
      </c>
      <c r="L41" s="12">
        <v>2955.5335116000301</v>
      </c>
      <c r="M41" s="12">
        <v>4233.5376859370699</v>
      </c>
      <c r="N41" s="12">
        <v>540.06982324139994</v>
      </c>
      <c r="O41" s="12">
        <v>107.83729836273599</v>
      </c>
      <c r="P41" s="16">
        <v>32.419053565176696</v>
      </c>
      <c r="Q41" s="12">
        <v>1122.2486867949599</v>
      </c>
      <c r="R41" s="16"/>
      <c r="S41" s="12">
        <v>383.62834127176802</v>
      </c>
      <c r="T41" s="16">
        <v>39.528146120621201</v>
      </c>
    </row>
    <row r="42" spans="1:20" s="2" customFormat="1">
      <c r="A42" s="7" t="s">
        <v>505</v>
      </c>
      <c r="B42" s="8" t="s">
        <v>507</v>
      </c>
      <c r="C42" s="9">
        <v>12.2526789292143</v>
      </c>
      <c r="D42" s="9">
        <v>0.92817530158175998</v>
      </c>
      <c r="E42" s="9">
        <v>5.9661396490870398E-2</v>
      </c>
      <c r="F42" s="9">
        <v>1.7070423162743201E-3</v>
      </c>
      <c r="G42" s="9">
        <v>0.21337028605005301</v>
      </c>
      <c r="H42" s="8"/>
      <c r="I42" s="11">
        <v>14.0611795259749</v>
      </c>
      <c r="J42" s="12">
        <v>923.30611892380796</v>
      </c>
      <c r="K42" s="12">
        <v>45.666522613559899</v>
      </c>
      <c r="L42" s="12">
        <v>2900.3599618326998</v>
      </c>
      <c r="M42" s="12">
        <v>4399.6548907128099</v>
      </c>
      <c r="N42" s="12">
        <v>536.38244141878397</v>
      </c>
      <c r="O42" s="12">
        <v>110.396956797805</v>
      </c>
      <c r="P42" s="16">
        <v>32.635421019629597</v>
      </c>
      <c r="Q42" s="12">
        <v>1108.10477513502</v>
      </c>
      <c r="R42" s="16"/>
      <c r="S42" s="12">
        <v>377.657469649495</v>
      </c>
      <c r="T42" s="16">
        <v>42.401851569720897</v>
      </c>
    </row>
    <row r="43" spans="1:20" s="2" customFormat="1">
      <c r="A43" s="7" t="s">
        <v>505</v>
      </c>
      <c r="B43" s="8" t="s">
        <v>508</v>
      </c>
      <c r="C43" s="9">
        <v>12.1132250359863</v>
      </c>
      <c r="D43" s="9">
        <v>0.92291769257112299</v>
      </c>
      <c r="E43" s="9">
        <v>5.7993705927019801E-2</v>
      </c>
      <c r="F43" s="9">
        <v>4.1657177530192999E-3</v>
      </c>
      <c r="G43" s="9">
        <v>-0.15850732571396101</v>
      </c>
      <c r="H43" s="8"/>
      <c r="I43" s="11">
        <v>11.357016952998601</v>
      </c>
      <c r="J43" s="12">
        <v>1182.8576587192999</v>
      </c>
      <c r="K43" s="12">
        <v>194.259102546516</v>
      </c>
      <c r="L43" s="12">
        <v>2160.1166041665501</v>
      </c>
      <c r="M43" s="12">
        <v>3292.53037099725</v>
      </c>
      <c r="N43" s="12">
        <v>464.93096872139603</v>
      </c>
      <c r="O43" s="12">
        <v>85.441875777342005</v>
      </c>
      <c r="P43" s="16">
        <v>28.592051349822398</v>
      </c>
      <c r="Q43" s="12">
        <v>1098.8251020820401</v>
      </c>
      <c r="R43" s="16"/>
      <c r="S43" s="12">
        <v>379.55025427157699</v>
      </c>
      <c r="T43" s="16">
        <v>34.822694001027699</v>
      </c>
    </row>
    <row r="44" spans="1:20" s="2" customFormat="1">
      <c r="A44" s="7" t="s">
        <v>505</v>
      </c>
      <c r="B44" s="8" t="s">
        <v>509</v>
      </c>
      <c r="C44" s="9">
        <v>12.7794657930973</v>
      </c>
      <c r="D44" s="9">
        <v>0.95532146765499104</v>
      </c>
      <c r="E44" s="9">
        <v>5.8919440270699501E-2</v>
      </c>
      <c r="F44" s="9">
        <v>1.9151609086683901E-3</v>
      </c>
      <c r="G44" s="9">
        <v>0.46281632091642</v>
      </c>
      <c r="H44" s="8"/>
      <c r="I44" s="11">
        <v>10.692833858864701</v>
      </c>
      <c r="J44" s="12">
        <v>1135.6411794816499</v>
      </c>
      <c r="K44" s="12">
        <v>195.42769607794699</v>
      </c>
      <c r="L44" s="12">
        <v>2273.6612746846899</v>
      </c>
      <c r="M44" s="12">
        <v>3323.1861916555799</v>
      </c>
      <c r="N44" s="12">
        <v>466.884243561311</v>
      </c>
      <c r="O44" s="12">
        <v>85.062000920699205</v>
      </c>
      <c r="P44" s="16">
        <v>28.382133155433301</v>
      </c>
      <c r="Q44" s="12">
        <v>1118.64652829071</v>
      </c>
      <c r="R44" s="16"/>
      <c r="S44" s="12">
        <v>377.42771912278198</v>
      </c>
      <c r="T44" s="16">
        <v>36.774189601940499</v>
      </c>
    </row>
    <row r="45" spans="1:20" s="2" customFormat="1">
      <c r="A45" s="7" t="s">
        <v>505</v>
      </c>
      <c r="B45" s="8" t="s">
        <v>510</v>
      </c>
      <c r="C45" s="9">
        <v>12.5225930812739</v>
      </c>
      <c r="D45" s="9">
        <v>0.95984279217235602</v>
      </c>
      <c r="E45" s="9">
        <v>5.9130325255927201E-2</v>
      </c>
      <c r="F45" s="9">
        <v>2.6290990228439899E-3</v>
      </c>
      <c r="G45" s="9">
        <v>0.59999638477177197</v>
      </c>
      <c r="H45" s="8"/>
      <c r="I45" s="11">
        <v>10.718104063026599</v>
      </c>
      <c r="J45" s="12">
        <v>1186.0559165544901</v>
      </c>
      <c r="K45" s="12">
        <v>199.46718444949701</v>
      </c>
      <c r="L45" s="12">
        <v>3137.36363873041</v>
      </c>
      <c r="M45" s="12">
        <v>3483.7979931884101</v>
      </c>
      <c r="N45" s="12">
        <v>469.85867667770401</v>
      </c>
      <c r="O45" s="12">
        <v>86.593735297730802</v>
      </c>
      <c r="P45" s="16">
        <v>30.000363682048</v>
      </c>
      <c r="Q45" s="12">
        <v>1154.5881468607399</v>
      </c>
      <c r="R45" s="16"/>
      <c r="S45" s="12">
        <v>392.20746614080701</v>
      </c>
      <c r="T45" s="16">
        <v>38.579305031065701</v>
      </c>
    </row>
    <row r="46" spans="1:20" s="2" customFormat="1">
      <c r="A46" s="7" t="s">
        <v>505</v>
      </c>
      <c r="B46" s="8" t="s">
        <v>511</v>
      </c>
      <c r="C46" s="9">
        <v>12.1863030457829</v>
      </c>
      <c r="D46" s="9">
        <v>0.87155654104272795</v>
      </c>
      <c r="E46" s="9">
        <v>6.2609453006462396E-2</v>
      </c>
      <c r="F46" s="9">
        <v>1.7340644304786801E-3</v>
      </c>
      <c r="G46" s="9">
        <v>0.20688320647787001</v>
      </c>
      <c r="H46" s="8"/>
      <c r="I46" s="11">
        <v>10.4082575313481</v>
      </c>
      <c r="J46" s="12">
        <v>1155.9937934137899</v>
      </c>
      <c r="K46" s="12">
        <v>196.655153407656</v>
      </c>
      <c r="L46" s="12">
        <v>2718.4620976153201</v>
      </c>
      <c r="M46" s="12">
        <v>3266.16927815384</v>
      </c>
      <c r="N46" s="12">
        <v>459.15847497815901</v>
      </c>
      <c r="O46" s="12">
        <v>83.681989355551494</v>
      </c>
      <c r="P46" s="16">
        <v>28.818269438319</v>
      </c>
      <c r="Q46" s="12">
        <v>1154.2439170396201</v>
      </c>
      <c r="R46" s="16"/>
      <c r="S46" s="12">
        <v>380.94128068227297</v>
      </c>
      <c r="T46" s="16">
        <v>39.171326777392302</v>
      </c>
    </row>
    <row r="47" spans="1:20" s="2" customFormat="1">
      <c r="A47" s="7" t="s">
        <v>505</v>
      </c>
      <c r="B47" s="8" t="s">
        <v>512</v>
      </c>
      <c r="C47" s="9">
        <v>12.1862528490363</v>
      </c>
      <c r="D47" s="9">
        <v>0.87606231443667604</v>
      </c>
      <c r="E47" s="9">
        <v>5.7346762803047402E-2</v>
      </c>
      <c r="F47" s="9">
        <v>2.704220179332E-3</v>
      </c>
      <c r="G47" s="9">
        <v>0.33372501849650199</v>
      </c>
      <c r="H47" s="8"/>
      <c r="I47" s="11">
        <v>15.0407065200845</v>
      </c>
      <c r="J47" s="12">
        <v>869.10472989546497</v>
      </c>
      <c r="K47" s="12">
        <v>170.387986081229</v>
      </c>
      <c r="L47" s="12">
        <v>2454.2457398770898</v>
      </c>
      <c r="M47" s="12">
        <v>3748.1545892562299</v>
      </c>
      <c r="N47" s="12">
        <v>603.69753183519902</v>
      </c>
      <c r="O47" s="12">
        <v>102.93384924395301</v>
      </c>
      <c r="P47" s="16">
        <v>34.039894080457898</v>
      </c>
      <c r="Q47" s="12">
        <v>1092.03234162389</v>
      </c>
      <c r="R47" s="16"/>
      <c r="S47" s="12">
        <v>339.89930779114201</v>
      </c>
      <c r="T47" s="16">
        <v>37.044295181216803</v>
      </c>
    </row>
    <row r="48" spans="1:20" s="2" customFormat="1">
      <c r="A48" s="7" t="s">
        <v>505</v>
      </c>
      <c r="B48" s="8" t="s">
        <v>513</v>
      </c>
      <c r="C48" s="9">
        <v>12.2670030201147</v>
      </c>
      <c r="D48" s="9">
        <v>0.74666596091511805</v>
      </c>
      <c r="E48" s="9">
        <v>5.7885429028591402E-2</v>
      </c>
      <c r="F48" s="9">
        <v>1.5026825625147899E-3</v>
      </c>
      <c r="G48" s="9">
        <v>-0.112718376723807</v>
      </c>
      <c r="H48" s="8"/>
      <c r="I48" s="11">
        <v>15.0092968680213</v>
      </c>
      <c r="J48" s="12">
        <v>873.11000682960696</v>
      </c>
      <c r="K48" s="12">
        <v>173.71352175166501</v>
      </c>
      <c r="L48" s="12">
        <v>2524.8183034313302</v>
      </c>
      <c r="M48" s="12">
        <v>3722.3668892584601</v>
      </c>
      <c r="N48" s="12">
        <v>578.67688879003595</v>
      </c>
      <c r="O48" s="12">
        <v>103.57024863425799</v>
      </c>
      <c r="P48" s="16">
        <v>34.383219856551896</v>
      </c>
      <c r="Q48" s="12">
        <v>1066.45994482526</v>
      </c>
      <c r="R48" s="16"/>
      <c r="S48" s="12">
        <v>360.35335987377101</v>
      </c>
      <c r="T48" s="16">
        <v>38.783856742361898</v>
      </c>
    </row>
    <row r="49" spans="1:20" s="2" customFormat="1">
      <c r="A49" s="7" t="s">
        <v>505</v>
      </c>
      <c r="B49" s="8" t="s">
        <v>514</v>
      </c>
      <c r="C49" s="9">
        <v>12.3839259996753</v>
      </c>
      <c r="D49" s="9">
        <v>0.88044047700441896</v>
      </c>
      <c r="E49" s="9">
        <v>5.8745565435371197E-2</v>
      </c>
      <c r="F49" s="9">
        <v>1.5914546747117699E-3</v>
      </c>
      <c r="G49" s="9">
        <v>0.51712872874957805</v>
      </c>
      <c r="H49" s="8"/>
      <c r="I49" s="11">
        <v>14.484821527060801</v>
      </c>
      <c r="J49" s="12">
        <v>879.494945774592</v>
      </c>
      <c r="K49" s="12">
        <v>176.36614723766101</v>
      </c>
      <c r="L49" s="12">
        <v>3008.3739425147201</v>
      </c>
      <c r="M49" s="12">
        <v>3779.2837138643399</v>
      </c>
      <c r="N49" s="12">
        <v>586.72159729033001</v>
      </c>
      <c r="O49" s="12">
        <v>105.255599663081</v>
      </c>
      <c r="P49" s="16">
        <v>35.9936743047665</v>
      </c>
      <c r="Q49" s="12">
        <v>1045.08604733328</v>
      </c>
      <c r="R49" s="16"/>
      <c r="S49" s="12">
        <v>346.70854597797</v>
      </c>
      <c r="T49" s="16">
        <v>35.917869790876502</v>
      </c>
    </row>
    <row r="50" spans="1:20" s="2" customFormat="1">
      <c r="A50" s="7" t="s">
        <v>505</v>
      </c>
      <c r="B50" s="8" t="s">
        <v>515</v>
      </c>
      <c r="C50" s="9">
        <v>11.5965490026393</v>
      </c>
      <c r="D50" s="9">
        <v>0.76321686677939005</v>
      </c>
      <c r="E50" s="9">
        <v>5.7561887701918203E-2</v>
      </c>
      <c r="F50" s="9">
        <v>1.34878534342617E-3</v>
      </c>
      <c r="G50" s="9">
        <v>4.4565879013459798E-2</v>
      </c>
      <c r="H50" s="8"/>
      <c r="I50" s="11">
        <v>15.1480723421382</v>
      </c>
      <c r="J50" s="12">
        <v>876.30652739808704</v>
      </c>
      <c r="K50" s="12">
        <v>174.59602231014199</v>
      </c>
      <c r="L50" s="12">
        <v>2664.4883173500398</v>
      </c>
      <c r="M50" s="12">
        <v>3735.8508722291099</v>
      </c>
      <c r="N50" s="12">
        <v>583.26303292341402</v>
      </c>
      <c r="O50" s="12">
        <v>106.03332485535999</v>
      </c>
      <c r="P50" s="16">
        <v>35.039569710599601</v>
      </c>
      <c r="Q50" s="12">
        <v>1078.90398863932</v>
      </c>
      <c r="R50" s="16"/>
      <c r="S50" s="12">
        <v>368.82284370166201</v>
      </c>
      <c r="T50" s="16">
        <v>40.622802004395801</v>
      </c>
    </row>
    <row r="51" spans="1:20" s="2" customFormat="1">
      <c r="A51" s="7" t="s">
        <v>505</v>
      </c>
      <c r="B51" s="8" t="s">
        <v>516</v>
      </c>
      <c r="C51" s="9">
        <v>12.178671957315601</v>
      </c>
      <c r="D51" s="9">
        <v>0.87230641418093002</v>
      </c>
      <c r="E51" s="9">
        <v>5.9954406733717901E-2</v>
      </c>
      <c r="F51" s="9">
        <v>2.2871370808360499E-3</v>
      </c>
      <c r="G51" s="9">
        <v>0.23720550317306699</v>
      </c>
      <c r="H51" s="8"/>
      <c r="I51" s="11">
        <v>15.704956431302699</v>
      </c>
      <c r="J51" s="12">
        <v>857.88391214301305</v>
      </c>
      <c r="K51" s="12">
        <v>180.66098303400099</v>
      </c>
      <c r="L51" s="12">
        <v>2434.0973442858199</v>
      </c>
      <c r="M51" s="12">
        <v>3550.0541600853599</v>
      </c>
      <c r="N51" s="12">
        <v>576.20733125928598</v>
      </c>
      <c r="O51" s="12">
        <v>96.343408713423401</v>
      </c>
      <c r="P51" s="16">
        <v>35.084639672382998</v>
      </c>
      <c r="Q51" s="12">
        <v>1047.25453695692</v>
      </c>
      <c r="R51" s="16"/>
      <c r="S51" s="12">
        <v>349.095575390242</v>
      </c>
      <c r="T51" s="16">
        <v>36.133132144216098</v>
      </c>
    </row>
    <row r="52" spans="1:20" s="2" customFormat="1">
      <c r="A52" s="7" t="s">
        <v>505</v>
      </c>
      <c r="B52" s="8" t="s">
        <v>517</v>
      </c>
      <c r="C52" s="9">
        <v>12.2666813600341</v>
      </c>
      <c r="D52" s="9">
        <v>0.90931992263480799</v>
      </c>
      <c r="E52" s="9">
        <v>5.7928088731354202E-2</v>
      </c>
      <c r="F52" s="9">
        <v>1.9871019456711302E-3</v>
      </c>
      <c r="G52" s="9">
        <v>0.50361451547435998</v>
      </c>
      <c r="H52" s="8"/>
      <c r="I52" s="11">
        <v>14.300345737741299</v>
      </c>
      <c r="J52" s="12">
        <v>871.60900216130199</v>
      </c>
      <c r="K52" s="12">
        <v>179.48231378608801</v>
      </c>
      <c r="L52" s="12">
        <v>2371.9511225555402</v>
      </c>
      <c r="M52" s="12">
        <v>3482.1302165339798</v>
      </c>
      <c r="N52" s="12">
        <v>589.72044407354394</v>
      </c>
      <c r="O52" s="12">
        <v>96.756013602639797</v>
      </c>
      <c r="P52" s="16">
        <v>33.7103445959686</v>
      </c>
      <c r="Q52" s="12">
        <v>1064.2867973418399</v>
      </c>
      <c r="R52" s="16"/>
      <c r="S52" s="12">
        <v>359.26696326384501</v>
      </c>
      <c r="T52" s="16">
        <v>38.705528868136497</v>
      </c>
    </row>
    <row r="53" spans="1:20" s="2" customFormat="1">
      <c r="A53" s="7" t="s">
        <v>505</v>
      </c>
      <c r="B53" s="8" t="s">
        <v>518</v>
      </c>
      <c r="C53" s="9">
        <v>11.7264107800068</v>
      </c>
      <c r="D53" s="9">
        <v>0.89813044059912905</v>
      </c>
      <c r="E53" s="9">
        <v>5.6926308909704702E-2</v>
      </c>
      <c r="F53" s="9">
        <v>1.78089863587815E-3</v>
      </c>
      <c r="G53" s="9">
        <v>0.34215431859395801</v>
      </c>
      <c r="H53" s="8"/>
      <c r="I53" s="11">
        <v>12.957182351759201</v>
      </c>
      <c r="J53" s="12">
        <v>966.65471986666103</v>
      </c>
      <c r="K53" s="12">
        <v>45.8242105134577</v>
      </c>
      <c r="L53" s="12">
        <v>3103.8470197369902</v>
      </c>
      <c r="M53" s="12">
        <v>4149.6449198501296</v>
      </c>
      <c r="N53" s="12">
        <v>535.35169271528605</v>
      </c>
      <c r="O53" s="12">
        <v>106.95617231278899</v>
      </c>
      <c r="P53" s="16">
        <v>31.977560432550298</v>
      </c>
      <c r="Q53" s="12">
        <v>1093.5474092619399</v>
      </c>
      <c r="R53" s="16"/>
      <c r="S53" s="12">
        <v>369.88531138740001</v>
      </c>
      <c r="T53" s="16">
        <v>42.203532954662201</v>
      </c>
    </row>
    <row r="54" spans="1:20" s="2" customFormat="1">
      <c r="A54" s="7" t="s">
        <v>505</v>
      </c>
      <c r="B54" s="8" t="s">
        <v>519</v>
      </c>
      <c r="C54" s="9">
        <v>12.2253723351802</v>
      </c>
      <c r="D54" s="9">
        <v>0.88349838280868997</v>
      </c>
      <c r="E54" s="9">
        <v>5.7343275909383901E-2</v>
      </c>
      <c r="F54" s="9">
        <v>1.9782516143478498E-3</v>
      </c>
      <c r="G54" s="9">
        <v>0.28038034527587902</v>
      </c>
      <c r="H54" s="8"/>
      <c r="I54" s="11">
        <v>12.3898126393797</v>
      </c>
      <c r="J54" s="12">
        <v>957.05911203182905</v>
      </c>
      <c r="K54" s="12">
        <v>43.406528660553903</v>
      </c>
      <c r="L54" s="12">
        <v>2875.7332667710202</v>
      </c>
      <c r="M54" s="12">
        <v>4113.4662409026296</v>
      </c>
      <c r="N54" s="12">
        <v>525.70386109231504</v>
      </c>
      <c r="O54" s="12">
        <v>103.21539691363201</v>
      </c>
      <c r="P54" s="16">
        <v>30.088225600273699</v>
      </c>
      <c r="Q54" s="12">
        <v>1071.5223565474901</v>
      </c>
      <c r="R54" s="16">
        <v>2.743051006158E-2</v>
      </c>
      <c r="S54" s="12">
        <v>367.37240097820597</v>
      </c>
      <c r="T54" s="16">
        <v>39.907106248654401</v>
      </c>
    </row>
    <row r="55" spans="1:20" s="2" customFormat="1">
      <c r="A55" s="7"/>
      <c r="B55" s="8"/>
      <c r="C55" s="8"/>
      <c r="D55" s="8"/>
      <c r="E55" s="8"/>
      <c r="F55" s="8"/>
      <c r="G55" s="8"/>
      <c r="H55" s="8"/>
      <c r="I55" s="11"/>
      <c r="J55" s="12"/>
      <c r="K55" s="12"/>
      <c r="L55" s="12"/>
      <c r="M55" s="12"/>
      <c r="N55" s="16"/>
      <c r="O55" s="16"/>
      <c r="P55" s="16"/>
      <c r="Q55" s="16"/>
      <c r="R55" s="16"/>
      <c r="S55" s="16"/>
      <c r="T55" s="16"/>
    </row>
    <row r="56" spans="1:20">
      <c r="A56" s="10" t="s">
        <v>520</v>
      </c>
      <c r="B56" s="3" t="s">
        <v>521</v>
      </c>
      <c r="I56" s="14">
        <v>417.18178871062298</v>
      </c>
      <c r="J56" s="15">
        <v>530.47115636547699</v>
      </c>
      <c r="K56" s="15">
        <v>404.29122833541697</v>
      </c>
      <c r="L56" s="15">
        <v>40287.6483563113</v>
      </c>
      <c r="M56" s="15">
        <v>415.37072215671799</v>
      </c>
      <c r="N56" s="15">
        <v>431.66357981944901</v>
      </c>
      <c r="O56" s="15">
        <v>442.14934376619198</v>
      </c>
      <c r="P56" s="17">
        <v>429.83808015471902</v>
      </c>
      <c r="Q56" s="17">
        <v>438.60613507073401</v>
      </c>
      <c r="R56" s="17">
        <v>11.681949875659599</v>
      </c>
      <c r="S56" s="17">
        <v>11.7369385556257</v>
      </c>
      <c r="T56" s="15">
        <v>593.64959985419398</v>
      </c>
    </row>
    <row r="57" spans="1:20">
      <c r="A57" s="10" t="s">
        <v>520</v>
      </c>
      <c r="B57" s="3" t="s">
        <v>522</v>
      </c>
      <c r="I57" s="14">
        <v>402.33039368950102</v>
      </c>
      <c r="J57" s="15">
        <v>524.00725582669895</v>
      </c>
      <c r="K57" s="15">
        <v>388.30156254520199</v>
      </c>
      <c r="L57" s="15">
        <v>39026.9656349652</v>
      </c>
      <c r="M57" s="15">
        <v>402.289567559126</v>
      </c>
      <c r="N57" s="15">
        <v>419.27375500144001</v>
      </c>
      <c r="O57" s="15">
        <v>413.03042155913198</v>
      </c>
      <c r="P57" s="17">
        <v>407.454862657109</v>
      </c>
      <c r="Q57" s="17">
        <v>420.10578819444697</v>
      </c>
      <c r="R57" s="17">
        <v>11.2503980894184</v>
      </c>
      <c r="S57" s="17">
        <v>11.370603413901099</v>
      </c>
      <c r="T57" s="15">
        <v>566.00930399503795</v>
      </c>
    </row>
    <row r="58" spans="1:20">
      <c r="A58" s="10" t="s">
        <v>520</v>
      </c>
      <c r="B58" s="3" t="s">
        <v>523</v>
      </c>
      <c r="I58" s="14">
        <v>411.094280607033</v>
      </c>
      <c r="J58" s="15">
        <v>525.45570176516901</v>
      </c>
      <c r="K58" s="15">
        <v>392.41337613039002</v>
      </c>
      <c r="L58" s="15">
        <v>39630.998190414997</v>
      </c>
      <c r="M58" s="15">
        <v>404.958694902535</v>
      </c>
      <c r="N58" s="15">
        <v>420.00090579738003</v>
      </c>
      <c r="O58" s="15">
        <v>420.99792413454497</v>
      </c>
      <c r="P58" s="17">
        <v>411.95087795734702</v>
      </c>
      <c r="Q58" s="17">
        <v>424.76648027984999</v>
      </c>
      <c r="R58" s="17">
        <v>11.080738586666399</v>
      </c>
      <c r="S58" s="17">
        <v>11.4099180013413</v>
      </c>
      <c r="T58" s="15">
        <v>573.532559351592</v>
      </c>
    </row>
    <row r="59" spans="1:20">
      <c r="A59" s="10" t="s">
        <v>520</v>
      </c>
      <c r="B59" s="3" t="s">
        <v>524</v>
      </c>
      <c r="I59" s="14">
        <v>407.29492234641901</v>
      </c>
      <c r="J59" s="15">
        <v>527.57572974341201</v>
      </c>
      <c r="K59" s="15">
        <v>385.33190623710601</v>
      </c>
      <c r="L59" s="15">
        <v>38974.332309848098</v>
      </c>
      <c r="M59" s="15">
        <v>407.15333807589599</v>
      </c>
      <c r="N59" s="15">
        <v>419.33935862782801</v>
      </c>
      <c r="O59" s="15">
        <v>416.26959619863101</v>
      </c>
      <c r="P59" s="17">
        <v>409.08224992822397</v>
      </c>
      <c r="Q59" s="17">
        <v>414.75474324996202</v>
      </c>
      <c r="R59" s="17">
        <v>11.258784527638801</v>
      </c>
      <c r="S59" s="17">
        <v>11.173810061240999</v>
      </c>
      <c r="T59" s="15">
        <v>560.72055603457295</v>
      </c>
    </row>
    <row r="60" spans="1:20">
      <c r="A60" s="10" t="s">
        <v>520</v>
      </c>
      <c r="B60" s="3" t="s">
        <v>525</v>
      </c>
      <c r="I60" s="14">
        <v>406.74951515610002</v>
      </c>
      <c r="J60" s="15">
        <v>532.22395118333702</v>
      </c>
      <c r="K60" s="15">
        <v>393.87943594557697</v>
      </c>
      <c r="L60" s="15">
        <v>39689.012515330804</v>
      </c>
      <c r="M60" s="15">
        <v>405.10707744507602</v>
      </c>
      <c r="N60" s="15">
        <v>422.35406814853201</v>
      </c>
      <c r="O60" s="15">
        <v>420.07803992047099</v>
      </c>
      <c r="P60" s="17">
        <v>414.41176495928403</v>
      </c>
      <c r="Q60" s="17">
        <v>417.64120941021002</v>
      </c>
      <c r="R60" s="17">
        <v>11.3793451696248</v>
      </c>
      <c r="S60" s="17">
        <v>11.5317843178224</v>
      </c>
      <c r="T60" s="15">
        <v>574.94351707988199</v>
      </c>
    </row>
    <row r="61" spans="1:20">
      <c r="A61" s="10" t="s">
        <v>520</v>
      </c>
      <c r="B61" s="3" t="s">
        <v>526</v>
      </c>
      <c r="I61" s="14">
        <v>407.02977446645298</v>
      </c>
      <c r="J61" s="15">
        <v>525.76531074647596</v>
      </c>
      <c r="K61" s="15">
        <v>391.109192219269</v>
      </c>
      <c r="L61" s="15">
        <v>40054.018548420798</v>
      </c>
      <c r="M61" s="15">
        <v>407.350014267326</v>
      </c>
      <c r="N61" s="15">
        <v>420.44710427184498</v>
      </c>
      <c r="O61" s="15">
        <v>418.04352474727801</v>
      </c>
      <c r="P61" s="17">
        <v>411.99695058467597</v>
      </c>
      <c r="Q61" s="17">
        <v>418.05082494508702</v>
      </c>
      <c r="R61" s="17">
        <v>11.0730326358012</v>
      </c>
      <c r="S61" s="17">
        <v>11.4113758745276</v>
      </c>
      <c r="T61" s="15">
        <v>571.60073130477201</v>
      </c>
    </row>
    <row r="62" spans="1:20">
      <c r="A62" s="10" t="s">
        <v>520</v>
      </c>
      <c r="B62" s="3" t="s">
        <v>527</v>
      </c>
      <c r="I62" s="14">
        <v>407.16591572123502</v>
      </c>
      <c r="J62" s="15">
        <v>526.78936274004695</v>
      </c>
      <c r="K62" s="15">
        <v>389.77830025758402</v>
      </c>
      <c r="L62" s="15">
        <v>40477.773723398903</v>
      </c>
      <c r="M62" s="15">
        <v>405.64037010128101</v>
      </c>
      <c r="N62" s="15">
        <v>421.50434839571301</v>
      </c>
      <c r="O62" s="15">
        <v>423.71006401033998</v>
      </c>
      <c r="P62" s="17">
        <v>417.581409081353</v>
      </c>
      <c r="Q62" s="17">
        <v>422.90029809956201</v>
      </c>
      <c r="R62" s="17">
        <v>11.4500990327611</v>
      </c>
      <c r="S62" s="17">
        <v>11.622050615090799</v>
      </c>
      <c r="T62" s="15">
        <v>577.981961061795</v>
      </c>
    </row>
    <row r="63" spans="1:20">
      <c r="A63" s="10"/>
      <c r="I63" s="14"/>
      <c r="J63" s="15"/>
      <c r="K63" s="15"/>
      <c r="L63" s="15"/>
      <c r="M63" s="15"/>
      <c r="N63" s="17"/>
      <c r="O63" s="17"/>
      <c r="P63" s="17"/>
      <c r="Q63" s="17"/>
      <c r="R63" s="17"/>
      <c r="S63" s="17"/>
      <c r="T63" s="17"/>
    </row>
    <row r="64" spans="1:20">
      <c r="A64" s="10" t="s">
        <v>528</v>
      </c>
      <c r="B64" s="3" t="s">
        <v>529</v>
      </c>
      <c r="I64" s="14">
        <v>296.64395089974698</v>
      </c>
      <c r="J64" s="15">
        <v>10649.1927001359</v>
      </c>
      <c r="K64" s="15">
        <v>3101.95331705427</v>
      </c>
      <c r="L64" s="15">
        <v>559.14222141245705</v>
      </c>
      <c r="M64" s="15">
        <v>903.92384035695602</v>
      </c>
      <c r="N64" s="15">
        <v>758.53347794188596</v>
      </c>
      <c r="O64" s="14">
        <v>46.307996717112701</v>
      </c>
      <c r="P64" s="14">
        <v>57.091033066391503</v>
      </c>
      <c r="Q64" s="17">
        <v>16.629422902326802</v>
      </c>
      <c r="R64" s="17"/>
      <c r="S64" s="14">
        <v>60.808367154775702</v>
      </c>
      <c r="T64" s="14">
        <v>61.9307507131035</v>
      </c>
    </row>
    <row r="65" spans="1:20">
      <c r="A65" s="10" t="s">
        <v>528</v>
      </c>
      <c r="B65" s="3" t="s">
        <v>530</v>
      </c>
      <c r="I65" s="14">
        <v>68.172988492258597</v>
      </c>
      <c r="J65" s="15">
        <v>3224.7614659658798</v>
      </c>
      <c r="K65" s="15">
        <v>1160.05854630261</v>
      </c>
      <c r="L65" s="15">
        <v>840.44273044924296</v>
      </c>
      <c r="M65" s="15">
        <v>803.63149616975102</v>
      </c>
      <c r="N65" s="15">
        <v>704.47041857997499</v>
      </c>
      <c r="O65" s="14">
        <v>37.763787982979103</v>
      </c>
      <c r="P65" s="14">
        <v>50.771503718223599</v>
      </c>
      <c r="Q65" s="17">
        <v>18.123308610976199</v>
      </c>
      <c r="R65" s="17"/>
      <c r="S65" s="14">
        <v>113.042086392906</v>
      </c>
      <c r="T65" s="14">
        <v>119.09401233347199</v>
      </c>
    </row>
    <row r="66" spans="1:20">
      <c r="A66" s="10" t="s">
        <v>528</v>
      </c>
      <c r="B66" s="3" t="s">
        <v>531</v>
      </c>
      <c r="I66" s="14">
        <v>96.483985444703194</v>
      </c>
      <c r="J66" s="15">
        <v>2733.45434060967</v>
      </c>
      <c r="K66" s="15">
        <v>5257.4648608185898</v>
      </c>
      <c r="L66" s="15"/>
      <c r="M66" s="15">
        <v>1043.69326299664</v>
      </c>
      <c r="N66" s="15">
        <v>247.13796862697501</v>
      </c>
      <c r="O66" s="14">
        <v>44.105382762293097</v>
      </c>
      <c r="P66" s="14">
        <v>9.6595944264087006</v>
      </c>
      <c r="Q66" s="17">
        <v>10.0570999474883</v>
      </c>
      <c r="R66" s="17"/>
      <c r="S66" s="14">
        <v>61.311585880036198</v>
      </c>
      <c r="T66" s="14">
        <v>62.342263595032797</v>
      </c>
    </row>
    <row r="67" spans="1:20">
      <c r="A67" s="10" t="s">
        <v>528</v>
      </c>
      <c r="B67" s="3" t="s">
        <v>532</v>
      </c>
      <c r="I67" s="14">
        <v>248.69404915122101</v>
      </c>
      <c r="J67" s="15">
        <v>11066.243781356499</v>
      </c>
      <c r="K67" s="15">
        <v>3055.9344452519299</v>
      </c>
      <c r="L67" s="15"/>
      <c r="M67" s="15">
        <v>890.75003600590196</v>
      </c>
      <c r="N67" s="15">
        <v>813.48912631684698</v>
      </c>
      <c r="O67" s="14">
        <v>44.130307492215003</v>
      </c>
      <c r="P67" s="14">
        <v>43.215085740016697</v>
      </c>
      <c r="Q67" s="17">
        <v>22.380398683197001</v>
      </c>
      <c r="R67" s="17"/>
      <c r="S67" s="14">
        <v>67.658560519247899</v>
      </c>
      <c r="T67" s="14">
        <v>67.042029207674403</v>
      </c>
    </row>
    <row r="68" spans="1:20">
      <c r="A68" s="10" t="s">
        <v>528</v>
      </c>
      <c r="B68" s="3" t="s">
        <v>533</v>
      </c>
      <c r="I68" s="14">
        <v>120.792092198356</v>
      </c>
      <c r="J68" s="15">
        <v>2230.2692588855398</v>
      </c>
      <c r="K68" s="15">
        <v>925.45663497283795</v>
      </c>
      <c r="L68" s="15">
        <v>784.52161851684195</v>
      </c>
      <c r="M68" s="15">
        <v>717.48410778863001</v>
      </c>
      <c r="N68" s="15">
        <v>1208.5905171891</v>
      </c>
      <c r="O68" s="14">
        <v>34.6967332909663</v>
      </c>
      <c r="P68" s="14">
        <v>34.786760116455802</v>
      </c>
      <c r="Q68" s="17">
        <v>19.565875301153099</v>
      </c>
      <c r="R68" s="17"/>
      <c r="S68" s="14">
        <v>87.154540406752204</v>
      </c>
      <c r="T68" s="14">
        <v>80.909182325685805</v>
      </c>
    </row>
    <row r="69" spans="1:20">
      <c r="A69" s="10" t="s">
        <v>528</v>
      </c>
      <c r="B69" s="3" t="s">
        <v>534</v>
      </c>
      <c r="I69" s="14">
        <v>13.2626129500942</v>
      </c>
      <c r="J69" s="15">
        <v>3040.8228170531202</v>
      </c>
      <c r="K69" s="15">
        <v>2271.07435271126</v>
      </c>
      <c r="L69" s="15">
        <v>49.694704749944201</v>
      </c>
      <c r="M69" s="15">
        <v>752.65246823100699</v>
      </c>
      <c r="N69" s="15">
        <v>647.78576943965504</v>
      </c>
      <c r="O69" s="14">
        <v>39.760507958758303</v>
      </c>
      <c r="P69" s="14">
        <v>33.182914502194301</v>
      </c>
      <c r="Q69" s="17">
        <v>20.031799659226699</v>
      </c>
      <c r="R69" s="17"/>
      <c r="S69" s="14">
        <v>68.231289907295107</v>
      </c>
      <c r="T69" s="14">
        <v>69.140816078867402</v>
      </c>
    </row>
    <row r="70" spans="1:20">
      <c r="A70" s="10" t="s">
        <v>528</v>
      </c>
      <c r="B70" s="3" t="s">
        <v>535</v>
      </c>
      <c r="I70" s="14">
        <v>261.31372433471898</v>
      </c>
      <c r="J70" s="15">
        <v>10549.226410413699</v>
      </c>
      <c r="K70" s="15">
        <v>3377.7970561592101</v>
      </c>
      <c r="L70" s="15"/>
      <c r="M70" s="15">
        <v>863.19185945142101</v>
      </c>
      <c r="N70" s="15">
        <v>672.68932866884302</v>
      </c>
      <c r="O70" s="14">
        <v>42.819444100412603</v>
      </c>
      <c r="P70" s="14">
        <v>25.055726408496</v>
      </c>
      <c r="Q70" s="17">
        <v>19.057377559783301</v>
      </c>
      <c r="R70" s="17"/>
      <c r="S70" s="14">
        <v>73.083669945425996</v>
      </c>
      <c r="T70" s="14">
        <v>73.675304307107893</v>
      </c>
    </row>
    <row r="71" spans="1:20">
      <c r="A71" s="10" t="s">
        <v>528</v>
      </c>
      <c r="B71" s="3" t="s">
        <v>536</v>
      </c>
      <c r="I71" s="14">
        <v>87.031120464651195</v>
      </c>
      <c r="J71" s="15">
        <v>5594.6144435240903</v>
      </c>
      <c r="K71" s="15">
        <v>2635.7072943675198</v>
      </c>
      <c r="L71" s="15">
        <v>359.41909530152202</v>
      </c>
      <c r="M71" s="15">
        <v>804.31047272568196</v>
      </c>
      <c r="N71" s="15">
        <v>577.331622484278</v>
      </c>
      <c r="O71" s="14">
        <v>38.752584703060798</v>
      </c>
      <c r="P71" s="14">
        <v>15.727112322356801</v>
      </c>
      <c r="Q71" s="17">
        <v>16.764108097926201</v>
      </c>
      <c r="R71" s="17"/>
      <c r="S71" s="14">
        <v>80.511284354393396</v>
      </c>
      <c r="T71" s="14">
        <v>78.3717409209506</v>
      </c>
    </row>
    <row r="72" spans="1:20">
      <c r="A72" s="10" t="s">
        <v>528</v>
      </c>
      <c r="B72" s="3" t="s">
        <v>537</v>
      </c>
      <c r="I72" s="14">
        <v>71.312081221246103</v>
      </c>
      <c r="J72" s="15">
        <v>1869.9157789220801</v>
      </c>
      <c r="K72" s="15">
        <v>1024.1605366948399</v>
      </c>
      <c r="L72" s="15">
        <v>1684.13236042209</v>
      </c>
      <c r="M72" s="15">
        <v>533.40782106364304</v>
      </c>
      <c r="N72" s="15">
        <v>314.98134905735998</v>
      </c>
      <c r="O72" s="14">
        <v>24.27948380326</v>
      </c>
      <c r="P72" s="14">
        <v>10.0259255459633</v>
      </c>
      <c r="Q72" s="17">
        <v>2.6439684800008898</v>
      </c>
      <c r="R72" s="17"/>
      <c r="S72" s="14">
        <v>49.161517989353399</v>
      </c>
      <c r="T72" s="14">
        <v>48.701485049987298</v>
      </c>
    </row>
    <row r="73" spans="1:20">
      <c r="A73" s="10" t="s">
        <v>528</v>
      </c>
      <c r="B73" s="3" t="s">
        <v>538</v>
      </c>
      <c r="I73" s="14">
        <v>178.439685752147</v>
      </c>
      <c r="J73" s="15">
        <v>8566.5952579193308</v>
      </c>
      <c r="K73" s="15">
        <v>2634.6256520089801</v>
      </c>
      <c r="L73" s="15">
        <v>160.81167596920699</v>
      </c>
      <c r="M73" s="15">
        <v>822.50671424078905</v>
      </c>
      <c r="N73" s="15">
        <v>798.90527244503198</v>
      </c>
      <c r="O73" s="14">
        <v>40.996009062313902</v>
      </c>
      <c r="P73" s="14">
        <v>61.163850184497903</v>
      </c>
      <c r="Q73" s="17">
        <v>12.407518750021699</v>
      </c>
      <c r="R73" s="17"/>
      <c r="S73" s="14">
        <v>65.923759610912199</v>
      </c>
      <c r="T73" s="14">
        <v>66.244930460303706</v>
      </c>
    </row>
    <row r="74" spans="1:20">
      <c r="A74" s="10" t="s">
        <v>528</v>
      </c>
      <c r="B74" s="3" t="s">
        <v>539</v>
      </c>
      <c r="I74" s="14">
        <v>248.295704171403</v>
      </c>
      <c r="J74" s="15">
        <v>9933.4746199016899</v>
      </c>
      <c r="K74" s="15">
        <v>4190.1276101431804</v>
      </c>
      <c r="L74" s="15">
        <v>66.779359438008001</v>
      </c>
      <c r="M74" s="15">
        <v>979.78693432129705</v>
      </c>
      <c r="N74" s="15">
        <v>671.73309590493898</v>
      </c>
      <c r="O74" s="14">
        <v>46.315334959739701</v>
      </c>
      <c r="P74" s="14">
        <v>33.701369963057601</v>
      </c>
      <c r="Q74" s="17">
        <v>16.796656297977901</v>
      </c>
      <c r="R74" s="17"/>
      <c r="S74" s="14">
        <v>71.664891550154493</v>
      </c>
      <c r="T74" s="14">
        <v>67.666489443103302</v>
      </c>
    </row>
    <row r="75" spans="1:20">
      <c r="A75" s="10" t="s">
        <v>528</v>
      </c>
      <c r="B75" s="3" t="s">
        <v>540</v>
      </c>
      <c r="I75" s="14">
        <v>164.483223387078</v>
      </c>
      <c r="J75" s="15">
        <v>10014.495320104799</v>
      </c>
      <c r="K75" s="15">
        <v>3815.81129075633</v>
      </c>
      <c r="L75" s="15">
        <v>23.159565750197</v>
      </c>
      <c r="M75" s="15">
        <v>798.987517552903</v>
      </c>
      <c r="N75" s="15">
        <v>733.01690587159396</v>
      </c>
      <c r="O75" s="14">
        <v>40.9979042412632</v>
      </c>
      <c r="P75" s="14">
        <v>48.581580265363002</v>
      </c>
      <c r="Q75" s="17">
        <v>24.435922778488798</v>
      </c>
      <c r="R75" s="17"/>
      <c r="S75" s="14">
        <v>68.056758198653995</v>
      </c>
      <c r="T75" s="14">
        <v>64.408988650569299</v>
      </c>
    </row>
    <row r="76" spans="1:20">
      <c r="A76" s="10" t="s">
        <v>528</v>
      </c>
      <c r="B76" s="3" t="s">
        <v>541</v>
      </c>
      <c r="I76" s="14">
        <v>298.24146348293698</v>
      </c>
      <c r="J76" s="15">
        <v>10763.754415035901</v>
      </c>
      <c r="K76" s="15">
        <v>3066.7520062509302</v>
      </c>
      <c r="L76" s="15">
        <v>480.14147493805399</v>
      </c>
      <c r="M76" s="15">
        <v>957.57542424962298</v>
      </c>
      <c r="N76" s="15">
        <v>768.59038540225697</v>
      </c>
      <c r="O76" s="14">
        <v>46.907630763881798</v>
      </c>
      <c r="P76" s="14">
        <v>66.248767211867502</v>
      </c>
      <c r="Q76" s="17">
        <v>15.740458076889199</v>
      </c>
      <c r="R76" s="17"/>
      <c r="S76" s="14">
        <v>71.313926251224501</v>
      </c>
      <c r="T76" s="14">
        <v>69.314404542967196</v>
      </c>
    </row>
    <row r="77" spans="1:20">
      <c r="A77" s="18" t="s">
        <v>528</v>
      </c>
      <c r="B77" s="19" t="s">
        <v>542</v>
      </c>
      <c r="C77" s="19"/>
      <c r="D77" s="19"/>
      <c r="E77" s="19"/>
      <c r="F77" s="19"/>
      <c r="G77" s="19"/>
      <c r="H77" s="19"/>
      <c r="I77" s="20">
        <v>115.565532289101</v>
      </c>
      <c r="J77" s="21">
        <v>2281.9091563707798</v>
      </c>
      <c r="K77" s="21">
        <v>1029.7610209931299</v>
      </c>
      <c r="L77" s="21">
        <v>1360.2854631186201</v>
      </c>
      <c r="M77" s="21">
        <v>709.01252884591895</v>
      </c>
      <c r="N77" s="21">
        <v>1270.8754948363301</v>
      </c>
      <c r="O77" s="20">
        <v>33.164395566273598</v>
      </c>
      <c r="P77" s="20">
        <v>45.401829940725897</v>
      </c>
      <c r="Q77" s="22">
        <v>23.332489084718301</v>
      </c>
      <c r="R77" s="22"/>
      <c r="S77" s="20">
        <v>92.045128453259906</v>
      </c>
      <c r="T77" s="20">
        <v>95.666902019729505</v>
      </c>
    </row>
  </sheetData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7253-D7D5-9C4F-87DA-3F0345C5E419}">
  <dimension ref="A1:I143"/>
  <sheetViews>
    <sheetView zoomScale="125" zoomScaleNormal="100" workbookViewId="0">
      <selection activeCell="H137" sqref="H137"/>
    </sheetView>
  </sheetViews>
  <sheetFormatPr defaultColWidth="11" defaultRowHeight="15.95"/>
  <cols>
    <col min="1" max="1" width="23.125" customWidth="1"/>
    <col min="2" max="2" width="24.125" bestFit="1" customWidth="1"/>
    <col min="3" max="3" width="36" bestFit="1" customWidth="1"/>
    <col min="4" max="4" width="13.875" bestFit="1" customWidth="1"/>
    <col min="5" max="5" width="39.5" bestFit="1" customWidth="1"/>
    <col min="6" max="6" width="33.125" bestFit="1" customWidth="1"/>
    <col min="7" max="7" width="13.375" bestFit="1" customWidth="1"/>
    <col min="8" max="8" width="10" bestFit="1" customWidth="1"/>
    <col min="9" max="9" width="36" bestFit="1" customWidth="1"/>
  </cols>
  <sheetData>
    <row r="1" spans="1:9">
      <c r="A1" s="4" t="s">
        <v>543</v>
      </c>
    </row>
    <row r="2" spans="1:9">
      <c r="A2" s="139" t="s">
        <v>544</v>
      </c>
      <c r="B2" s="139" t="s">
        <v>545</v>
      </c>
      <c r="C2" s="139" t="s">
        <v>546</v>
      </c>
      <c r="D2" s="139" t="s">
        <v>547</v>
      </c>
      <c r="E2" s="139" t="s">
        <v>548</v>
      </c>
      <c r="F2" s="139" t="s">
        <v>549</v>
      </c>
      <c r="G2" s="139" t="s">
        <v>550</v>
      </c>
      <c r="H2" s="139" t="s">
        <v>551</v>
      </c>
      <c r="I2" s="139" t="s">
        <v>552</v>
      </c>
    </row>
    <row r="3" spans="1:9">
      <c r="A3" s="3" t="s">
        <v>553</v>
      </c>
      <c r="B3" s="3" t="s">
        <v>554</v>
      </c>
      <c r="C3" s="3" t="s">
        <v>555</v>
      </c>
      <c r="D3" s="3" t="s">
        <v>556</v>
      </c>
      <c r="E3" s="3"/>
      <c r="F3" s="3" t="s">
        <v>557</v>
      </c>
      <c r="G3" s="3" t="s">
        <v>558</v>
      </c>
      <c r="H3" s="3" t="s">
        <v>559</v>
      </c>
      <c r="I3" s="3" t="s">
        <v>560</v>
      </c>
    </row>
    <row r="4" spans="1:9">
      <c r="A4" s="3" t="s">
        <v>561</v>
      </c>
      <c r="B4" s="3" t="s">
        <v>554</v>
      </c>
      <c r="C4" s="3" t="s">
        <v>555</v>
      </c>
      <c r="D4" s="3" t="s">
        <v>562</v>
      </c>
      <c r="E4" s="3"/>
      <c r="F4" s="3"/>
      <c r="G4" s="3" t="s">
        <v>558</v>
      </c>
      <c r="H4" s="3" t="s">
        <v>559</v>
      </c>
      <c r="I4" s="3" t="s">
        <v>560</v>
      </c>
    </row>
    <row r="5" spans="1:9">
      <c r="A5" s="3" t="s">
        <v>563</v>
      </c>
      <c r="B5" s="3" t="s">
        <v>554</v>
      </c>
      <c r="C5" s="3" t="s">
        <v>564</v>
      </c>
      <c r="D5" s="3" t="s">
        <v>565</v>
      </c>
      <c r="E5" s="3"/>
      <c r="F5" s="3" t="s">
        <v>566</v>
      </c>
      <c r="G5" s="3" t="s">
        <v>558</v>
      </c>
      <c r="H5" s="3" t="s">
        <v>559</v>
      </c>
      <c r="I5" s="3" t="s">
        <v>567</v>
      </c>
    </row>
    <row r="6" spans="1:9">
      <c r="A6" s="3" t="s">
        <v>568</v>
      </c>
      <c r="B6" s="3" t="s">
        <v>554</v>
      </c>
      <c r="C6" s="3" t="s">
        <v>569</v>
      </c>
      <c r="D6" s="3" t="s">
        <v>570</v>
      </c>
      <c r="E6" s="3" t="s">
        <v>571</v>
      </c>
      <c r="F6" s="3"/>
      <c r="G6" s="3" t="s">
        <v>558</v>
      </c>
      <c r="H6" s="3" t="s">
        <v>559</v>
      </c>
      <c r="I6" s="3" t="s">
        <v>567</v>
      </c>
    </row>
    <row r="7" spans="1:9">
      <c r="A7" s="3" t="s">
        <v>572</v>
      </c>
      <c r="B7" s="3" t="s">
        <v>554</v>
      </c>
      <c r="C7" s="3" t="s">
        <v>573</v>
      </c>
      <c r="D7" s="3" t="s">
        <v>574</v>
      </c>
      <c r="E7" s="3"/>
      <c r="F7" s="3"/>
      <c r="G7" s="3" t="s">
        <v>558</v>
      </c>
      <c r="H7" s="3" t="s">
        <v>559</v>
      </c>
      <c r="I7" s="3" t="s">
        <v>567</v>
      </c>
    </row>
    <row r="8" spans="1:9">
      <c r="A8" s="3" t="s">
        <v>575</v>
      </c>
      <c r="B8" s="3" t="s">
        <v>554</v>
      </c>
      <c r="C8" s="3" t="s">
        <v>576</v>
      </c>
      <c r="D8" s="3" t="s">
        <v>577</v>
      </c>
      <c r="E8" s="3"/>
      <c r="F8" s="3" t="s">
        <v>578</v>
      </c>
      <c r="G8" s="3" t="s">
        <v>558</v>
      </c>
      <c r="H8" s="3" t="s">
        <v>559</v>
      </c>
      <c r="I8" s="3" t="s">
        <v>567</v>
      </c>
    </row>
    <row r="9" spans="1:9">
      <c r="A9" s="3" t="s">
        <v>579</v>
      </c>
      <c r="B9" s="3" t="s">
        <v>554</v>
      </c>
      <c r="C9" s="3" t="s">
        <v>580</v>
      </c>
      <c r="D9" s="3" t="s">
        <v>581</v>
      </c>
      <c r="E9" s="3"/>
      <c r="F9" s="3"/>
      <c r="G9" s="3" t="s">
        <v>558</v>
      </c>
      <c r="H9" s="3" t="s">
        <v>559</v>
      </c>
      <c r="I9" s="3" t="s">
        <v>582</v>
      </c>
    </row>
    <row r="10" spans="1:9">
      <c r="A10" s="3" t="s">
        <v>583</v>
      </c>
      <c r="B10" s="3" t="s">
        <v>554</v>
      </c>
      <c r="C10" s="3" t="s">
        <v>584</v>
      </c>
      <c r="D10" s="3" t="s">
        <v>585</v>
      </c>
      <c r="E10" s="3" t="s">
        <v>586</v>
      </c>
      <c r="F10" s="3"/>
      <c r="G10" s="3" t="s">
        <v>558</v>
      </c>
      <c r="H10" s="3" t="s">
        <v>559</v>
      </c>
      <c r="I10" s="3" t="s">
        <v>582</v>
      </c>
    </row>
    <row r="11" spans="1:9">
      <c r="A11" s="3" t="s">
        <v>587</v>
      </c>
      <c r="B11" s="3" t="s">
        <v>554</v>
      </c>
      <c r="C11" s="3" t="s">
        <v>584</v>
      </c>
      <c r="D11" s="3" t="s">
        <v>588</v>
      </c>
      <c r="E11" s="3" t="s">
        <v>586</v>
      </c>
      <c r="F11" s="3"/>
      <c r="G11" s="3" t="s">
        <v>558</v>
      </c>
      <c r="H11" s="3" t="s">
        <v>559</v>
      </c>
      <c r="I11" s="3" t="s">
        <v>582</v>
      </c>
    </row>
    <row r="12" spans="1:9">
      <c r="A12" s="3" t="s">
        <v>589</v>
      </c>
      <c r="B12" s="3" t="s">
        <v>554</v>
      </c>
      <c r="C12" s="3" t="s">
        <v>590</v>
      </c>
      <c r="D12" s="3" t="s">
        <v>591</v>
      </c>
      <c r="E12" s="3" t="s">
        <v>592</v>
      </c>
      <c r="F12" s="3"/>
      <c r="G12" s="3" t="s">
        <v>558</v>
      </c>
      <c r="H12" s="3" t="s">
        <v>559</v>
      </c>
      <c r="I12" s="3" t="s">
        <v>582</v>
      </c>
    </row>
    <row r="13" spans="1:9">
      <c r="A13" s="3" t="s">
        <v>593</v>
      </c>
      <c r="B13" s="3" t="s">
        <v>554</v>
      </c>
      <c r="C13" s="3" t="s">
        <v>590</v>
      </c>
      <c r="D13" s="3" t="s">
        <v>594</v>
      </c>
      <c r="E13" s="3" t="s">
        <v>595</v>
      </c>
      <c r="F13" s="3"/>
      <c r="G13" s="3" t="s">
        <v>558</v>
      </c>
      <c r="H13" s="3" t="s">
        <v>559</v>
      </c>
      <c r="I13" s="3" t="s">
        <v>582</v>
      </c>
    </row>
    <row r="14" spans="1:9">
      <c r="A14" s="3" t="s">
        <v>596</v>
      </c>
      <c r="B14" s="3" t="s">
        <v>554</v>
      </c>
      <c r="C14" s="3" t="s">
        <v>590</v>
      </c>
      <c r="D14" s="3" t="s">
        <v>597</v>
      </c>
      <c r="E14" s="3" t="s">
        <v>598</v>
      </c>
      <c r="F14" s="3"/>
      <c r="G14" s="3" t="s">
        <v>558</v>
      </c>
      <c r="H14" s="3" t="s">
        <v>559</v>
      </c>
      <c r="I14" s="3" t="s">
        <v>582</v>
      </c>
    </row>
    <row r="15" spans="1:9">
      <c r="A15" s="3" t="s">
        <v>599</v>
      </c>
      <c r="B15" s="3" t="s">
        <v>600</v>
      </c>
      <c r="C15" s="3" t="s">
        <v>601</v>
      </c>
      <c r="D15" s="3" t="s">
        <v>602</v>
      </c>
      <c r="E15" s="3"/>
      <c r="F15" s="3"/>
      <c r="G15" s="3" t="s">
        <v>558</v>
      </c>
      <c r="H15" s="3" t="s">
        <v>559</v>
      </c>
      <c r="I15" s="3" t="s">
        <v>560</v>
      </c>
    </row>
    <row r="16" spans="1:9">
      <c r="A16" s="3" t="s">
        <v>603</v>
      </c>
      <c r="B16" s="3" t="s">
        <v>600</v>
      </c>
      <c r="C16" s="3" t="s">
        <v>601</v>
      </c>
      <c r="D16" s="3" t="s">
        <v>604</v>
      </c>
      <c r="E16" s="3" t="s">
        <v>605</v>
      </c>
      <c r="F16" s="3"/>
      <c r="G16" s="3" t="s">
        <v>558</v>
      </c>
      <c r="H16" s="3" t="s">
        <v>559</v>
      </c>
      <c r="I16" s="3" t="s">
        <v>582</v>
      </c>
    </row>
    <row r="17" spans="1:9">
      <c r="A17" s="3" t="s">
        <v>606</v>
      </c>
      <c r="B17" s="3" t="s">
        <v>600</v>
      </c>
      <c r="C17" s="3" t="s">
        <v>601</v>
      </c>
      <c r="D17" s="3" t="s">
        <v>607</v>
      </c>
      <c r="E17" s="3" t="s">
        <v>608</v>
      </c>
      <c r="F17" s="3"/>
      <c r="G17" s="3" t="s">
        <v>558</v>
      </c>
      <c r="H17" s="3" t="s">
        <v>559</v>
      </c>
      <c r="I17" s="3" t="s">
        <v>582</v>
      </c>
    </row>
    <row r="18" spans="1:9">
      <c r="A18" s="3" t="s">
        <v>609</v>
      </c>
      <c r="B18" s="3" t="s">
        <v>600</v>
      </c>
      <c r="C18" s="3" t="s">
        <v>601</v>
      </c>
      <c r="D18" s="3" t="s">
        <v>610</v>
      </c>
      <c r="E18" s="3" t="s">
        <v>611</v>
      </c>
      <c r="F18" s="3"/>
      <c r="G18" s="3" t="s">
        <v>558</v>
      </c>
      <c r="H18" s="3" t="s">
        <v>559</v>
      </c>
      <c r="I18" s="3" t="s">
        <v>582</v>
      </c>
    </row>
    <row r="19" spans="1:9">
      <c r="A19" s="3" t="s">
        <v>612</v>
      </c>
      <c r="B19" s="3" t="s">
        <v>600</v>
      </c>
      <c r="C19" s="3" t="s">
        <v>613</v>
      </c>
      <c r="D19" s="3" t="s">
        <v>614</v>
      </c>
      <c r="E19" s="3"/>
      <c r="F19" s="3"/>
      <c r="G19" s="3" t="s">
        <v>558</v>
      </c>
      <c r="H19" s="3" t="s">
        <v>559</v>
      </c>
      <c r="I19" s="3" t="s">
        <v>615</v>
      </c>
    </row>
    <row r="20" spans="1:9">
      <c r="A20" s="3" t="s">
        <v>616</v>
      </c>
      <c r="B20" s="3" t="s">
        <v>600</v>
      </c>
      <c r="C20" s="3" t="s">
        <v>613</v>
      </c>
      <c r="D20" s="3" t="s">
        <v>617</v>
      </c>
      <c r="E20" s="3"/>
      <c r="F20" s="3"/>
      <c r="G20" s="3" t="s">
        <v>558</v>
      </c>
      <c r="H20" s="3" t="s">
        <v>559</v>
      </c>
      <c r="I20" s="3" t="s">
        <v>615</v>
      </c>
    </row>
    <row r="21" spans="1:9">
      <c r="A21" s="3" t="s">
        <v>618</v>
      </c>
      <c r="B21" s="3" t="s">
        <v>600</v>
      </c>
      <c r="C21" s="3" t="s">
        <v>619</v>
      </c>
      <c r="D21" s="3" t="s">
        <v>614</v>
      </c>
      <c r="E21" s="3"/>
      <c r="F21" s="3"/>
      <c r="G21" s="3" t="s">
        <v>558</v>
      </c>
      <c r="H21" s="3" t="s">
        <v>559</v>
      </c>
      <c r="I21" s="3" t="s">
        <v>615</v>
      </c>
    </row>
    <row r="22" spans="1:9">
      <c r="A22" s="3" t="s">
        <v>620</v>
      </c>
      <c r="B22" s="3" t="s">
        <v>600</v>
      </c>
      <c r="C22" s="3" t="s">
        <v>619</v>
      </c>
      <c r="D22" s="3" t="s">
        <v>621</v>
      </c>
      <c r="E22" s="3"/>
      <c r="F22" s="3"/>
      <c r="G22" s="3" t="s">
        <v>558</v>
      </c>
      <c r="H22" s="3" t="s">
        <v>559</v>
      </c>
      <c r="I22" s="3" t="s">
        <v>615</v>
      </c>
    </row>
    <row r="23" spans="1:9">
      <c r="A23" s="3" t="s">
        <v>622</v>
      </c>
      <c r="B23" s="3" t="s">
        <v>623</v>
      </c>
      <c r="C23" s="3" t="s">
        <v>624</v>
      </c>
      <c r="D23" s="3" t="s">
        <v>625</v>
      </c>
      <c r="E23" s="3"/>
      <c r="F23" s="3" t="s">
        <v>626</v>
      </c>
      <c r="G23" s="3" t="s">
        <v>558</v>
      </c>
      <c r="H23" s="3" t="s">
        <v>559</v>
      </c>
      <c r="I23" s="3" t="s">
        <v>627</v>
      </c>
    </row>
    <row r="24" spans="1:9">
      <c r="A24" s="3" t="s">
        <v>628</v>
      </c>
      <c r="B24" s="3" t="s">
        <v>623</v>
      </c>
      <c r="C24" s="3" t="s">
        <v>629</v>
      </c>
      <c r="D24" s="3" t="s">
        <v>630</v>
      </c>
      <c r="E24" s="3"/>
      <c r="F24" s="3" t="s">
        <v>631</v>
      </c>
      <c r="G24" s="3" t="s">
        <v>558</v>
      </c>
      <c r="H24" s="3" t="s">
        <v>559</v>
      </c>
      <c r="I24" s="3" t="s">
        <v>632</v>
      </c>
    </row>
    <row r="25" spans="1:9">
      <c r="A25" s="3" t="s">
        <v>628</v>
      </c>
      <c r="B25" s="3" t="s">
        <v>623</v>
      </c>
      <c r="C25" s="3" t="s">
        <v>629</v>
      </c>
      <c r="D25" s="3"/>
      <c r="E25" s="3"/>
      <c r="F25" s="3" t="s">
        <v>633</v>
      </c>
      <c r="G25" s="3" t="s">
        <v>634</v>
      </c>
      <c r="H25" s="3" t="s">
        <v>559</v>
      </c>
      <c r="I25" s="3" t="s">
        <v>635</v>
      </c>
    </row>
    <row r="26" spans="1:9">
      <c r="A26" s="3" t="s">
        <v>636</v>
      </c>
      <c r="B26" s="3" t="s">
        <v>637</v>
      </c>
      <c r="C26" s="3" t="s">
        <v>638</v>
      </c>
      <c r="D26" s="3" t="s">
        <v>639</v>
      </c>
      <c r="E26" s="3"/>
      <c r="F26" s="3"/>
      <c r="G26" s="3" t="s">
        <v>558</v>
      </c>
      <c r="H26" s="3" t="s">
        <v>559</v>
      </c>
      <c r="I26" s="3" t="s">
        <v>582</v>
      </c>
    </row>
    <row r="27" spans="1:9">
      <c r="A27" s="3" t="s">
        <v>640</v>
      </c>
      <c r="B27" s="3" t="s">
        <v>637</v>
      </c>
      <c r="C27" s="3" t="s">
        <v>590</v>
      </c>
      <c r="D27" s="3" t="s">
        <v>641</v>
      </c>
      <c r="E27" s="3"/>
      <c r="F27" s="3"/>
      <c r="G27" s="3" t="s">
        <v>558</v>
      </c>
      <c r="H27" s="3" t="s">
        <v>559</v>
      </c>
      <c r="I27" s="3" t="s">
        <v>582</v>
      </c>
    </row>
    <row r="28" spans="1:9">
      <c r="A28" s="3" t="s">
        <v>642</v>
      </c>
      <c r="B28" s="3" t="s">
        <v>637</v>
      </c>
      <c r="C28" s="3" t="s">
        <v>590</v>
      </c>
      <c r="D28" s="3" t="s">
        <v>643</v>
      </c>
      <c r="E28" s="3" t="s">
        <v>644</v>
      </c>
      <c r="F28" s="3"/>
      <c r="G28" s="3" t="s">
        <v>558</v>
      </c>
      <c r="H28" s="3" t="s">
        <v>559</v>
      </c>
      <c r="I28" s="3" t="s">
        <v>582</v>
      </c>
    </row>
    <row r="29" spans="1:9">
      <c r="A29" s="3" t="s">
        <v>645</v>
      </c>
      <c r="B29" s="3" t="s">
        <v>623</v>
      </c>
      <c r="C29" s="3" t="s">
        <v>624</v>
      </c>
      <c r="D29" s="3" t="s">
        <v>646</v>
      </c>
      <c r="E29" s="3"/>
      <c r="F29" s="3" t="s">
        <v>647</v>
      </c>
      <c r="G29" s="3" t="s">
        <v>558</v>
      </c>
      <c r="H29" s="3" t="s">
        <v>559</v>
      </c>
      <c r="I29" s="3" t="s">
        <v>567</v>
      </c>
    </row>
    <row r="30" spans="1:9">
      <c r="A30" s="3" t="s">
        <v>648</v>
      </c>
      <c r="B30" s="3" t="s">
        <v>623</v>
      </c>
      <c r="C30" s="3" t="s">
        <v>590</v>
      </c>
      <c r="D30" s="3" t="s">
        <v>649</v>
      </c>
      <c r="E30" s="3" t="s">
        <v>650</v>
      </c>
      <c r="F30" s="3"/>
      <c r="G30" s="3" t="s">
        <v>558</v>
      </c>
      <c r="H30" s="3" t="s">
        <v>559</v>
      </c>
      <c r="I30" s="3" t="s">
        <v>567</v>
      </c>
    </row>
    <row r="31" spans="1:9">
      <c r="A31" s="3" t="s">
        <v>651</v>
      </c>
      <c r="B31" s="3" t="s">
        <v>637</v>
      </c>
      <c r="C31" s="3" t="s">
        <v>624</v>
      </c>
      <c r="D31" s="3" t="s">
        <v>652</v>
      </c>
      <c r="E31" s="3" t="s">
        <v>653</v>
      </c>
      <c r="F31" s="3"/>
      <c r="G31" s="3" t="s">
        <v>558</v>
      </c>
      <c r="H31" s="3" t="s">
        <v>559</v>
      </c>
      <c r="I31" s="3" t="s">
        <v>654</v>
      </c>
    </row>
    <row r="32" spans="1:9">
      <c r="A32" s="3" t="s">
        <v>655</v>
      </c>
      <c r="B32" s="3" t="s">
        <v>637</v>
      </c>
      <c r="C32" s="3" t="s">
        <v>629</v>
      </c>
      <c r="D32" s="3" t="s">
        <v>656</v>
      </c>
      <c r="E32" s="3"/>
      <c r="F32" s="3"/>
      <c r="G32" s="3" t="s">
        <v>558</v>
      </c>
      <c r="H32" s="3" t="s">
        <v>559</v>
      </c>
      <c r="I32" s="3" t="s">
        <v>654</v>
      </c>
    </row>
    <row r="33" spans="1:9">
      <c r="A33" s="3" t="s">
        <v>657</v>
      </c>
      <c r="B33" s="3" t="s">
        <v>623</v>
      </c>
      <c r="C33" s="3" t="s">
        <v>590</v>
      </c>
      <c r="D33" s="3" t="s">
        <v>658</v>
      </c>
      <c r="E33" s="3"/>
      <c r="F33" s="3"/>
      <c r="G33" s="3" t="s">
        <v>558</v>
      </c>
      <c r="H33" s="3" t="s">
        <v>559</v>
      </c>
      <c r="I33" s="3" t="s">
        <v>654</v>
      </c>
    </row>
    <row r="34" spans="1:9">
      <c r="A34" s="3" t="s">
        <v>659</v>
      </c>
      <c r="B34" s="3" t="s">
        <v>637</v>
      </c>
      <c r="C34" s="3" t="s">
        <v>660</v>
      </c>
      <c r="D34" s="3" t="s">
        <v>661</v>
      </c>
      <c r="E34" s="3"/>
      <c r="F34" s="3"/>
      <c r="G34" s="3" t="s">
        <v>558</v>
      </c>
      <c r="H34" s="3" t="s">
        <v>559</v>
      </c>
      <c r="I34" s="3" t="s">
        <v>654</v>
      </c>
    </row>
    <row r="35" spans="1:9">
      <c r="A35" s="3" t="s">
        <v>662</v>
      </c>
      <c r="B35" s="3" t="s">
        <v>637</v>
      </c>
      <c r="C35" s="3" t="s">
        <v>663</v>
      </c>
      <c r="D35" s="3" t="s">
        <v>664</v>
      </c>
      <c r="E35" s="3"/>
      <c r="F35" s="3"/>
      <c r="G35" s="3" t="s">
        <v>558</v>
      </c>
      <c r="H35" s="3" t="s">
        <v>559</v>
      </c>
      <c r="I35" s="3" t="s">
        <v>654</v>
      </c>
    </row>
    <row r="36" spans="1:9">
      <c r="A36" s="3" t="s">
        <v>665</v>
      </c>
      <c r="B36" s="3" t="s">
        <v>637</v>
      </c>
      <c r="C36" s="3" t="s">
        <v>660</v>
      </c>
      <c r="D36" s="3" t="s">
        <v>666</v>
      </c>
      <c r="E36" s="3"/>
      <c r="F36" s="3"/>
      <c r="G36" s="3" t="s">
        <v>558</v>
      </c>
      <c r="H36" s="3" t="s">
        <v>559</v>
      </c>
      <c r="I36" s="3" t="s">
        <v>654</v>
      </c>
    </row>
    <row r="37" spans="1:9">
      <c r="A37" s="3" t="s">
        <v>667</v>
      </c>
      <c r="B37" s="3" t="s">
        <v>637</v>
      </c>
      <c r="C37" s="3" t="s">
        <v>668</v>
      </c>
      <c r="D37" s="3" t="s">
        <v>669</v>
      </c>
      <c r="E37" s="3"/>
      <c r="F37" s="3"/>
      <c r="G37" s="3" t="s">
        <v>558</v>
      </c>
      <c r="H37" s="3" t="s">
        <v>559</v>
      </c>
      <c r="I37" s="3" t="s">
        <v>670</v>
      </c>
    </row>
    <row r="38" spans="1:9">
      <c r="A38" s="3" t="s">
        <v>671</v>
      </c>
      <c r="B38" s="3" t="s">
        <v>637</v>
      </c>
      <c r="C38" s="3" t="s">
        <v>638</v>
      </c>
      <c r="D38" s="3" t="s">
        <v>672</v>
      </c>
      <c r="E38" s="3"/>
      <c r="F38" s="3"/>
      <c r="G38" s="3" t="s">
        <v>558</v>
      </c>
      <c r="H38" s="3" t="s">
        <v>559</v>
      </c>
      <c r="I38" s="3" t="s">
        <v>670</v>
      </c>
    </row>
    <row r="39" spans="1:9">
      <c r="A39" s="3" t="s">
        <v>673</v>
      </c>
      <c r="B39" s="3" t="s">
        <v>637</v>
      </c>
      <c r="C39" s="3" t="s">
        <v>44</v>
      </c>
      <c r="D39" s="3" t="s">
        <v>674</v>
      </c>
      <c r="E39" s="3"/>
      <c r="F39" s="3"/>
      <c r="G39" s="3" t="s">
        <v>558</v>
      </c>
      <c r="H39" s="3" t="s">
        <v>559</v>
      </c>
      <c r="I39" s="3" t="s">
        <v>675</v>
      </c>
    </row>
    <row r="40" spans="1:9">
      <c r="A40" s="3" t="s">
        <v>676</v>
      </c>
      <c r="B40" s="3" t="s">
        <v>637</v>
      </c>
      <c r="C40" s="3" t="s">
        <v>668</v>
      </c>
      <c r="D40" s="3" t="s">
        <v>677</v>
      </c>
      <c r="E40" s="3"/>
      <c r="F40" s="3"/>
      <c r="G40" s="3" t="s">
        <v>558</v>
      </c>
      <c r="H40" s="3" t="s">
        <v>559</v>
      </c>
      <c r="I40" s="3" t="s">
        <v>675</v>
      </c>
    </row>
    <row r="41" spans="1:9">
      <c r="A41" s="3" t="s">
        <v>678</v>
      </c>
      <c r="B41" s="3" t="s">
        <v>637</v>
      </c>
      <c r="C41" s="3" t="s">
        <v>679</v>
      </c>
      <c r="D41" s="3" t="s">
        <v>680</v>
      </c>
      <c r="E41" s="3"/>
      <c r="F41" s="3"/>
      <c r="G41" s="3" t="s">
        <v>558</v>
      </c>
      <c r="H41" s="3" t="s">
        <v>559</v>
      </c>
      <c r="I41" s="3" t="s">
        <v>675</v>
      </c>
    </row>
    <row r="42" spans="1:9">
      <c r="A42" s="3" t="s">
        <v>681</v>
      </c>
      <c r="B42" s="3" t="s">
        <v>637</v>
      </c>
      <c r="C42" s="3" t="s">
        <v>573</v>
      </c>
      <c r="D42" s="3" t="s">
        <v>682</v>
      </c>
      <c r="E42" s="3"/>
      <c r="F42" s="3"/>
      <c r="G42" s="3" t="s">
        <v>558</v>
      </c>
      <c r="H42" s="3" t="s">
        <v>559</v>
      </c>
      <c r="I42" s="3" t="s">
        <v>654</v>
      </c>
    </row>
    <row r="43" spans="1:9">
      <c r="A43" s="3" t="s">
        <v>683</v>
      </c>
      <c r="B43" s="3" t="s">
        <v>637</v>
      </c>
      <c r="C43" s="3" t="s">
        <v>684</v>
      </c>
      <c r="D43" s="3" t="s">
        <v>685</v>
      </c>
      <c r="E43" s="3" t="s">
        <v>686</v>
      </c>
      <c r="F43" s="3"/>
      <c r="G43" s="3" t="s">
        <v>558</v>
      </c>
      <c r="H43" s="3" t="s">
        <v>559</v>
      </c>
      <c r="I43" s="3" t="s">
        <v>654</v>
      </c>
    </row>
    <row r="44" spans="1:9">
      <c r="A44" s="3" t="s">
        <v>687</v>
      </c>
      <c r="B44" s="3" t="s">
        <v>637</v>
      </c>
      <c r="C44" s="3" t="s">
        <v>688</v>
      </c>
      <c r="D44" s="3" t="s">
        <v>689</v>
      </c>
      <c r="E44" s="3"/>
      <c r="F44" s="3"/>
      <c r="G44" s="3" t="s">
        <v>558</v>
      </c>
      <c r="H44" s="3" t="s">
        <v>559</v>
      </c>
      <c r="I44" s="3" t="s">
        <v>654</v>
      </c>
    </row>
    <row r="45" spans="1:9">
      <c r="A45" s="3" t="s">
        <v>690</v>
      </c>
      <c r="B45" s="3" t="s">
        <v>637</v>
      </c>
      <c r="C45" s="3" t="s">
        <v>590</v>
      </c>
      <c r="D45" s="3" t="s">
        <v>691</v>
      </c>
      <c r="E45" s="138"/>
      <c r="F45" s="3"/>
      <c r="G45" s="3" t="s">
        <v>558</v>
      </c>
      <c r="H45" s="3" t="s">
        <v>559</v>
      </c>
      <c r="I45" s="3" t="s">
        <v>615</v>
      </c>
    </row>
    <row r="46" spans="1:9">
      <c r="A46" s="3" t="s">
        <v>692</v>
      </c>
      <c r="B46" s="3" t="s">
        <v>637</v>
      </c>
      <c r="C46" s="3" t="s">
        <v>590</v>
      </c>
      <c r="D46" s="3" t="s">
        <v>693</v>
      </c>
      <c r="E46" s="138"/>
      <c r="F46" s="3"/>
      <c r="G46" s="3" t="s">
        <v>558</v>
      </c>
      <c r="H46" s="3" t="s">
        <v>559</v>
      </c>
      <c r="I46" s="3" t="s">
        <v>615</v>
      </c>
    </row>
    <row r="47" spans="1:9">
      <c r="A47" s="3" t="s">
        <v>694</v>
      </c>
      <c r="B47" s="3" t="s">
        <v>637</v>
      </c>
      <c r="C47" s="3" t="s">
        <v>590</v>
      </c>
      <c r="D47" s="3" t="s">
        <v>695</v>
      </c>
      <c r="E47" s="138" t="s">
        <v>696</v>
      </c>
      <c r="F47" s="3"/>
      <c r="G47" s="3" t="s">
        <v>558</v>
      </c>
      <c r="H47" s="3" t="s">
        <v>559</v>
      </c>
      <c r="I47" s="3" t="s">
        <v>615</v>
      </c>
    </row>
    <row r="48" spans="1:9">
      <c r="A48" s="3" t="s">
        <v>697</v>
      </c>
      <c r="B48" s="3" t="s">
        <v>698</v>
      </c>
      <c r="C48" s="3" t="s">
        <v>699</v>
      </c>
      <c r="D48" s="3" t="s">
        <v>700</v>
      </c>
      <c r="E48" s="3"/>
      <c r="F48" s="3" t="s">
        <v>701</v>
      </c>
      <c r="G48" s="3" t="s">
        <v>558</v>
      </c>
      <c r="H48" s="3" t="s">
        <v>559</v>
      </c>
      <c r="I48" s="3" t="s">
        <v>567</v>
      </c>
    </row>
    <row r="49" spans="1:9">
      <c r="A49" s="3" t="s">
        <v>702</v>
      </c>
      <c r="B49" s="3" t="s">
        <v>703</v>
      </c>
      <c r="C49" s="3" t="s">
        <v>704</v>
      </c>
      <c r="D49" s="3" t="s">
        <v>705</v>
      </c>
      <c r="E49" s="3"/>
      <c r="F49" s="3"/>
      <c r="G49" s="3" t="s">
        <v>558</v>
      </c>
      <c r="H49" s="3" t="s">
        <v>559</v>
      </c>
      <c r="I49" s="3" t="s">
        <v>706</v>
      </c>
    </row>
    <row r="50" spans="1:9">
      <c r="A50" s="3" t="s">
        <v>707</v>
      </c>
      <c r="B50" s="3" t="s">
        <v>703</v>
      </c>
      <c r="C50" s="3" t="s">
        <v>663</v>
      </c>
      <c r="D50" s="3" t="s">
        <v>708</v>
      </c>
      <c r="E50" s="3"/>
      <c r="F50" s="3"/>
      <c r="G50" s="3" t="s">
        <v>558</v>
      </c>
      <c r="H50" s="3" t="s">
        <v>559</v>
      </c>
      <c r="I50" s="3" t="s">
        <v>706</v>
      </c>
    </row>
    <row r="51" spans="1:9">
      <c r="A51" s="3" t="s">
        <v>709</v>
      </c>
      <c r="B51" s="3" t="s">
        <v>703</v>
      </c>
      <c r="C51" s="3" t="s">
        <v>584</v>
      </c>
      <c r="D51" s="3" t="s">
        <v>710</v>
      </c>
      <c r="E51" s="3"/>
      <c r="F51" s="3"/>
      <c r="G51" s="3" t="s">
        <v>558</v>
      </c>
      <c r="H51" s="3" t="s">
        <v>559</v>
      </c>
      <c r="I51" s="3" t="s">
        <v>706</v>
      </c>
    </row>
    <row r="52" spans="1:9">
      <c r="A52" s="3" t="s">
        <v>711</v>
      </c>
      <c r="B52" s="3" t="s">
        <v>703</v>
      </c>
      <c r="C52" s="3" t="s">
        <v>712</v>
      </c>
      <c r="D52" s="3" t="s">
        <v>713</v>
      </c>
      <c r="E52" s="3" t="s">
        <v>578</v>
      </c>
      <c r="F52" s="3"/>
      <c r="G52" s="3" t="s">
        <v>558</v>
      </c>
      <c r="H52" s="3" t="s">
        <v>559</v>
      </c>
      <c r="I52" s="3" t="s">
        <v>714</v>
      </c>
    </row>
    <row r="53" spans="1:9">
      <c r="A53" s="3" t="s">
        <v>715</v>
      </c>
      <c r="B53" s="3" t="s">
        <v>703</v>
      </c>
      <c r="C53" s="3" t="s">
        <v>716</v>
      </c>
      <c r="D53" s="3" t="s">
        <v>717</v>
      </c>
      <c r="E53" s="3"/>
      <c r="F53" s="3"/>
      <c r="G53" s="3" t="s">
        <v>558</v>
      </c>
      <c r="H53" s="3" t="s">
        <v>559</v>
      </c>
      <c r="I53" s="3" t="s">
        <v>714</v>
      </c>
    </row>
    <row r="54" spans="1:9">
      <c r="A54" s="3" t="s">
        <v>718</v>
      </c>
      <c r="B54" s="3" t="s">
        <v>703</v>
      </c>
      <c r="C54" s="3" t="s">
        <v>719</v>
      </c>
      <c r="D54" s="3" t="s">
        <v>720</v>
      </c>
      <c r="E54" s="3" t="s">
        <v>721</v>
      </c>
      <c r="F54" s="3" t="s">
        <v>722</v>
      </c>
      <c r="G54" s="3" t="s">
        <v>558</v>
      </c>
      <c r="H54" s="3" t="s">
        <v>559</v>
      </c>
      <c r="I54" s="3" t="s">
        <v>714</v>
      </c>
    </row>
    <row r="55" spans="1:9">
      <c r="A55" s="3" t="s">
        <v>723</v>
      </c>
      <c r="B55" s="3" t="s">
        <v>703</v>
      </c>
      <c r="C55" s="3" t="s">
        <v>724</v>
      </c>
      <c r="D55" s="3" t="s">
        <v>725</v>
      </c>
      <c r="E55" s="3"/>
      <c r="F55" s="3"/>
      <c r="G55" s="3" t="s">
        <v>558</v>
      </c>
      <c r="H55" s="3" t="s">
        <v>559</v>
      </c>
      <c r="I55" s="3" t="s">
        <v>714</v>
      </c>
    </row>
    <row r="56" spans="1:9">
      <c r="A56" s="3" t="s">
        <v>726</v>
      </c>
      <c r="B56" s="3" t="s">
        <v>703</v>
      </c>
      <c r="C56" s="3" t="s">
        <v>716</v>
      </c>
      <c r="D56" s="3" t="s">
        <v>727</v>
      </c>
      <c r="E56" s="3" t="s">
        <v>728</v>
      </c>
      <c r="F56" s="3" t="s">
        <v>729</v>
      </c>
      <c r="G56" s="3" t="s">
        <v>558</v>
      </c>
      <c r="H56" s="3" t="s">
        <v>559</v>
      </c>
      <c r="I56" s="3" t="s">
        <v>714</v>
      </c>
    </row>
    <row r="57" spans="1:9">
      <c r="A57" s="3" t="s">
        <v>730</v>
      </c>
      <c r="B57" s="3" t="s">
        <v>703</v>
      </c>
      <c r="C57" s="3" t="s">
        <v>731</v>
      </c>
      <c r="D57" s="3" t="s">
        <v>732</v>
      </c>
      <c r="E57" s="3" t="s">
        <v>733</v>
      </c>
      <c r="F57" s="3"/>
      <c r="G57" s="3" t="s">
        <v>558</v>
      </c>
      <c r="H57" s="3" t="s">
        <v>559</v>
      </c>
      <c r="I57" s="3" t="s">
        <v>714</v>
      </c>
    </row>
    <row r="58" spans="1:9">
      <c r="A58" s="3" t="s">
        <v>734</v>
      </c>
      <c r="B58" s="3" t="s">
        <v>698</v>
      </c>
      <c r="C58" s="3" t="s">
        <v>590</v>
      </c>
      <c r="D58" s="3" t="s">
        <v>735</v>
      </c>
      <c r="E58" s="3"/>
      <c r="F58" s="3"/>
      <c r="G58" s="3" t="s">
        <v>558</v>
      </c>
      <c r="H58" s="3" t="s">
        <v>559</v>
      </c>
      <c r="I58" s="3" t="s">
        <v>615</v>
      </c>
    </row>
    <row r="59" spans="1:9">
      <c r="A59" s="3" t="s">
        <v>736</v>
      </c>
      <c r="B59" s="3" t="s">
        <v>698</v>
      </c>
      <c r="C59" s="3" t="s">
        <v>737</v>
      </c>
      <c r="D59" s="3" t="s">
        <v>738</v>
      </c>
      <c r="E59" s="3"/>
      <c r="F59" s="3"/>
      <c r="G59" s="3" t="s">
        <v>558</v>
      </c>
      <c r="H59" s="3" t="s">
        <v>559</v>
      </c>
      <c r="I59" s="3" t="s">
        <v>654</v>
      </c>
    </row>
    <row r="60" spans="1:9">
      <c r="A60" s="3" t="s">
        <v>739</v>
      </c>
      <c r="B60" s="3" t="s">
        <v>740</v>
      </c>
      <c r="C60" s="3" t="s">
        <v>590</v>
      </c>
      <c r="D60" s="3" t="s">
        <v>741</v>
      </c>
      <c r="E60" s="3"/>
      <c r="F60" s="3"/>
      <c r="G60" s="3" t="s">
        <v>558</v>
      </c>
      <c r="H60" s="3" t="s">
        <v>559</v>
      </c>
      <c r="I60" s="3" t="s">
        <v>615</v>
      </c>
    </row>
    <row r="61" spans="1:9">
      <c r="A61" s="3" t="s">
        <v>742</v>
      </c>
      <c r="B61" s="3" t="s">
        <v>740</v>
      </c>
      <c r="C61" s="3" t="s">
        <v>590</v>
      </c>
      <c r="D61" s="3" t="s">
        <v>743</v>
      </c>
      <c r="E61" s="3"/>
      <c r="F61" s="3"/>
      <c r="G61" s="3" t="s">
        <v>558</v>
      </c>
      <c r="H61" s="3" t="s">
        <v>559</v>
      </c>
      <c r="I61" s="3" t="s">
        <v>615</v>
      </c>
    </row>
    <row r="62" spans="1:9">
      <c r="A62" s="3" t="s">
        <v>744</v>
      </c>
      <c r="B62" s="3" t="s">
        <v>745</v>
      </c>
      <c r="C62" s="3" t="s">
        <v>590</v>
      </c>
      <c r="D62" s="3" t="s">
        <v>746</v>
      </c>
      <c r="E62" s="3"/>
      <c r="F62" s="3" t="s">
        <v>747</v>
      </c>
      <c r="G62" s="3" t="s">
        <v>558</v>
      </c>
      <c r="H62" s="3" t="s">
        <v>559</v>
      </c>
      <c r="I62" s="3" t="s">
        <v>748</v>
      </c>
    </row>
    <row r="63" spans="1:9">
      <c r="A63" s="3" t="s">
        <v>749</v>
      </c>
      <c r="B63" s="3" t="s">
        <v>745</v>
      </c>
      <c r="C63" s="3" t="s">
        <v>750</v>
      </c>
      <c r="D63" s="3" t="s">
        <v>751</v>
      </c>
      <c r="E63" s="3"/>
      <c r="F63" s="3" t="s">
        <v>752</v>
      </c>
      <c r="G63" s="3" t="s">
        <v>558</v>
      </c>
      <c r="H63" s="3" t="s">
        <v>559</v>
      </c>
      <c r="I63" s="3" t="s">
        <v>748</v>
      </c>
    </row>
    <row r="64" spans="1:9">
      <c r="A64" s="3" t="s">
        <v>753</v>
      </c>
      <c r="B64" s="3" t="s">
        <v>745</v>
      </c>
      <c r="C64" s="3" t="s">
        <v>590</v>
      </c>
      <c r="D64" s="3" t="s">
        <v>754</v>
      </c>
      <c r="E64" s="3"/>
      <c r="F64" s="3"/>
      <c r="G64" s="3" t="s">
        <v>558</v>
      </c>
      <c r="H64" s="3" t="s">
        <v>559</v>
      </c>
      <c r="I64" s="3" t="s">
        <v>748</v>
      </c>
    </row>
    <row r="65" spans="1:9">
      <c r="A65" s="3" t="s">
        <v>755</v>
      </c>
      <c r="B65" s="3" t="s">
        <v>745</v>
      </c>
      <c r="C65" s="3" t="s">
        <v>756</v>
      </c>
      <c r="D65" s="3" t="s">
        <v>757</v>
      </c>
      <c r="E65" s="3"/>
      <c r="F65" s="3"/>
      <c r="G65" s="3" t="s">
        <v>558</v>
      </c>
      <c r="H65" s="3" t="s">
        <v>559</v>
      </c>
      <c r="I65" s="3" t="s">
        <v>748</v>
      </c>
    </row>
    <row r="66" spans="1:9">
      <c r="A66" s="3" t="s">
        <v>758</v>
      </c>
      <c r="B66" s="3" t="s">
        <v>745</v>
      </c>
      <c r="C66" s="3" t="s">
        <v>756</v>
      </c>
      <c r="D66" s="3" t="s">
        <v>759</v>
      </c>
      <c r="E66" s="3"/>
      <c r="F66" s="3"/>
      <c r="G66" s="3" t="s">
        <v>558</v>
      </c>
      <c r="H66" s="3" t="s">
        <v>559</v>
      </c>
      <c r="I66" s="3" t="s">
        <v>748</v>
      </c>
    </row>
    <row r="67" spans="1:9">
      <c r="A67" s="3" t="s">
        <v>760</v>
      </c>
      <c r="B67" s="3" t="s">
        <v>745</v>
      </c>
      <c r="C67" s="3" t="s">
        <v>663</v>
      </c>
      <c r="D67" s="3" t="s">
        <v>761</v>
      </c>
      <c r="E67" s="3"/>
      <c r="F67" s="3"/>
      <c r="G67" s="3" t="s">
        <v>558</v>
      </c>
      <c r="H67" s="3" t="s">
        <v>559</v>
      </c>
      <c r="I67" s="3" t="s">
        <v>748</v>
      </c>
    </row>
    <row r="68" spans="1:9">
      <c r="A68" s="3" t="s">
        <v>762</v>
      </c>
      <c r="B68" s="3" t="s">
        <v>745</v>
      </c>
      <c r="C68" s="3" t="s">
        <v>573</v>
      </c>
      <c r="D68" s="3" t="s">
        <v>763</v>
      </c>
      <c r="E68" s="3"/>
      <c r="F68" s="3"/>
      <c r="G68" s="3" t="s">
        <v>558</v>
      </c>
      <c r="H68" s="3" t="s">
        <v>559</v>
      </c>
      <c r="I68" s="3" t="s">
        <v>748</v>
      </c>
    </row>
    <row r="69" spans="1:9">
      <c r="A69" s="3" t="s">
        <v>764</v>
      </c>
      <c r="B69" s="3" t="s">
        <v>745</v>
      </c>
      <c r="C69" s="3" t="s">
        <v>590</v>
      </c>
      <c r="D69" s="3" t="s">
        <v>765</v>
      </c>
      <c r="E69" s="3"/>
      <c r="F69" s="3"/>
      <c r="G69" s="3" t="s">
        <v>558</v>
      </c>
      <c r="H69" s="3" t="s">
        <v>766</v>
      </c>
      <c r="I69" s="3" t="s">
        <v>767</v>
      </c>
    </row>
    <row r="70" spans="1:9">
      <c r="A70" s="3" t="s">
        <v>768</v>
      </c>
      <c r="B70" s="3" t="s">
        <v>769</v>
      </c>
      <c r="C70" s="3" t="s">
        <v>770</v>
      </c>
      <c r="D70" s="3" t="s">
        <v>771</v>
      </c>
      <c r="E70" s="3"/>
      <c r="F70" s="3"/>
      <c r="G70" s="3" t="s">
        <v>558</v>
      </c>
      <c r="H70" s="3" t="s">
        <v>559</v>
      </c>
      <c r="I70" s="3" t="s">
        <v>772</v>
      </c>
    </row>
    <row r="71" spans="1:9">
      <c r="A71" s="3" t="s">
        <v>773</v>
      </c>
      <c r="B71" s="3" t="s">
        <v>769</v>
      </c>
      <c r="C71" s="3" t="s">
        <v>770</v>
      </c>
      <c r="D71" s="3" t="s">
        <v>774</v>
      </c>
      <c r="E71" s="3"/>
      <c r="F71" s="3"/>
      <c r="G71" s="3" t="s">
        <v>558</v>
      </c>
      <c r="H71" s="3" t="s">
        <v>559</v>
      </c>
      <c r="I71" s="3" t="s">
        <v>772</v>
      </c>
    </row>
    <row r="72" spans="1:9">
      <c r="A72" s="3" t="s">
        <v>775</v>
      </c>
      <c r="B72" s="3" t="s">
        <v>769</v>
      </c>
      <c r="C72" s="3" t="s">
        <v>770</v>
      </c>
      <c r="D72" s="3" t="s">
        <v>776</v>
      </c>
      <c r="E72" s="3"/>
      <c r="F72" s="3"/>
      <c r="G72" s="3" t="s">
        <v>558</v>
      </c>
      <c r="H72" s="3" t="s">
        <v>559</v>
      </c>
      <c r="I72" s="3" t="s">
        <v>772</v>
      </c>
    </row>
    <row r="73" spans="1:9">
      <c r="A73" s="3" t="s">
        <v>777</v>
      </c>
      <c r="B73" s="3" t="s">
        <v>769</v>
      </c>
      <c r="C73" s="3" t="s">
        <v>770</v>
      </c>
      <c r="D73" s="3" t="s">
        <v>778</v>
      </c>
      <c r="E73" s="3"/>
      <c r="F73" s="3"/>
      <c r="G73" s="3" t="s">
        <v>558</v>
      </c>
      <c r="H73" s="3" t="s">
        <v>559</v>
      </c>
      <c r="I73" s="3" t="s">
        <v>772</v>
      </c>
    </row>
    <row r="74" spans="1:9">
      <c r="A74" s="3" t="s">
        <v>779</v>
      </c>
      <c r="B74" s="3" t="s">
        <v>769</v>
      </c>
      <c r="C74" s="3" t="s">
        <v>770</v>
      </c>
      <c r="D74" s="3" t="s">
        <v>780</v>
      </c>
      <c r="E74" s="3" t="s">
        <v>781</v>
      </c>
      <c r="F74" s="3"/>
      <c r="G74" s="3" t="s">
        <v>558</v>
      </c>
      <c r="H74" s="3" t="s">
        <v>559</v>
      </c>
      <c r="I74" s="3" t="s">
        <v>772</v>
      </c>
    </row>
    <row r="75" spans="1:9">
      <c r="A75" s="3" t="s">
        <v>782</v>
      </c>
      <c r="B75" s="3" t="s">
        <v>769</v>
      </c>
      <c r="C75" s="3" t="s">
        <v>770</v>
      </c>
      <c r="D75" s="3" t="s">
        <v>783</v>
      </c>
      <c r="E75" s="3" t="s">
        <v>784</v>
      </c>
      <c r="F75" s="3"/>
      <c r="G75" s="3" t="s">
        <v>558</v>
      </c>
      <c r="H75" s="3" t="s">
        <v>559</v>
      </c>
      <c r="I75" s="3" t="s">
        <v>772</v>
      </c>
    </row>
    <row r="76" spans="1:9">
      <c r="A76" s="3" t="s">
        <v>785</v>
      </c>
      <c r="B76" s="3" t="s">
        <v>769</v>
      </c>
      <c r="C76" s="3" t="s">
        <v>786</v>
      </c>
      <c r="D76" s="3" t="s">
        <v>787</v>
      </c>
      <c r="E76" s="3"/>
      <c r="F76" s="3" t="s">
        <v>788</v>
      </c>
      <c r="G76" s="3" t="s">
        <v>558</v>
      </c>
      <c r="H76" s="3" t="s">
        <v>766</v>
      </c>
      <c r="I76" s="3" t="s">
        <v>789</v>
      </c>
    </row>
    <row r="77" spans="1:9">
      <c r="A77" s="3" t="s">
        <v>790</v>
      </c>
      <c r="B77" s="3" t="s">
        <v>791</v>
      </c>
      <c r="C77" s="3" t="s">
        <v>660</v>
      </c>
      <c r="D77" s="3" t="s">
        <v>792</v>
      </c>
      <c r="E77" s="3" t="s">
        <v>793</v>
      </c>
      <c r="F77" s="3"/>
      <c r="G77" s="3" t="s">
        <v>558</v>
      </c>
      <c r="H77" s="3" t="s">
        <v>559</v>
      </c>
      <c r="I77" s="3" t="s">
        <v>794</v>
      </c>
    </row>
    <row r="78" spans="1:9">
      <c r="A78" s="3" t="s">
        <v>795</v>
      </c>
      <c r="B78" s="3" t="s">
        <v>791</v>
      </c>
      <c r="C78" s="3" t="s">
        <v>660</v>
      </c>
      <c r="D78" s="3" t="s">
        <v>689</v>
      </c>
      <c r="E78" s="3"/>
      <c r="F78" s="3"/>
      <c r="G78" s="3" t="s">
        <v>558</v>
      </c>
      <c r="H78" s="3" t="s">
        <v>559</v>
      </c>
      <c r="I78" s="3" t="s">
        <v>794</v>
      </c>
    </row>
    <row r="79" spans="1:9">
      <c r="A79" s="3" t="s">
        <v>796</v>
      </c>
      <c r="B79" s="3" t="s">
        <v>791</v>
      </c>
      <c r="C79" s="3" t="s">
        <v>573</v>
      </c>
      <c r="D79" s="3" t="s">
        <v>797</v>
      </c>
      <c r="E79" s="3"/>
      <c r="F79" s="3" t="s">
        <v>798</v>
      </c>
      <c r="G79" s="3" t="s">
        <v>558</v>
      </c>
      <c r="H79" s="3" t="s">
        <v>559</v>
      </c>
      <c r="I79" s="3" t="s">
        <v>794</v>
      </c>
    </row>
    <row r="80" spans="1:9">
      <c r="A80" s="3" t="s">
        <v>799</v>
      </c>
      <c r="B80" s="3" t="s">
        <v>791</v>
      </c>
      <c r="C80" s="3" t="s">
        <v>800</v>
      </c>
      <c r="D80" s="3" t="s">
        <v>801</v>
      </c>
      <c r="E80" s="3" t="s">
        <v>578</v>
      </c>
      <c r="F80" s="3"/>
      <c r="G80" s="3" t="s">
        <v>558</v>
      </c>
      <c r="H80" s="3" t="s">
        <v>559</v>
      </c>
      <c r="I80" s="3" t="s">
        <v>794</v>
      </c>
    </row>
    <row r="81" spans="1:9">
      <c r="A81" s="3" t="s">
        <v>802</v>
      </c>
      <c r="B81" s="3" t="s">
        <v>791</v>
      </c>
      <c r="C81" s="3" t="s">
        <v>800</v>
      </c>
      <c r="D81" s="138" t="s">
        <v>803</v>
      </c>
      <c r="E81" s="3"/>
      <c r="F81" s="3"/>
      <c r="G81" s="3" t="s">
        <v>558</v>
      </c>
      <c r="H81" s="3" t="s">
        <v>559</v>
      </c>
      <c r="I81" s="3" t="s">
        <v>794</v>
      </c>
    </row>
    <row r="82" spans="1:9">
      <c r="A82" s="3" t="s">
        <v>804</v>
      </c>
      <c r="B82" s="3" t="s">
        <v>791</v>
      </c>
      <c r="C82" s="3" t="s">
        <v>590</v>
      </c>
      <c r="D82" s="3" t="s">
        <v>805</v>
      </c>
      <c r="E82" s="3"/>
      <c r="F82" s="3"/>
      <c r="G82" s="3" t="s">
        <v>558</v>
      </c>
      <c r="H82" s="3" t="s">
        <v>559</v>
      </c>
      <c r="I82" s="3" t="s">
        <v>615</v>
      </c>
    </row>
    <row r="83" spans="1:9">
      <c r="A83" s="3" t="s">
        <v>806</v>
      </c>
      <c r="B83" s="3" t="s">
        <v>791</v>
      </c>
      <c r="C83" s="3" t="s">
        <v>590</v>
      </c>
      <c r="D83" s="3" t="s">
        <v>807</v>
      </c>
      <c r="E83" s="3"/>
      <c r="F83" s="3"/>
      <c r="G83" s="3" t="s">
        <v>558</v>
      </c>
      <c r="H83" s="3" t="s">
        <v>559</v>
      </c>
      <c r="I83" s="3" t="s">
        <v>615</v>
      </c>
    </row>
    <row r="84" spans="1:9">
      <c r="A84" s="3" t="s">
        <v>808</v>
      </c>
      <c r="B84" s="3" t="s">
        <v>809</v>
      </c>
      <c r="C84" s="3" t="s">
        <v>590</v>
      </c>
      <c r="D84" s="3" t="s">
        <v>810</v>
      </c>
      <c r="E84" s="3"/>
      <c r="F84" s="3"/>
      <c r="G84" s="3" t="s">
        <v>558</v>
      </c>
      <c r="H84" s="3" t="s">
        <v>559</v>
      </c>
      <c r="I84" s="3" t="s">
        <v>615</v>
      </c>
    </row>
    <row r="85" spans="1:9">
      <c r="A85" s="3" t="s">
        <v>811</v>
      </c>
      <c r="B85" s="3" t="s">
        <v>809</v>
      </c>
      <c r="C85" s="3" t="s">
        <v>590</v>
      </c>
      <c r="D85" s="3" t="s">
        <v>812</v>
      </c>
      <c r="E85" s="138" t="s">
        <v>813</v>
      </c>
      <c r="F85" s="3"/>
      <c r="G85" s="3" t="s">
        <v>558</v>
      </c>
      <c r="H85" s="3" t="s">
        <v>559</v>
      </c>
      <c r="I85" s="3" t="s">
        <v>615</v>
      </c>
    </row>
    <row r="86" spans="1:9">
      <c r="A86" s="3" t="s">
        <v>814</v>
      </c>
      <c r="B86" s="3" t="s">
        <v>809</v>
      </c>
      <c r="C86" s="3" t="s">
        <v>573</v>
      </c>
      <c r="D86" s="3" t="s">
        <v>815</v>
      </c>
      <c r="E86" s="3"/>
      <c r="F86" s="3"/>
      <c r="G86" s="3" t="s">
        <v>558</v>
      </c>
      <c r="H86" s="3" t="s">
        <v>559</v>
      </c>
      <c r="I86" s="3" t="s">
        <v>816</v>
      </c>
    </row>
    <row r="87" spans="1:9">
      <c r="A87" s="3" t="s">
        <v>817</v>
      </c>
      <c r="B87" s="3" t="s">
        <v>809</v>
      </c>
      <c r="C87" s="3" t="s">
        <v>573</v>
      </c>
      <c r="D87" s="3" t="s">
        <v>818</v>
      </c>
      <c r="E87" s="3"/>
      <c r="F87" s="3"/>
      <c r="G87" s="3" t="s">
        <v>558</v>
      </c>
      <c r="H87" s="3" t="s">
        <v>559</v>
      </c>
      <c r="I87" s="3" t="s">
        <v>816</v>
      </c>
    </row>
    <row r="88" spans="1:9">
      <c r="A88" s="3" t="s">
        <v>819</v>
      </c>
      <c r="B88" s="3" t="s">
        <v>809</v>
      </c>
      <c r="C88" s="3" t="s">
        <v>573</v>
      </c>
      <c r="D88" s="3" t="s">
        <v>820</v>
      </c>
      <c r="E88" s="3"/>
      <c r="F88" s="3"/>
      <c r="G88" s="3" t="s">
        <v>558</v>
      </c>
      <c r="H88" s="3" t="s">
        <v>559</v>
      </c>
      <c r="I88" s="3" t="s">
        <v>816</v>
      </c>
    </row>
    <row r="89" spans="1:9">
      <c r="A89" s="3" t="s">
        <v>821</v>
      </c>
      <c r="B89" s="3" t="s">
        <v>809</v>
      </c>
      <c r="C89" s="3" t="s">
        <v>663</v>
      </c>
      <c r="D89" s="3" t="s">
        <v>822</v>
      </c>
      <c r="E89" s="3"/>
      <c r="F89" s="3"/>
      <c r="G89" s="3" t="s">
        <v>558</v>
      </c>
      <c r="H89" s="3" t="s">
        <v>559</v>
      </c>
      <c r="I89" s="3" t="s">
        <v>816</v>
      </c>
    </row>
    <row r="90" spans="1:9">
      <c r="A90" s="3" t="s">
        <v>823</v>
      </c>
      <c r="B90" s="3" t="s">
        <v>809</v>
      </c>
      <c r="C90" s="3" t="s">
        <v>590</v>
      </c>
      <c r="D90" s="3" t="s">
        <v>824</v>
      </c>
      <c r="E90" s="3"/>
      <c r="F90" s="3"/>
      <c r="G90" s="3" t="s">
        <v>558</v>
      </c>
      <c r="H90" s="3" t="s">
        <v>559</v>
      </c>
      <c r="I90" s="3" t="s">
        <v>789</v>
      </c>
    </row>
    <row r="91" spans="1:9">
      <c r="A91" s="3" t="s">
        <v>825</v>
      </c>
      <c r="B91" s="3" t="s">
        <v>809</v>
      </c>
      <c r="C91" s="3" t="s">
        <v>590</v>
      </c>
      <c r="D91" s="3" t="s">
        <v>826</v>
      </c>
      <c r="E91" s="3" t="s">
        <v>827</v>
      </c>
      <c r="F91" s="3"/>
      <c r="G91" s="3" t="s">
        <v>558</v>
      </c>
      <c r="H91" s="3" t="s">
        <v>559</v>
      </c>
      <c r="I91" s="3" t="s">
        <v>789</v>
      </c>
    </row>
    <row r="92" spans="1:9">
      <c r="A92" s="3" t="s">
        <v>825</v>
      </c>
      <c r="B92" s="3" t="s">
        <v>809</v>
      </c>
      <c r="C92" s="3" t="s">
        <v>590</v>
      </c>
      <c r="D92" s="3" t="s">
        <v>828</v>
      </c>
      <c r="E92" s="3"/>
      <c r="F92" s="3"/>
      <c r="G92" s="3" t="s">
        <v>558</v>
      </c>
      <c r="H92" s="3" t="s">
        <v>766</v>
      </c>
      <c r="I92" s="3" t="s">
        <v>789</v>
      </c>
    </row>
    <row r="93" spans="1:9">
      <c r="A93" s="3" t="s">
        <v>829</v>
      </c>
      <c r="B93" s="3" t="s">
        <v>830</v>
      </c>
      <c r="C93" s="3" t="s">
        <v>590</v>
      </c>
      <c r="D93" s="3" t="s">
        <v>831</v>
      </c>
      <c r="E93" s="3"/>
      <c r="F93" s="3"/>
      <c r="G93" s="3" t="s">
        <v>558</v>
      </c>
      <c r="H93" s="3" t="s">
        <v>559</v>
      </c>
      <c r="I93" s="3" t="s">
        <v>767</v>
      </c>
    </row>
    <row r="94" spans="1:9">
      <c r="A94" s="3" t="s">
        <v>832</v>
      </c>
      <c r="B94" s="3" t="s">
        <v>830</v>
      </c>
      <c r="C94" s="3" t="s">
        <v>833</v>
      </c>
      <c r="D94" s="3" t="s">
        <v>834</v>
      </c>
      <c r="E94" s="3"/>
      <c r="F94" s="3"/>
      <c r="G94" s="3" t="s">
        <v>558</v>
      </c>
      <c r="H94" s="3" t="s">
        <v>766</v>
      </c>
      <c r="I94" s="3" t="s">
        <v>767</v>
      </c>
    </row>
    <row r="95" spans="1:9">
      <c r="A95" s="3" t="s">
        <v>835</v>
      </c>
      <c r="B95" s="3" t="s">
        <v>830</v>
      </c>
      <c r="C95" s="3" t="s">
        <v>833</v>
      </c>
      <c r="D95" s="3" t="s">
        <v>836</v>
      </c>
      <c r="E95" s="3"/>
      <c r="F95" s="3" t="s">
        <v>837</v>
      </c>
      <c r="G95" s="3" t="s">
        <v>558</v>
      </c>
      <c r="H95" s="3" t="s">
        <v>766</v>
      </c>
      <c r="I95" s="3" t="s">
        <v>767</v>
      </c>
    </row>
    <row r="96" spans="1:9">
      <c r="A96" s="3" t="s">
        <v>838</v>
      </c>
      <c r="B96" s="3" t="s">
        <v>839</v>
      </c>
      <c r="C96" s="3" t="s">
        <v>601</v>
      </c>
      <c r="D96" s="3" t="s">
        <v>840</v>
      </c>
      <c r="E96" s="3"/>
      <c r="F96" s="3"/>
      <c r="G96" s="3" t="s">
        <v>558</v>
      </c>
      <c r="H96" s="3" t="s">
        <v>559</v>
      </c>
      <c r="I96" s="3" t="s">
        <v>560</v>
      </c>
    </row>
    <row r="97" spans="1:9">
      <c r="A97" s="3" t="s">
        <v>841</v>
      </c>
      <c r="B97" s="3" t="s">
        <v>839</v>
      </c>
      <c r="C97" s="3" t="s">
        <v>842</v>
      </c>
      <c r="D97" s="3" t="s">
        <v>843</v>
      </c>
      <c r="E97" s="3"/>
      <c r="F97" s="3"/>
      <c r="G97" s="3" t="s">
        <v>558</v>
      </c>
      <c r="H97" s="3" t="s">
        <v>766</v>
      </c>
      <c r="I97" s="3" t="s">
        <v>844</v>
      </c>
    </row>
    <row r="98" spans="1:9">
      <c r="A98" s="3" t="s">
        <v>841</v>
      </c>
      <c r="B98" s="3" t="s">
        <v>839</v>
      </c>
      <c r="C98" s="3" t="s">
        <v>842</v>
      </c>
      <c r="D98" s="3" t="s">
        <v>845</v>
      </c>
      <c r="E98" s="3"/>
      <c r="F98" s="3"/>
      <c r="G98" s="3" t="s">
        <v>558</v>
      </c>
      <c r="H98" s="3" t="s">
        <v>559</v>
      </c>
      <c r="I98" s="3" t="s">
        <v>844</v>
      </c>
    </row>
    <row r="99" spans="1:9">
      <c r="A99" s="3" t="s">
        <v>846</v>
      </c>
      <c r="B99" s="3" t="s">
        <v>839</v>
      </c>
      <c r="C99" s="3" t="s">
        <v>842</v>
      </c>
      <c r="D99" s="3" t="s">
        <v>847</v>
      </c>
      <c r="E99" s="3"/>
      <c r="F99" s="3"/>
      <c r="G99" s="3" t="s">
        <v>558</v>
      </c>
      <c r="H99" s="3" t="s">
        <v>766</v>
      </c>
      <c r="I99" s="3" t="s">
        <v>844</v>
      </c>
    </row>
    <row r="100" spans="1:9">
      <c r="A100" s="3" t="s">
        <v>848</v>
      </c>
      <c r="B100" s="3" t="s">
        <v>839</v>
      </c>
      <c r="C100" s="3" t="s">
        <v>849</v>
      </c>
      <c r="D100" s="3" t="s">
        <v>850</v>
      </c>
      <c r="G100" s="3" t="s">
        <v>558</v>
      </c>
      <c r="H100" s="3" t="s">
        <v>766</v>
      </c>
      <c r="I100" s="3" t="s">
        <v>844</v>
      </c>
    </row>
    <row r="101" spans="1:9">
      <c r="A101" s="3" t="s">
        <v>851</v>
      </c>
      <c r="B101" s="3" t="s">
        <v>852</v>
      </c>
      <c r="C101" s="3" t="s">
        <v>601</v>
      </c>
      <c r="D101" s="3" t="s">
        <v>853</v>
      </c>
      <c r="E101" s="3"/>
      <c r="F101" s="3" t="s">
        <v>854</v>
      </c>
      <c r="G101" s="3" t="s">
        <v>558</v>
      </c>
      <c r="H101" s="3" t="s">
        <v>559</v>
      </c>
      <c r="I101" s="3" t="s">
        <v>855</v>
      </c>
    </row>
    <row r="102" spans="1:9">
      <c r="A102" s="3" t="s">
        <v>856</v>
      </c>
      <c r="B102" s="3" t="s">
        <v>554</v>
      </c>
      <c r="C102" s="3" t="s">
        <v>590</v>
      </c>
      <c r="D102" s="3" t="s">
        <v>857</v>
      </c>
      <c r="E102" s="3" t="s">
        <v>858</v>
      </c>
      <c r="F102" s="3"/>
      <c r="G102" s="3" t="s">
        <v>558</v>
      </c>
      <c r="H102" s="3" t="s">
        <v>766</v>
      </c>
      <c r="I102" s="3" t="s">
        <v>859</v>
      </c>
    </row>
    <row r="103" spans="1:9">
      <c r="A103" s="3" t="s">
        <v>856</v>
      </c>
      <c r="B103" s="3" t="s">
        <v>554</v>
      </c>
      <c r="C103" s="3" t="s">
        <v>590</v>
      </c>
      <c r="D103" s="3" t="s">
        <v>860</v>
      </c>
      <c r="E103" s="3"/>
      <c r="F103" s="3"/>
      <c r="G103" s="3" t="s">
        <v>861</v>
      </c>
      <c r="H103" s="3" t="s">
        <v>766</v>
      </c>
      <c r="I103" s="3" t="s">
        <v>859</v>
      </c>
    </row>
    <row r="104" spans="1:9">
      <c r="A104" s="3" t="s">
        <v>862</v>
      </c>
      <c r="B104" s="3" t="s">
        <v>554</v>
      </c>
      <c r="C104" s="3" t="s">
        <v>833</v>
      </c>
      <c r="D104" s="3" t="s">
        <v>863</v>
      </c>
      <c r="E104" s="3" t="s">
        <v>864</v>
      </c>
      <c r="F104" s="3"/>
      <c r="G104" s="3" t="s">
        <v>558</v>
      </c>
      <c r="H104" s="3" t="s">
        <v>766</v>
      </c>
      <c r="I104" s="3" t="s">
        <v>859</v>
      </c>
    </row>
    <row r="105" spans="1:9">
      <c r="A105" s="3" t="s">
        <v>865</v>
      </c>
      <c r="B105" s="3" t="s">
        <v>554</v>
      </c>
      <c r="C105" s="3" t="s">
        <v>590</v>
      </c>
      <c r="D105" s="3" t="s">
        <v>866</v>
      </c>
      <c r="E105" s="3"/>
      <c r="F105" s="3"/>
      <c r="G105" s="3" t="s">
        <v>558</v>
      </c>
      <c r="H105" s="3" t="s">
        <v>766</v>
      </c>
      <c r="I105" s="3" t="s">
        <v>859</v>
      </c>
    </row>
    <row r="106" spans="1:9">
      <c r="A106" s="3" t="s">
        <v>867</v>
      </c>
      <c r="B106" s="3" t="s">
        <v>600</v>
      </c>
      <c r="C106" s="3" t="s">
        <v>601</v>
      </c>
      <c r="D106" s="3" t="s">
        <v>868</v>
      </c>
      <c r="E106" s="3"/>
      <c r="F106" s="3"/>
      <c r="G106" s="3" t="s">
        <v>558</v>
      </c>
      <c r="H106" s="3" t="s">
        <v>766</v>
      </c>
      <c r="I106" s="3" t="s">
        <v>859</v>
      </c>
    </row>
    <row r="107" spans="1:9">
      <c r="A107" s="3" t="s">
        <v>869</v>
      </c>
      <c r="B107" s="3" t="s">
        <v>600</v>
      </c>
      <c r="C107" s="3" t="s">
        <v>601</v>
      </c>
      <c r="D107" s="3" t="s">
        <v>870</v>
      </c>
      <c r="E107" s="3"/>
      <c r="F107" s="3" t="s">
        <v>871</v>
      </c>
      <c r="G107" s="3" t="s">
        <v>558</v>
      </c>
      <c r="H107" s="3" t="s">
        <v>766</v>
      </c>
      <c r="I107" s="3" t="s">
        <v>859</v>
      </c>
    </row>
    <row r="108" spans="1:9">
      <c r="A108" s="3" t="s">
        <v>872</v>
      </c>
      <c r="B108" s="3" t="s">
        <v>637</v>
      </c>
      <c r="C108" s="3" t="s">
        <v>873</v>
      </c>
      <c r="D108" s="3" t="s">
        <v>874</v>
      </c>
      <c r="E108" s="3"/>
      <c r="F108" s="3"/>
      <c r="G108" s="3" t="s">
        <v>558</v>
      </c>
      <c r="H108" s="3" t="s">
        <v>766</v>
      </c>
      <c r="I108" s="3" t="s">
        <v>859</v>
      </c>
    </row>
    <row r="109" spans="1:9">
      <c r="A109" s="3" t="s">
        <v>875</v>
      </c>
      <c r="B109" s="3" t="s">
        <v>637</v>
      </c>
      <c r="C109" s="3" t="s">
        <v>876</v>
      </c>
      <c r="D109" s="3" t="s">
        <v>877</v>
      </c>
      <c r="E109" s="3"/>
      <c r="F109" s="3"/>
      <c r="G109" s="3" t="s">
        <v>558</v>
      </c>
      <c r="H109" s="3" t="s">
        <v>766</v>
      </c>
      <c r="I109" s="3" t="s">
        <v>859</v>
      </c>
    </row>
    <row r="110" spans="1:9">
      <c r="A110" s="3" t="s">
        <v>875</v>
      </c>
      <c r="B110" s="3" t="s">
        <v>637</v>
      </c>
      <c r="C110" s="3" t="s">
        <v>876</v>
      </c>
      <c r="D110" s="3"/>
      <c r="E110" s="3"/>
      <c r="F110" s="3" t="s">
        <v>878</v>
      </c>
      <c r="G110" s="3" t="s">
        <v>634</v>
      </c>
      <c r="H110" s="3" t="s">
        <v>766</v>
      </c>
      <c r="I110" s="3" t="s">
        <v>859</v>
      </c>
    </row>
    <row r="111" spans="1:9">
      <c r="A111" s="3" t="s">
        <v>875</v>
      </c>
      <c r="B111" s="3" t="s">
        <v>637</v>
      </c>
      <c r="C111" s="3" t="s">
        <v>876</v>
      </c>
      <c r="D111" s="3"/>
      <c r="E111" s="3"/>
      <c r="F111" s="3" t="s">
        <v>879</v>
      </c>
      <c r="G111" s="3" t="s">
        <v>880</v>
      </c>
      <c r="H111" s="3" t="s">
        <v>766</v>
      </c>
      <c r="I111" s="3" t="s">
        <v>859</v>
      </c>
    </row>
    <row r="112" spans="1:9">
      <c r="A112" s="3" t="s">
        <v>881</v>
      </c>
      <c r="B112" s="3" t="s">
        <v>809</v>
      </c>
      <c r="C112" s="3" t="s">
        <v>44</v>
      </c>
      <c r="D112" s="3" t="s">
        <v>882</v>
      </c>
      <c r="E112" s="3"/>
      <c r="F112" s="3"/>
      <c r="G112" s="3" t="s">
        <v>558</v>
      </c>
      <c r="H112" s="3" t="s">
        <v>766</v>
      </c>
      <c r="I112" s="3" t="s">
        <v>859</v>
      </c>
    </row>
    <row r="113" spans="1:9">
      <c r="A113" s="3" t="s">
        <v>881</v>
      </c>
      <c r="B113" s="3" t="s">
        <v>809</v>
      </c>
      <c r="C113" s="3" t="s">
        <v>44</v>
      </c>
      <c r="D113" s="3"/>
      <c r="E113" s="3"/>
      <c r="F113" s="3" t="s">
        <v>883</v>
      </c>
      <c r="G113" s="3" t="s">
        <v>634</v>
      </c>
      <c r="H113" s="3" t="s">
        <v>766</v>
      </c>
      <c r="I113" s="3" t="s">
        <v>859</v>
      </c>
    </row>
    <row r="114" spans="1:9">
      <c r="A114" s="3" t="s">
        <v>884</v>
      </c>
      <c r="B114" s="3" t="s">
        <v>698</v>
      </c>
      <c r="C114" s="3" t="s">
        <v>590</v>
      </c>
      <c r="D114" s="3" t="s">
        <v>885</v>
      </c>
      <c r="E114" s="3"/>
      <c r="F114" s="3" t="s">
        <v>886</v>
      </c>
      <c r="G114" s="3" t="s">
        <v>558</v>
      </c>
      <c r="H114" s="3" t="s">
        <v>766</v>
      </c>
      <c r="I114" s="3" t="s">
        <v>859</v>
      </c>
    </row>
    <row r="115" spans="1:9">
      <c r="A115" s="3" t="s">
        <v>884</v>
      </c>
      <c r="B115" s="3" t="s">
        <v>698</v>
      </c>
      <c r="C115" s="3" t="s">
        <v>590</v>
      </c>
      <c r="D115" s="3"/>
      <c r="E115" s="3"/>
      <c r="F115" s="3" t="s">
        <v>887</v>
      </c>
      <c r="G115" s="3" t="s">
        <v>634</v>
      </c>
      <c r="H115" s="3" t="s">
        <v>766</v>
      </c>
      <c r="I115" s="3" t="s">
        <v>859</v>
      </c>
    </row>
    <row r="116" spans="1:9">
      <c r="A116" s="3" t="s">
        <v>888</v>
      </c>
      <c r="B116" s="3" t="s">
        <v>698</v>
      </c>
      <c r="C116" s="3" t="s">
        <v>590</v>
      </c>
      <c r="D116" s="3" t="s">
        <v>889</v>
      </c>
      <c r="E116" s="3"/>
      <c r="F116" s="3"/>
      <c r="G116" s="3" t="s">
        <v>558</v>
      </c>
      <c r="H116" s="3" t="s">
        <v>766</v>
      </c>
      <c r="I116" s="3" t="s">
        <v>859</v>
      </c>
    </row>
    <row r="117" spans="1:9">
      <c r="A117" s="3" t="s">
        <v>890</v>
      </c>
      <c r="B117" s="3" t="s">
        <v>839</v>
      </c>
      <c r="C117" s="3" t="s">
        <v>601</v>
      </c>
      <c r="D117" s="3" t="s">
        <v>891</v>
      </c>
      <c r="E117" s="3"/>
      <c r="F117" s="3"/>
      <c r="G117" s="3" t="s">
        <v>558</v>
      </c>
      <c r="H117" s="3" t="s">
        <v>766</v>
      </c>
      <c r="I117" s="3" t="s">
        <v>859</v>
      </c>
    </row>
    <row r="118" spans="1:9">
      <c r="A118" s="3" t="s">
        <v>890</v>
      </c>
      <c r="B118" s="3" t="s">
        <v>839</v>
      </c>
      <c r="C118" s="3" t="s">
        <v>601</v>
      </c>
      <c r="D118" s="3"/>
      <c r="E118" s="3"/>
      <c r="F118" s="3" t="s">
        <v>892</v>
      </c>
      <c r="G118" s="3" t="s">
        <v>861</v>
      </c>
      <c r="H118" s="3" t="s">
        <v>766</v>
      </c>
      <c r="I118" s="3" t="s">
        <v>859</v>
      </c>
    </row>
    <row r="119" spans="1:9">
      <c r="A119" s="3" t="s">
        <v>890</v>
      </c>
      <c r="B119" s="3" t="s">
        <v>839</v>
      </c>
      <c r="C119" s="3" t="s">
        <v>601</v>
      </c>
      <c r="D119" s="3"/>
      <c r="E119" s="3"/>
      <c r="F119" s="3" t="s">
        <v>893</v>
      </c>
      <c r="G119" s="3" t="s">
        <v>634</v>
      </c>
      <c r="H119" s="3" t="s">
        <v>766</v>
      </c>
      <c r="I119" s="3" t="s">
        <v>859</v>
      </c>
    </row>
    <row r="120" spans="1:9">
      <c r="A120" s="3" t="s">
        <v>894</v>
      </c>
      <c r="B120" s="3" t="s">
        <v>740</v>
      </c>
      <c r="C120" s="3" t="s">
        <v>590</v>
      </c>
      <c r="D120" s="3" t="s">
        <v>895</v>
      </c>
      <c r="E120" s="3"/>
      <c r="F120" s="3" t="s">
        <v>896</v>
      </c>
      <c r="G120" s="3" t="s">
        <v>558</v>
      </c>
      <c r="H120" s="3" t="s">
        <v>766</v>
      </c>
      <c r="I120" s="3" t="s">
        <v>859</v>
      </c>
    </row>
    <row r="121" spans="1:9">
      <c r="A121" s="19" t="s">
        <v>897</v>
      </c>
      <c r="B121" s="19" t="s">
        <v>740</v>
      </c>
      <c r="C121" s="19" t="s">
        <v>590</v>
      </c>
      <c r="D121" s="19" t="s">
        <v>898</v>
      </c>
      <c r="E121" s="19"/>
      <c r="F121" s="19"/>
      <c r="G121" s="19" t="s">
        <v>558</v>
      </c>
      <c r="H121" s="19" t="s">
        <v>766</v>
      </c>
      <c r="I121" s="19" t="s">
        <v>859</v>
      </c>
    </row>
    <row r="123" spans="1:9">
      <c r="A123" s="10" t="s">
        <v>899</v>
      </c>
    </row>
    <row r="124" spans="1:9">
      <c r="A124" s="4" t="s">
        <v>900</v>
      </c>
    </row>
    <row r="125" spans="1:9">
      <c r="A125" s="4" t="s">
        <v>901</v>
      </c>
    </row>
    <row r="126" spans="1:9">
      <c r="A126" s="4" t="s">
        <v>902</v>
      </c>
    </row>
    <row r="127" spans="1:9">
      <c r="A127" s="4" t="s">
        <v>903</v>
      </c>
    </row>
    <row r="128" spans="1:9">
      <c r="A128" s="4" t="s">
        <v>904</v>
      </c>
    </row>
    <row r="129" spans="1:1">
      <c r="A129" s="4" t="s">
        <v>905</v>
      </c>
    </row>
    <row r="130" spans="1:1">
      <c r="A130" s="4" t="s">
        <v>906</v>
      </c>
    </row>
    <row r="131" spans="1:1">
      <c r="A131" s="4" t="s">
        <v>907</v>
      </c>
    </row>
    <row r="132" spans="1:1">
      <c r="A132" s="4" t="s">
        <v>908</v>
      </c>
    </row>
    <row r="133" spans="1:1">
      <c r="A133" s="4" t="s">
        <v>909</v>
      </c>
    </row>
    <row r="134" spans="1:1">
      <c r="A134" s="4" t="s">
        <v>910</v>
      </c>
    </row>
    <row r="135" spans="1:1">
      <c r="A135" s="4" t="s">
        <v>911</v>
      </c>
    </row>
    <row r="136" spans="1:1">
      <c r="A136" s="4" t="s">
        <v>912</v>
      </c>
    </row>
    <row r="137" spans="1:1">
      <c r="A137" s="4" t="s">
        <v>913</v>
      </c>
    </row>
    <row r="138" spans="1:1">
      <c r="A138" s="4" t="s">
        <v>914</v>
      </c>
    </row>
    <row r="139" spans="1:1">
      <c r="A139" s="4" t="s">
        <v>915</v>
      </c>
    </row>
    <row r="140" spans="1:1">
      <c r="A140" s="4" t="s">
        <v>916</v>
      </c>
    </row>
    <row r="141" spans="1:1">
      <c r="A141" s="4" t="s">
        <v>917</v>
      </c>
    </row>
    <row r="142" spans="1:1">
      <c r="A142" s="4" t="s">
        <v>918</v>
      </c>
    </row>
    <row r="143" spans="1:1">
      <c r="A143" s="4" t="s">
        <v>919</v>
      </c>
    </row>
  </sheetData>
  <phoneticPr fontId="2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Qing-Feng MEI</dc:creator>
  <cp:keywords/>
  <dc:description/>
  <cp:lastModifiedBy>Qing-Feng MEI</cp:lastModifiedBy>
  <cp:revision/>
  <dcterms:created xsi:type="dcterms:W3CDTF">2025-03-07T20:33:00Z</dcterms:created>
  <dcterms:modified xsi:type="dcterms:W3CDTF">2026-06-30T01:13:27Z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2E0C3DD7CCED99DC9AA2CA673FE07EB9</vt:lpwstr>
  </property>
  <property fmtid="{D5CDD505-2E9C-101B-9397-08002B2CF9AE}" pid="3" name="KSOProductBuildVer">
    <vt:lpwstr>2052-4.3.0.7281</vt:lpwstr>
  </property>
</Properties>
</file>